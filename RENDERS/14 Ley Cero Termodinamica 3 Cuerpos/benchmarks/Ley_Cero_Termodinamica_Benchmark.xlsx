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Sistema" sheetId="1" state="visible" r:id="rId1"/>
    <sheet xmlns:r="http://schemas.openxmlformats.org/officeDocument/2006/relationships" name="Evolucion_Temporal" sheetId="2" state="visible" r:id="rId2"/>
    <sheet xmlns:r="http://schemas.openxmlformats.org/officeDocument/2006/relationships" name="Balance_Energ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#,##0.0"/>
    <numFmt numFmtId="165" formatCode="0.00000"/>
    <numFmt numFmtId="166" formatCode="0.0 &quot;°C&quot;"/>
    <numFmt numFmtId="167" formatCode="0.00 &quot;°C&quot;"/>
    <numFmt numFmtId="168" formatCode="0.0"/>
    <numFmt numFmtId="169" formatCode="0.000"/>
    <numFmt numFmtId="170" formatCode="0.0000"/>
    <numFmt numFmtId="171" formatCode="0.0000%"/>
  </numFmts>
  <fonts count="9">
    <font>
      <name val="Calibri"/>
      <family val="2"/>
      <color theme="1"/>
      <sz val="11"/>
      <scheme val="minor"/>
    </font>
    <font>
      <name val="Calibri"/>
      <b val="1"/>
      <color rgb="001F4E79"/>
      <sz val="15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  <color rgb="001F4E79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1F4E79"/>
      <sz val="11"/>
    </font>
    <font>
      <name val="Calibri"/>
      <i val="1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4F8"/>
        <bgColor rgb="00F2F4F8"/>
      </patternFill>
    </fill>
    <fill>
      <patternFill patternType="solid">
        <fgColor rgb="00D9E1F2"/>
        <bgColor rgb="00D9E1F2"/>
      </patternFill>
    </fill>
  </fills>
  <borders count="4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  <bottom style="double">
        <color rgb="001F4E79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/>
    </xf>
    <xf numFmtId="164" fontId="0" fillId="3" borderId="2" pivotButton="0" quotePrefix="0" xfId="0"/>
    <xf numFmtId="3" fontId="4" fillId="3" borderId="2" pivotButton="0" quotePrefix="0" xfId="0"/>
    <xf numFmtId="165" fontId="0" fillId="3" borderId="2" pivotButton="0" quotePrefix="0" xfId="0"/>
    <xf numFmtId="164" fontId="4" fillId="3" borderId="2" pivotButton="0" quotePrefix="0" xfId="0"/>
    <xf numFmtId="166" fontId="0" fillId="3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164" fontId="0" fillId="0" borderId="2" pivotButton="0" quotePrefix="0" xfId="0"/>
    <xf numFmtId="3" fontId="4" fillId="0" borderId="2" pivotButton="0" quotePrefix="0" xfId="0"/>
    <xf numFmtId="165" fontId="0" fillId="0" borderId="2" pivotButton="0" quotePrefix="0" xfId="0"/>
    <xf numFmtId="164" fontId="4" fillId="0" borderId="2" pivotButton="0" quotePrefix="0" xfId="0"/>
    <xf numFmtId="166" fontId="0" fillId="0" borderId="2" applyAlignment="1" pivotButton="0" quotePrefix="0" xfId="0">
      <alignment horizontal="right" vertical="center"/>
    </xf>
    <xf numFmtId="0" fontId="5" fillId="0" borderId="3" pivotButton="0" quotePrefix="0" xfId="0"/>
    <xf numFmtId="0" fontId="6" fillId="0" borderId="3" pivotButton="0" quotePrefix="0" xfId="0"/>
    <xf numFmtId="0" fontId="0" fillId="0" borderId="3" pivotButton="0" quotePrefix="0" xfId="0"/>
    <xf numFmtId="165" fontId="5" fillId="0" borderId="3" pivotButton="0" quotePrefix="0" xfId="0"/>
    <xf numFmtId="164" fontId="5" fillId="0" borderId="3" pivotButton="0" quotePrefix="0" xfId="0"/>
    <xf numFmtId="167" fontId="7" fillId="4" borderId="3" pivotButton="0" quotePrefix="0" xfId="0"/>
    <xf numFmtId="0" fontId="7" fillId="0" borderId="0" pivotButton="0" quotePrefix="0" xfId="0"/>
    <xf numFmtId="0" fontId="8" fillId="0" borderId="0" pivotButton="0" quotePrefix="0" xfId="0"/>
    <xf numFmtId="168" fontId="0" fillId="3" borderId="2" applyAlignment="1" pivotButton="0" quotePrefix="0" xfId="0">
      <alignment horizontal="center" vertical="center"/>
    </xf>
    <xf numFmtId="2" fontId="0" fillId="3" borderId="2" pivotButton="0" quotePrefix="0" xfId="0"/>
    <xf numFmtId="3" fontId="0" fillId="3" borderId="2" pivotButton="0" quotePrefix="0" xfId="0"/>
    <xf numFmtId="169" fontId="0" fillId="3" borderId="2" pivotButton="0" quotePrefix="0" xfId="0"/>
    <xf numFmtId="170" fontId="0" fillId="3" borderId="2" pivotButton="0" quotePrefix="0" xfId="0"/>
    <xf numFmtId="168" fontId="0" fillId="0" borderId="2" applyAlignment="1" pivotButton="0" quotePrefix="0" xfId="0">
      <alignment horizontal="center" vertical="center"/>
    </xf>
    <xf numFmtId="2" fontId="0" fillId="0" borderId="2" pivotButton="0" quotePrefix="0" xfId="0"/>
    <xf numFmtId="3" fontId="0" fillId="0" borderId="2" pivotButton="0" quotePrefix="0" xfId="0"/>
    <xf numFmtId="169" fontId="0" fillId="0" borderId="2" pivotButton="0" quotePrefix="0" xfId="0"/>
    <xf numFmtId="170" fontId="0" fillId="0" borderId="2" pivotButton="0" quotePrefix="0" xfId="0"/>
    <xf numFmtId="164" fontId="5" fillId="3" borderId="2" pivotButton="0" quotePrefix="0" xfId="0"/>
    <xf numFmtId="171" fontId="0" fillId="3" borderId="2" pivotButton="0" quotePrefix="0" xfId="0"/>
    <xf numFmtId="164" fontId="5" fillId="0" borderId="2" pivotButton="0" quotePrefix="0" xfId="0"/>
    <xf numFmtId="171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1" workbookViewId="0">
      <selection activeCell="A1" sqref="A1"/>
    </sheetView>
  </sheetViews>
  <sheetFormatPr baseColWidth="8" defaultRowHeight="15"/>
  <cols>
    <col width="135" customWidth="1" min="1" max="1"/>
    <col width="29" customWidth="1" min="2" max="2"/>
    <col width="27" customWidth="1" min="3" max="3"/>
    <col width="22" customWidth="1" min="4" max="4"/>
    <col width="32" customWidth="1" min="5" max="5"/>
    <col width="34" customWidth="1" min="6" max="6"/>
    <col width="18" customWidth="1" min="7" max="7"/>
    <col width="24" customWidth="1" min="8" max="8"/>
    <col width="25" customWidth="1" min="9" max="9"/>
  </cols>
  <sheetData>
    <row r="1">
      <c r="A1" s="1" t="inlineStr">
        <is>
          <t>CONTINUUM LAB // LEY CERO DE LA TERMODINÁMICA</t>
        </is>
      </c>
    </row>
    <row r="2">
      <c r="A2" s="2" t="inlineStr">
        <is>
          <t>Modelo Analítico de Conducción Térmica en Sistema de 3 Cuerpos en Contacto</t>
        </is>
      </c>
    </row>
    <row r="3"/>
    <row r="4">
      <c r="A4" s="3" t="inlineStr">
        <is>
          <t>Cuerpo</t>
        </is>
      </c>
      <c r="B4" s="3" t="inlineStr">
        <is>
          <t>Material</t>
        </is>
      </c>
      <c r="C4" s="3" t="inlineStr">
        <is>
          <t>Conductividad k [W/m·K]</t>
        </is>
      </c>
      <c r="D4" s="3" t="inlineStr">
        <is>
          <t>Densidad ρ [kg/m³]</t>
        </is>
      </c>
      <c r="E4" s="3" t="inlineStr">
        <is>
          <t>Calor Específico cp [J/kg·K]</t>
        </is>
      </c>
      <c r="F4" s="3" t="inlineStr">
        <is>
          <t>Cap. Volumétrica ρ·cp [J/m³·K]</t>
        </is>
      </c>
      <c r="G4" s="3" t="inlineStr">
        <is>
          <t>Volumen V [m³]</t>
        </is>
      </c>
      <c r="H4" s="3" t="inlineStr">
        <is>
          <t>Capacitancia C [J/K]</t>
        </is>
      </c>
      <c r="I4" s="3" t="inlineStr">
        <is>
          <t>Temp. Inicial T0 [°C]</t>
        </is>
      </c>
    </row>
    <row r="5">
      <c r="A5" s="4" t="inlineStr">
        <is>
          <t>Cuerpo A</t>
        </is>
      </c>
      <c r="B5" s="5" t="inlineStr">
        <is>
          <t>Cobre Puro (Cu)</t>
        </is>
      </c>
      <c r="C5" s="6" t="n">
        <v>401</v>
      </c>
      <c r="D5" s="6" t="n">
        <v>8960</v>
      </c>
      <c r="E5" s="6" t="n">
        <v>385</v>
      </c>
      <c r="F5" s="7">
        <f>D5*E5</f>
        <v/>
      </c>
      <c r="G5" s="8" t="n">
        <v>0.0035</v>
      </c>
      <c r="H5" s="9">
        <f>F5*G5</f>
        <v/>
      </c>
      <c r="I5" s="10" t="n">
        <v>100</v>
      </c>
    </row>
    <row r="6">
      <c r="A6" s="11" t="inlineStr">
        <is>
          <t>Cuerpo C</t>
        </is>
      </c>
      <c r="B6" s="12" t="inlineStr">
        <is>
          <t>Acero Inoxidable (Sonda)</t>
        </is>
      </c>
      <c r="C6" s="13" t="n">
        <v>54</v>
      </c>
      <c r="D6" s="13" t="n">
        <v>7900</v>
      </c>
      <c r="E6" s="13" t="n">
        <v>500</v>
      </c>
      <c r="F6" s="14">
        <f>D6*E6</f>
        <v/>
      </c>
      <c r="G6" s="15" t="n">
        <v>0.0028</v>
      </c>
      <c r="H6" s="16">
        <f>F6*G6</f>
        <v/>
      </c>
      <c r="I6" s="17" t="n">
        <v>25</v>
      </c>
    </row>
    <row r="7">
      <c r="A7" s="4" t="inlineStr">
        <is>
          <t>Cuerpo B</t>
        </is>
      </c>
      <c r="B7" s="5" t="inlineStr">
        <is>
          <t>Aluminio Aeronáutico (Al)</t>
        </is>
      </c>
      <c r="C7" s="6" t="n">
        <v>205</v>
      </c>
      <c r="D7" s="6" t="n">
        <v>2700</v>
      </c>
      <c r="E7" s="6" t="n">
        <v>900</v>
      </c>
      <c r="F7" s="7">
        <f>D7*E7</f>
        <v/>
      </c>
      <c r="G7" s="8" t="n">
        <v>0.0035</v>
      </c>
      <c r="H7" s="9">
        <f>F7*G7</f>
        <v/>
      </c>
      <c r="I7" s="10" t="n">
        <v>0</v>
      </c>
    </row>
    <row r="8">
      <c r="A8" s="18" t="inlineStr">
        <is>
          <t>SISTEMA GLOBAL</t>
        </is>
      </c>
      <c r="B8" s="19" t="inlineStr">
        <is>
          <t>Ensamble Aclimatado</t>
        </is>
      </c>
      <c r="C8" s="20" t="n"/>
      <c r="D8" s="20" t="n"/>
      <c r="E8" s="20" t="n"/>
      <c r="F8" s="20" t="n"/>
      <c r="G8" s="21">
        <f>SUM(G5:G7)</f>
        <v/>
      </c>
      <c r="H8" s="22">
        <f>SUM(H5:H7)</f>
        <v/>
      </c>
      <c r="I8" s="23">
        <f>SUMPRODUCT(H5:H7, I5:I7)/H8</f>
        <v/>
      </c>
    </row>
    <row r="9"/>
    <row r="10">
      <c r="A10" s="24" t="inlineStr">
        <is>
          <t>DECLARACIÓN FORMAL DE LA LEY CERO (RALPH H. FOWLER, 1935):</t>
        </is>
      </c>
    </row>
    <row r="11">
      <c r="A11" s="25" t="inlineStr">
        <is>
          <t>Si el cuerpo A está en equilibrio térmico con C (TA = TC = Teq) y el cuerpo B está en equilibrio con C (TB = TC = Teq),</t>
        </is>
      </c>
    </row>
    <row r="12">
      <c r="A12" s="25" t="inlineStr">
        <is>
          <t>entonces los cuerpos A y B están en equilibrio térmico entre sí (TA = TB = Teq). La Temperatura es una función de estado universal.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8" customWidth="1" min="1" max="1"/>
    <col width="15" customWidth="1" min="2" max="2"/>
    <col width="15" customWidth="1" min="3" max="3"/>
    <col width="15" customWidth="1" min="4" max="4"/>
    <col width="21" customWidth="1" min="5" max="5"/>
    <col width="14" customWidth="1" min="6" max="6"/>
    <col width="14" customWidth="1" min="7" max="7"/>
    <col width="14" customWidth="1" min="8" max="8"/>
    <col width="18" customWidth="1" min="9" max="9"/>
    <col width="18" customWidth="1" min="10" max="10"/>
    <col width="19" customWidth="1" min="11" max="11"/>
    <col width="28" customWidth="1" min="12" max="12"/>
  </cols>
  <sheetData>
    <row r="1">
      <c r="A1" s="1" t="inlineStr">
        <is>
          <t>CONTINUUM LAB // HISTORIAL DE CONDUCCIÓN TÉRMICA TRANSIENTE</t>
        </is>
      </c>
    </row>
    <row r="2">
      <c r="A2" s="2" t="inlineStr">
        <is>
          <t>Registro numérico de temperaturas medias, gradientes y verificación de transitividad</t>
        </is>
      </c>
    </row>
    <row r="3"/>
    <row r="4">
      <c r="A4" s="3" t="inlineStr">
        <is>
          <t>Tiempo t [s]</t>
        </is>
      </c>
      <c r="B4" s="3" t="inlineStr">
        <is>
          <t>T_A(t) [°C]</t>
        </is>
      </c>
      <c r="C4" s="3" t="inlineStr">
        <is>
          <t>T_C(t) [°C]</t>
        </is>
      </c>
      <c r="D4" s="3" t="inlineStr">
        <is>
          <t>T_B(t) [°C]</t>
        </is>
      </c>
      <c r="E4" s="3" t="inlineStr">
        <is>
          <t>T_eq Teórica [°C]</t>
        </is>
      </c>
      <c r="F4" s="3" t="inlineStr">
        <is>
          <t>ΔT_AC [°C]</t>
        </is>
      </c>
      <c r="G4" s="3" t="inlineStr">
        <is>
          <t>ΔT_CB [°C]</t>
        </is>
      </c>
      <c r="H4" s="3" t="inlineStr">
        <is>
          <t>ΔT_AB [°C]</t>
        </is>
      </c>
      <c r="I4" s="3" t="inlineStr">
        <is>
          <t>Flujo Q_AC [W]</t>
        </is>
      </c>
      <c r="J4" s="3" t="inlineStr">
        <is>
          <t>Flujo Q_CB [W]</t>
        </is>
      </c>
      <c r="K4" s="3" t="inlineStr">
        <is>
          <t>dS_gen/dt [W/K]</t>
        </is>
      </c>
      <c r="L4" s="3" t="inlineStr">
        <is>
          <t>Error Transitividad [°C]</t>
        </is>
      </c>
    </row>
    <row r="5">
      <c r="A5" s="26" t="n">
        <v>0</v>
      </c>
      <c r="B5" s="27">
        <f>Resumen_Sistema!$I$8+(Resumen_Sistema!$I$5-Resumen_Sistema!$I$8)*EXP(-0.16*A5)</f>
        <v/>
      </c>
      <c r="C5" s="27">
        <f>Resumen_Sistema!$I$8+(Resumen_Sistema!$I$6-Resumen_Sistema!$I$8)*EXP(-0.35*A5)</f>
        <v/>
      </c>
      <c r="D5" s="27">
        <f>Resumen_Sistema!$I$8+(Resumen_Sistema!$I$7-Resumen_Sistema!$I$8)*EXP(-0.19*A5)</f>
        <v/>
      </c>
      <c r="E5" s="27">
        <f>Resumen_Sistema!$I$8</f>
        <v/>
      </c>
      <c r="F5" s="27">
        <f>ABS(B5-C5)</f>
        <v/>
      </c>
      <c r="G5" s="27">
        <f>ABS(C5-D5)</f>
        <v/>
      </c>
      <c r="H5" s="27">
        <f>ABS(B5-D5)</f>
        <v/>
      </c>
      <c r="I5" s="28">
        <f>1850*EXP(-0.16*A5)</f>
        <v/>
      </c>
      <c r="J5" s="28">
        <f>1120*EXP(-0.19*A5)</f>
        <v/>
      </c>
      <c r="K5" s="29">
        <f>4.25*EXP(-0.28*A5)</f>
        <v/>
      </c>
      <c r="L5" s="30">
        <f>H5-(F5+G5)</f>
        <v/>
      </c>
    </row>
    <row r="6">
      <c r="A6" s="31" t="n">
        <v>0.5</v>
      </c>
      <c r="B6" s="32">
        <f>Resumen_Sistema!$I$8+(Resumen_Sistema!$I$5-Resumen_Sistema!$I$8)*EXP(-0.16*A6)</f>
        <v/>
      </c>
      <c r="C6" s="32">
        <f>Resumen_Sistema!$I$8+(Resumen_Sistema!$I$6-Resumen_Sistema!$I$8)*EXP(-0.35*A6)</f>
        <v/>
      </c>
      <c r="D6" s="32">
        <f>Resumen_Sistema!$I$8+(Resumen_Sistema!$I$7-Resumen_Sistema!$I$8)*EXP(-0.19*A6)</f>
        <v/>
      </c>
      <c r="E6" s="32">
        <f>Resumen_Sistema!$I$8</f>
        <v/>
      </c>
      <c r="F6" s="32">
        <f>ABS(B6-C6)</f>
        <v/>
      </c>
      <c r="G6" s="32">
        <f>ABS(C6-D6)</f>
        <v/>
      </c>
      <c r="H6" s="32">
        <f>ABS(B6-D6)</f>
        <v/>
      </c>
      <c r="I6" s="33">
        <f>1850*EXP(-0.16*A6)</f>
        <v/>
      </c>
      <c r="J6" s="33">
        <f>1120*EXP(-0.19*A6)</f>
        <v/>
      </c>
      <c r="K6" s="34">
        <f>4.25*EXP(-0.28*A6)</f>
        <v/>
      </c>
      <c r="L6" s="35">
        <f>H6-(F6+G6)</f>
        <v/>
      </c>
    </row>
    <row r="7">
      <c r="A7" s="26" t="n">
        <v>1</v>
      </c>
      <c r="B7" s="27">
        <f>Resumen_Sistema!$I$8+(Resumen_Sistema!$I$5-Resumen_Sistema!$I$8)*EXP(-0.16*A7)</f>
        <v/>
      </c>
      <c r="C7" s="27">
        <f>Resumen_Sistema!$I$8+(Resumen_Sistema!$I$6-Resumen_Sistema!$I$8)*EXP(-0.35*A7)</f>
        <v/>
      </c>
      <c r="D7" s="27">
        <f>Resumen_Sistema!$I$8+(Resumen_Sistema!$I$7-Resumen_Sistema!$I$8)*EXP(-0.19*A7)</f>
        <v/>
      </c>
      <c r="E7" s="27">
        <f>Resumen_Sistema!$I$8</f>
        <v/>
      </c>
      <c r="F7" s="27">
        <f>ABS(B7-C7)</f>
        <v/>
      </c>
      <c r="G7" s="27">
        <f>ABS(C7-D7)</f>
        <v/>
      </c>
      <c r="H7" s="27">
        <f>ABS(B7-D7)</f>
        <v/>
      </c>
      <c r="I7" s="28">
        <f>1850*EXP(-0.16*A7)</f>
        <v/>
      </c>
      <c r="J7" s="28">
        <f>1120*EXP(-0.19*A7)</f>
        <v/>
      </c>
      <c r="K7" s="29">
        <f>4.25*EXP(-0.28*A7)</f>
        <v/>
      </c>
      <c r="L7" s="30">
        <f>H7-(F7+G7)</f>
        <v/>
      </c>
    </row>
    <row r="8">
      <c r="A8" s="31" t="n">
        <v>1.5</v>
      </c>
      <c r="B8" s="32">
        <f>Resumen_Sistema!$I$8+(Resumen_Sistema!$I$5-Resumen_Sistema!$I$8)*EXP(-0.16*A8)</f>
        <v/>
      </c>
      <c r="C8" s="32">
        <f>Resumen_Sistema!$I$8+(Resumen_Sistema!$I$6-Resumen_Sistema!$I$8)*EXP(-0.35*A8)</f>
        <v/>
      </c>
      <c r="D8" s="32">
        <f>Resumen_Sistema!$I$8+(Resumen_Sistema!$I$7-Resumen_Sistema!$I$8)*EXP(-0.19*A8)</f>
        <v/>
      </c>
      <c r="E8" s="32">
        <f>Resumen_Sistema!$I$8</f>
        <v/>
      </c>
      <c r="F8" s="32">
        <f>ABS(B8-C8)</f>
        <v/>
      </c>
      <c r="G8" s="32">
        <f>ABS(C8-D8)</f>
        <v/>
      </c>
      <c r="H8" s="32">
        <f>ABS(B8-D8)</f>
        <v/>
      </c>
      <c r="I8" s="33">
        <f>1850*EXP(-0.16*A8)</f>
        <v/>
      </c>
      <c r="J8" s="33">
        <f>1120*EXP(-0.19*A8)</f>
        <v/>
      </c>
      <c r="K8" s="34">
        <f>4.25*EXP(-0.28*A8)</f>
        <v/>
      </c>
      <c r="L8" s="35">
        <f>H8-(F8+G8)</f>
        <v/>
      </c>
    </row>
    <row r="9">
      <c r="A9" s="26" t="n">
        <v>2</v>
      </c>
      <c r="B9" s="27">
        <f>Resumen_Sistema!$I$8+(Resumen_Sistema!$I$5-Resumen_Sistema!$I$8)*EXP(-0.16*A9)</f>
        <v/>
      </c>
      <c r="C9" s="27">
        <f>Resumen_Sistema!$I$8+(Resumen_Sistema!$I$6-Resumen_Sistema!$I$8)*EXP(-0.35*A9)</f>
        <v/>
      </c>
      <c r="D9" s="27">
        <f>Resumen_Sistema!$I$8+(Resumen_Sistema!$I$7-Resumen_Sistema!$I$8)*EXP(-0.19*A9)</f>
        <v/>
      </c>
      <c r="E9" s="27">
        <f>Resumen_Sistema!$I$8</f>
        <v/>
      </c>
      <c r="F9" s="27">
        <f>ABS(B9-C9)</f>
        <v/>
      </c>
      <c r="G9" s="27">
        <f>ABS(C9-D9)</f>
        <v/>
      </c>
      <c r="H9" s="27">
        <f>ABS(B9-D9)</f>
        <v/>
      </c>
      <c r="I9" s="28">
        <f>1850*EXP(-0.16*A9)</f>
        <v/>
      </c>
      <c r="J9" s="28">
        <f>1120*EXP(-0.19*A9)</f>
        <v/>
      </c>
      <c r="K9" s="29">
        <f>4.25*EXP(-0.28*A9)</f>
        <v/>
      </c>
      <c r="L9" s="30">
        <f>H9-(F9+G9)</f>
        <v/>
      </c>
    </row>
    <row r="10">
      <c r="A10" s="31" t="n">
        <v>2.5</v>
      </c>
      <c r="B10" s="32">
        <f>Resumen_Sistema!$I$8+(Resumen_Sistema!$I$5-Resumen_Sistema!$I$8)*EXP(-0.16*A10)</f>
        <v/>
      </c>
      <c r="C10" s="32">
        <f>Resumen_Sistema!$I$8+(Resumen_Sistema!$I$6-Resumen_Sistema!$I$8)*EXP(-0.35*A10)</f>
        <v/>
      </c>
      <c r="D10" s="32">
        <f>Resumen_Sistema!$I$8+(Resumen_Sistema!$I$7-Resumen_Sistema!$I$8)*EXP(-0.19*A10)</f>
        <v/>
      </c>
      <c r="E10" s="32">
        <f>Resumen_Sistema!$I$8</f>
        <v/>
      </c>
      <c r="F10" s="32">
        <f>ABS(B10-C10)</f>
        <v/>
      </c>
      <c r="G10" s="32">
        <f>ABS(C10-D10)</f>
        <v/>
      </c>
      <c r="H10" s="32">
        <f>ABS(B10-D10)</f>
        <v/>
      </c>
      <c r="I10" s="33">
        <f>1850*EXP(-0.16*A10)</f>
        <v/>
      </c>
      <c r="J10" s="33">
        <f>1120*EXP(-0.19*A10)</f>
        <v/>
      </c>
      <c r="K10" s="34">
        <f>4.25*EXP(-0.28*A10)</f>
        <v/>
      </c>
      <c r="L10" s="35">
        <f>H10-(F10+G10)</f>
        <v/>
      </c>
    </row>
    <row r="11">
      <c r="A11" s="26" t="n">
        <v>3</v>
      </c>
      <c r="B11" s="27">
        <f>Resumen_Sistema!$I$8+(Resumen_Sistema!$I$5-Resumen_Sistema!$I$8)*EXP(-0.16*A11)</f>
        <v/>
      </c>
      <c r="C11" s="27">
        <f>Resumen_Sistema!$I$8+(Resumen_Sistema!$I$6-Resumen_Sistema!$I$8)*EXP(-0.35*A11)</f>
        <v/>
      </c>
      <c r="D11" s="27">
        <f>Resumen_Sistema!$I$8+(Resumen_Sistema!$I$7-Resumen_Sistema!$I$8)*EXP(-0.19*A11)</f>
        <v/>
      </c>
      <c r="E11" s="27">
        <f>Resumen_Sistema!$I$8</f>
        <v/>
      </c>
      <c r="F11" s="27">
        <f>ABS(B11-C11)</f>
        <v/>
      </c>
      <c r="G11" s="27">
        <f>ABS(C11-D11)</f>
        <v/>
      </c>
      <c r="H11" s="27">
        <f>ABS(B11-D11)</f>
        <v/>
      </c>
      <c r="I11" s="28">
        <f>1850*EXP(-0.16*A11)</f>
        <v/>
      </c>
      <c r="J11" s="28">
        <f>1120*EXP(-0.19*A11)</f>
        <v/>
      </c>
      <c r="K11" s="29">
        <f>4.25*EXP(-0.28*A11)</f>
        <v/>
      </c>
      <c r="L11" s="30">
        <f>H11-(F11+G11)</f>
        <v/>
      </c>
    </row>
    <row r="12">
      <c r="A12" s="31" t="n">
        <v>3.5</v>
      </c>
      <c r="B12" s="32">
        <f>Resumen_Sistema!$I$8+(Resumen_Sistema!$I$5-Resumen_Sistema!$I$8)*EXP(-0.16*A12)</f>
        <v/>
      </c>
      <c r="C12" s="32">
        <f>Resumen_Sistema!$I$8+(Resumen_Sistema!$I$6-Resumen_Sistema!$I$8)*EXP(-0.35*A12)</f>
        <v/>
      </c>
      <c r="D12" s="32">
        <f>Resumen_Sistema!$I$8+(Resumen_Sistema!$I$7-Resumen_Sistema!$I$8)*EXP(-0.19*A12)</f>
        <v/>
      </c>
      <c r="E12" s="32">
        <f>Resumen_Sistema!$I$8</f>
        <v/>
      </c>
      <c r="F12" s="32">
        <f>ABS(B12-C12)</f>
        <v/>
      </c>
      <c r="G12" s="32">
        <f>ABS(C12-D12)</f>
        <v/>
      </c>
      <c r="H12" s="32">
        <f>ABS(B12-D12)</f>
        <v/>
      </c>
      <c r="I12" s="33">
        <f>1850*EXP(-0.16*A12)</f>
        <v/>
      </c>
      <c r="J12" s="33">
        <f>1120*EXP(-0.19*A12)</f>
        <v/>
      </c>
      <c r="K12" s="34">
        <f>4.25*EXP(-0.28*A12)</f>
        <v/>
      </c>
      <c r="L12" s="35">
        <f>H12-(F12+G12)</f>
        <v/>
      </c>
    </row>
    <row r="13">
      <c r="A13" s="26" t="n">
        <v>4</v>
      </c>
      <c r="B13" s="27">
        <f>Resumen_Sistema!$I$8+(Resumen_Sistema!$I$5-Resumen_Sistema!$I$8)*EXP(-0.16*A13)</f>
        <v/>
      </c>
      <c r="C13" s="27">
        <f>Resumen_Sistema!$I$8+(Resumen_Sistema!$I$6-Resumen_Sistema!$I$8)*EXP(-0.35*A13)</f>
        <v/>
      </c>
      <c r="D13" s="27">
        <f>Resumen_Sistema!$I$8+(Resumen_Sistema!$I$7-Resumen_Sistema!$I$8)*EXP(-0.19*A13)</f>
        <v/>
      </c>
      <c r="E13" s="27">
        <f>Resumen_Sistema!$I$8</f>
        <v/>
      </c>
      <c r="F13" s="27">
        <f>ABS(B13-C13)</f>
        <v/>
      </c>
      <c r="G13" s="27">
        <f>ABS(C13-D13)</f>
        <v/>
      </c>
      <c r="H13" s="27">
        <f>ABS(B13-D13)</f>
        <v/>
      </c>
      <c r="I13" s="28">
        <f>1850*EXP(-0.16*A13)</f>
        <v/>
      </c>
      <c r="J13" s="28">
        <f>1120*EXP(-0.19*A13)</f>
        <v/>
      </c>
      <c r="K13" s="29">
        <f>4.25*EXP(-0.28*A13)</f>
        <v/>
      </c>
      <c r="L13" s="30">
        <f>H13-(F13+G13)</f>
        <v/>
      </c>
    </row>
    <row r="14">
      <c r="A14" s="31" t="n">
        <v>4.5</v>
      </c>
      <c r="B14" s="32">
        <f>Resumen_Sistema!$I$8+(Resumen_Sistema!$I$5-Resumen_Sistema!$I$8)*EXP(-0.16*A14)</f>
        <v/>
      </c>
      <c r="C14" s="32">
        <f>Resumen_Sistema!$I$8+(Resumen_Sistema!$I$6-Resumen_Sistema!$I$8)*EXP(-0.35*A14)</f>
        <v/>
      </c>
      <c r="D14" s="32">
        <f>Resumen_Sistema!$I$8+(Resumen_Sistema!$I$7-Resumen_Sistema!$I$8)*EXP(-0.19*A14)</f>
        <v/>
      </c>
      <c r="E14" s="32">
        <f>Resumen_Sistema!$I$8</f>
        <v/>
      </c>
      <c r="F14" s="32">
        <f>ABS(B14-C14)</f>
        <v/>
      </c>
      <c r="G14" s="32">
        <f>ABS(C14-D14)</f>
        <v/>
      </c>
      <c r="H14" s="32">
        <f>ABS(B14-D14)</f>
        <v/>
      </c>
      <c r="I14" s="33">
        <f>1850*EXP(-0.16*A14)</f>
        <v/>
      </c>
      <c r="J14" s="33">
        <f>1120*EXP(-0.19*A14)</f>
        <v/>
      </c>
      <c r="K14" s="34">
        <f>4.25*EXP(-0.28*A14)</f>
        <v/>
      </c>
      <c r="L14" s="35">
        <f>H14-(F14+G14)</f>
        <v/>
      </c>
    </row>
    <row r="15">
      <c r="A15" s="26" t="n">
        <v>5</v>
      </c>
      <c r="B15" s="27">
        <f>Resumen_Sistema!$I$8+(Resumen_Sistema!$I$5-Resumen_Sistema!$I$8)*EXP(-0.16*A15)</f>
        <v/>
      </c>
      <c r="C15" s="27">
        <f>Resumen_Sistema!$I$8+(Resumen_Sistema!$I$6-Resumen_Sistema!$I$8)*EXP(-0.35*A15)</f>
        <v/>
      </c>
      <c r="D15" s="27">
        <f>Resumen_Sistema!$I$8+(Resumen_Sistema!$I$7-Resumen_Sistema!$I$8)*EXP(-0.19*A15)</f>
        <v/>
      </c>
      <c r="E15" s="27">
        <f>Resumen_Sistema!$I$8</f>
        <v/>
      </c>
      <c r="F15" s="27">
        <f>ABS(B15-C15)</f>
        <v/>
      </c>
      <c r="G15" s="27">
        <f>ABS(C15-D15)</f>
        <v/>
      </c>
      <c r="H15" s="27">
        <f>ABS(B15-D15)</f>
        <v/>
      </c>
      <c r="I15" s="28">
        <f>1850*EXP(-0.16*A15)</f>
        <v/>
      </c>
      <c r="J15" s="28">
        <f>1120*EXP(-0.19*A15)</f>
        <v/>
      </c>
      <c r="K15" s="29">
        <f>4.25*EXP(-0.28*A15)</f>
        <v/>
      </c>
      <c r="L15" s="30">
        <f>H15-(F15+G15)</f>
        <v/>
      </c>
    </row>
    <row r="16">
      <c r="A16" s="31" t="n">
        <v>5.5</v>
      </c>
      <c r="B16" s="32">
        <f>Resumen_Sistema!$I$8+(Resumen_Sistema!$I$5-Resumen_Sistema!$I$8)*EXP(-0.16*A16)</f>
        <v/>
      </c>
      <c r="C16" s="32">
        <f>Resumen_Sistema!$I$8+(Resumen_Sistema!$I$6-Resumen_Sistema!$I$8)*EXP(-0.35*A16)</f>
        <v/>
      </c>
      <c r="D16" s="32">
        <f>Resumen_Sistema!$I$8+(Resumen_Sistema!$I$7-Resumen_Sistema!$I$8)*EXP(-0.19*A16)</f>
        <v/>
      </c>
      <c r="E16" s="32">
        <f>Resumen_Sistema!$I$8</f>
        <v/>
      </c>
      <c r="F16" s="32">
        <f>ABS(B16-C16)</f>
        <v/>
      </c>
      <c r="G16" s="32">
        <f>ABS(C16-D16)</f>
        <v/>
      </c>
      <c r="H16" s="32">
        <f>ABS(B16-D16)</f>
        <v/>
      </c>
      <c r="I16" s="33">
        <f>1850*EXP(-0.16*A16)</f>
        <v/>
      </c>
      <c r="J16" s="33">
        <f>1120*EXP(-0.19*A16)</f>
        <v/>
      </c>
      <c r="K16" s="34">
        <f>4.25*EXP(-0.28*A16)</f>
        <v/>
      </c>
      <c r="L16" s="35">
        <f>H16-(F16+G16)</f>
        <v/>
      </c>
    </row>
    <row r="17">
      <c r="A17" s="26" t="n">
        <v>6</v>
      </c>
      <c r="B17" s="27">
        <f>Resumen_Sistema!$I$8+(Resumen_Sistema!$I$5-Resumen_Sistema!$I$8)*EXP(-0.16*A17)</f>
        <v/>
      </c>
      <c r="C17" s="27">
        <f>Resumen_Sistema!$I$8+(Resumen_Sistema!$I$6-Resumen_Sistema!$I$8)*EXP(-0.35*A17)</f>
        <v/>
      </c>
      <c r="D17" s="27">
        <f>Resumen_Sistema!$I$8+(Resumen_Sistema!$I$7-Resumen_Sistema!$I$8)*EXP(-0.19*A17)</f>
        <v/>
      </c>
      <c r="E17" s="27">
        <f>Resumen_Sistema!$I$8</f>
        <v/>
      </c>
      <c r="F17" s="27">
        <f>ABS(B17-C17)</f>
        <v/>
      </c>
      <c r="G17" s="27">
        <f>ABS(C17-D17)</f>
        <v/>
      </c>
      <c r="H17" s="27">
        <f>ABS(B17-D17)</f>
        <v/>
      </c>
      <c r="I17" s="28">
        <f>1850*EXP(-0.16*A17)</f>
        <v/>
      </c>
      <c r="J17" s="28">
        <f>1120*EXP(-0.19*A17)</f>
        <v/>
      </c>
      <c r="K17" s="29">
        <f>4.25*EXP(-0.28*A17)</f>
        <v/>
      </c>
      <c r="L17" s="30">
        <f>H17-(F17+G17)</f>
        <v/>
      </c>
    </row>
    <row r="18">
      <c r="A18" s="31" t="n">
        <v>6.5</v>
      </c>
      <c r="B18" s="32">
        <f>Resumen_Sistema!$I$8+(Resumen_Sistema!$I$5-Resumen_Sistema!$I$8)*EXP(-0.16*A18)</f>
        <v/>
      </c>
      <c r="C18" s="32">
        <f>Resumen_Sistema!$I$8+(Resumen_Sistema!$I$6-Resumen_Sistema!$I$8)*EXP(-0.35*A18)</f>
        <v/>
      </c>
      <c r="D18" s="32">
        <f>Resumen_Sistema!$I$8+(Resumen_Sistema!$I$7-Resumen_Sistema!$I$8)*EXP(-0.19*A18)</f>
        <v/>
      </c>
      <c r="E18" s="32">
        <f>Resumen_Sistema!$I$8</f>
        <v/>
      </c>
      <c r="F18" s="32">
        <f>ABS(B18-C18)</f>
        <v/>
      </c>
      <c r="G18" s="32">
        <f>ABS(C18-D18)</f>
        <v/>
      </c>
      <c r="H18" s="32">
        <f>ABS(B18-D18)</f>
        <v/>
      </c>
      <c r="I18" s="33">
        <f>1850*EXP(-0.16*A18)</f>
        <v/>
      </c>
      <c r="J18" s="33">
        <f>1120*EXP(-0.19*A18)</f>
        <v/>
      </c>
      <c r="K18" s="34">
        <f>4.25*EXP(-0.28*A18)</f>
        <v/>
      </c>
      <c r="L18" s="35">
        <f>H18-(F18+G18)</f>
        <v/>
      </c>
    </row>
    <row r="19">
      <c r="A19" s="26" t="n">
        <v>7</v>
      </c>
      <c r="B19" s="27">
        <f>Resumen_Sistema!$I$8+(Resumen_Sistema!$I$5-Resumen_Sistema!$I$8)*EXP(-0.16*A19)</f>
        <v/>
      </c>
      <c r="C19" s="27">
        <f>Resumen_Sistema!$I$8+(Resumen_Sistema!$I$6-Resumen_Sistema!$I$8)*EXP(-0.35*A19)</f>
        <v/>
      </c>
      <c r="D19" s="27">
        <f>Resumen_Sistema!$I$8+(Resumen_Sistema!$I$7-Resumen_Sistema!$I$8)*EXP(-0.19*A19)</f>
        <v/>
      </c>
      <c r="E19" s="27">
        <f>Resumen_Sistema!$I$8</f>
        <v/>
      </c>
      <c r="F19" s="27">
        <f>ABS(B19-C19)</f>
        <v/>
      </c>
      <c r="G19" s="27">
        <f>ABS(C19-D19)</f>
        <v/>
      </c>
      <c r="H19" s="27">
        <f>ABS(B19-D19)</f>
        <v/>
      </c>
      <c r="I19" s="28">
        <f>1850*EXP(-0.16*A19)</f>
        <v/>
      </c>
      <c r="J19" s="28">
        <f>1120*EXP(-0.19*A19)</f>
        <v/>
      </c>
      <c r="K19" s="29">
        <f>4.25*EXP(-0.28*A19)</f>
        <v/>
      </c>
      <c r="L19" s="30">
        <f>H19-(F19+G19)</f>
        <v/>
      </c>
    </row>
    <row r="20">
      <c r="A20" s="31" t="n">
        <v>7.5</v>
      </c>
      <c r="B20" s="32">
        <f>Resumen_Sistema!$I$8+(Resumen_Sistema!$I$5-Resumen_Sistema!$I$8)*EXP(-0.16*A20)</f>
        <v/>
      </c>
      <c r="C20" s="32">
        <f>Resumen_Sistema!$I$8+(Resumen_Sistema!$I$6-Resumen_Sistema!$I$8)*EXP(-0.35*A20)</f>
        <v/>
      </c>
      <c r="D20" s="32">
        <f>Resumen_Sistema!$I$8+(Resumen_Sistema!$I$7-Resumen_Sistema!$I$8)*EXP(-0.19*A20)</f>
        <v/>
      </c>
      <c r="E20" s="32">
        <f>Resumen_Sistema!$I$8</f>
        <v/>
      </c>
      <c r="F20" s="32">
        <f>ABS(B20-C20)</f>
        <v/>
      </c>
      <c r="G20" s="32">
        <f>ABS(C20-D20)</f>
        <v/>
      </c>
      <c r="H20" s="32">
        <f>ABS(B20-D20)</f>
        <v/>
      </c>
      <c r="I20" s="33">
        <f>1850*EXP(-0.16*A20)</f>
        <v/>
      </c>
      <c r="J20" s="33">
        <f>1120*EXP(-0.19*A20)</f>
        <v/>
      </c>
      <c r="K20" s="34">
        <f>4.25*EXP(-0.28*A20)</f>
        <v/>
      </c>
      <c r="L20" s="35">
        <f>H20-(F20+G20)</f>
        <v/>
      </c>
    </row>
    <row r="21">
      <c r="A21" s="26" t="n">
        <v>8</v>
      </c>
      <c r="B21" s="27">
        <f>Resumen_Sistema!$I$8+(Resumen_Sistema!$I$5-Resumen_Sistema!$I$8)*EXP(-0.16*A21)</f>
        <v/>
      </c>
      <c r="C21" s="27">
        <f>Resumen_Sistema!$I$8+(Resumen_Sistema!$I$6-Resumen_Sistema!$I$8)*EXP(-0.35*A21)</f>
        <v/>
      </c>
      <c r="D21" s="27">
        <f>Resumen_Sistema!$I$8+(Resumen_Sistema!$I$7-Resumen_Sistema!$I$8)*EXP(-0.19*A21)</f>
        <v/>
      </c>
      <c r="E21" s="27">
        <f>Resumen_Sistema!$I$8</f>
        <v/>
      </c>
      <c r="F21" s="27">
        <f>ABS(B21-C21)</f>
        <v/>
      </c>
      <c r="G21" s="27">
        <f>ABS(C21-D21)</f>
        <v/>
      </c>
      <c r="H21" s="27">
        <f>ABS(B21-D21)</f>
        <v/>
      </c>
      <c r="I21" s="28">
        <f>1850*EXP(-0.16*A21)</f>
        <v/>
      </c>
      <c r="J21" s="28">
        <f>1120*EXP(-0.19*A21)</f>
        <v/>
      </c>
      <c r="K21" s="29">
        <f>4.25*EXP(-0.28*A21)</f>
        <v/>
      </c>
      <c r="L21" s="30">
        <f>H21-(F21+G21)</f>
        <v/>
      </c>
    </row>
    <row r="22">
      <c r="A22" s="31" t="n">
        <v>8.5</v>
      </c>
      <c r="B22" s="32">
        <f>Resumen_Sistema!$I$8+(Resumen_Sistema!$I$5-Resumen_Sistema!$I$8)*EXP(-0.16*A22)</f>
        <v/>
      </c>
      <c r="C22" s="32">
        <f>Resumen_Sistema!$I$8+(Resumen_Sistema!$I$6-Resumen_Sistema!$I$8)*EXP(-0.35*A22)</f>
        <v/>
      </c>
      <c r="D22" s="32">
        <f>Resumen_Sistema!$I$8+(Resumen_Sistema!$I$7-Resumen_Sistema!$I$8)*EXP(-0.19*A22)</f>
        <v/>
      </c>
      <c r="E22" s="32">
        <f>Resumen_Sistema!$I$8</f>
        <v/>
      </c>
      <c r="F22" s="32">
        <f>ABS(B22-C22)</f>
        <v/>
      </c>
      <c r="G22" s="32">
        <f>ABS(C22-D22)</f>
        <v/>
      </c>
      <c r="H22" s="32">
        <f>ABS(B22-D22)</f>
        <v/>
      </c>
      <c r="I22" s="33">
        <f>1850*EXP(-0.16*A22)</f>
        <v/>
      </c>
      <c r="J22" s="33">
        <f>1120*EXP(-0.19*A22)</f>
        <v/>
      </c>
      <c r="K22" s="34">
        <f>4.25*EXP(-0.28*A22)</f>
        <v/>
      </c>
      <c r="L22" s="35">
        <f>H22-(F22+G22)</f>
        <v/>
      </c>
    </row>
    <row r="23">
      <c r="A23" s="26" t="n">
        <v>9</v>
      </c>
      <c r="B23" s="27">
        <f>Resumen_Sistema!$I$8+(Resumen_Sistema!$I$5-Resumen_Sistema!$I$8)*EXP(-0.16*A23)</f>
        <v/>
      </c>
      <c r="C23" s="27">
        <f>Resumen_Sistema!$I$8+(Resumen_Sistema!$I$6-Resumen_Sistema!$I$8)*EXP(-0.35*A23)</f>
        <v/>
      </c>
      <c r="D23" s="27">
        <f>Resumen_Sistema!$I$8+(Resumen_Sistema!$I$7-Resumen_Sistema!$I$8)*EXP(-0.19*A23)</f>
        <v/>
      </c>
      <c r="E23" s="27">
        <f>Resumen_Sistema!$I$8</f>
        <v/>
      </c>
      <c r="F23" s="27">
        <f>ABS(B23-C23)</f>
        <v/>
      </c>
      <c r="G23" s="27">
        <f>ABS(C23-D23)</f>
        <v/>
      </c>
      <c r="H23" s="27">
        <f>ABS(B23-D23)</f>
        <v/>
      </c>
      <c r="I23" s="28">
        <f>1850*EXP(-0.16*A23)</f>
        <v/>
      </c>
      <c r="J23" s="28">
        <f>1120*EXP(-0.19*A23)</f>
        <v/>
      </c>
      <c r="K23" s="29">
        <f>4.25*EXP(-0.28*A23)</f>
        <v/>
      </c>
      <c r="L23" s="30">
        <f>H23-(F23+G23)</f>
        <v/>
      </c>
    </row>
    <row r="24">
      <c r="A24" s="31" t="n">
        <v>9.5</v>
      </c>
      <c r="B24" s="32">
        <f>Resumen_Sistema!$I$8+(Resumen_Sistema!$I$5-Resumen_Sistema!$I$8)*EXP(-0.16*A24)</f>
        <v/>
      </c>
      <c r="C24" s="32">
        <f>Resumen_Sistema!$I$8+(Resumen_Sistema!$I$6-Resumen_Sistema!$I$8)*EXP(-0.35*A24)</f>
        <v/>
      </c>
      <c r="D24" s="32">
        <f>Resumen_Sistema!$I$8+(Resumen_Sistema!$I$7-Resumen_Sistema!$I$8)*EXP(-0.19*A24)</f>
        <v/>
      </c>
      <c r="E24" s="32">
        <f>Resumen_Sistema!$I$8</f>
        <v/>
      </c>
      <c r="F24" s="32">
        <f>ABS(B24-C24)</f>
        <v/>
      </c>
      <c r="G24" s="32">
        <f>ABS(C24-D24)</f>
        <v/>
      </c>
      <c r="H24" s="32">
        <f>ABS(B24-D24)</f>
        <v/>
      </c>
      <c r="I24" s="33">
        <f>1850*EXP(-0.16*A24)</f>
        <v/>
      </c>
      <c r="J24" s="33">
        <f>1120*EXP(-0.19*A24)</f>
        <v/>
      </c>
      <c r="K24" s="34">
        <f>4.25*EXP(-0.28*A24)</f>
        <v/>
      </c>
      <c r="L24" s="35">
        <f>H24-(F24+G24)</f>
        <v/>
      </c>
    </row>
    <row r="25">
      <c r="A25" s="26" t="n">
        <v>10</v>
      </c>
      <c r="B25" s="27">
        <f>Resumen_Sistema!$I$8+(Resumen_Sistema!$I$5-Resumen_Sistema!$I$8)*EXP(-0.16*A25)</f>
        <v/>
      </c>
      <c r="C25" s="27">
        <f>Resumen_Sistema!$I$8+(Resumen_Sistema!$I$6-Resumen_Sistema!$I$8)*EXP(-0.35*A25)</f>
        <v/>
      </c>
      <c r="D25" s="27">
        <f>Resumen_Sistema!$I$8+(Resumen_Sistema!$I$7-Resumen_Sistema!$I$8)*EXP(-0.19*A25)</f>
        <v/>
      </c>
      <c r="E25" s="27">
        <f>Resumen_Sistema!$I$8</f>
        <v/>
      </c>
      <c r="F25" s="27">
        <f>ABS(B25-C25)</f>
        <v/>
      </c>
      <c r="G25" s="27">
        <f>ABS(C25-D25)</f>
        <v/>
      </c>
      <c r="H25" s="27">
        <f>ABS(B25-D25)</f>
        <v/>
      </c>
      <c r="I25" s="28">
        <f>1850*EXP(-0.16*A25)</f>
        <v/>
      </c>
      <c r="J25" s="28">
        <f>1120*EXP(-0.19*A25)</f>
        <v/>
      </c>
      <c r="K25" s="29">
        <f>4.25*EXP(-0.28*A25)</f>
        <v/>
      </c>
      <c r="L25" s="30">
        <f>H25-(F25+G25)</f>
        <v/>
      </c>
    </row>
    <row r="26">
      <c r="A26" s="31" t="n">
        <v>10.5</v>
      </c>
      <c r="B26" s="32">
        <f>Resumen_Sistema!$I$8+(Resumen_Sistema!$I$5-Resumen_Sistema!$I$8)*EXP(-0.16*A26)</f>
        <v/>
      </c>
      <c r="C26" s="32">
        <f>Resumen_Sistema!$I$8+(Resumen_Sistema!$I$6-Resumen_Sistema!$I$8)*EXP(-0.35*A26)</f>
        <v/>
      </c>
      <c r="D26" s="32">
        <f>Resumen_Sistema!$I$8+(Resumen_Sistema!$I$7-Resumen_Sistema!$I$8)*EXP(-0.19*A26)</f>
        <v/>
      </c>
      <c r="E26" s="32">
        <f>Resumen_Sistema!$I$8</f>
        <v/>
      </c>
      <c r="F26" s="32">
        <f>ABS(B26-C26)</f>
        <v/>
      </c>
      <c r="G26" s="32">
        <f>ABS(C26-D26)</f>
        <v/>
      </c>
      <c r="H26" s="32">
        <f>ABS(B26-D26)</f>
        <v/>
      </c>
      <c r="I26" s="33">
        <f>1850*EXP(-0.16*A26)</f>
        <v/>
      </c>
      <c r="J26" s="33">
        <f>1120*EXP(-0.19*A26)</f>
        <v/>
      </c>
      <c r="K26" s="34">
        <f>4.25*EXP(-0.28*A26)</f>
        <v/>
      </c>
      <c r="L26" s="35">
        <f>H26-(F26+G26)</f>
        <v/>
      </c>
    </row>
    <row r="27">
      <c r="A27" s="26" t="n">
        <v>11</v>
      </c>
      <c r="B27" s="27">
        <f>Resumen_Sistema!$I$8+(Resumen_Sistema!$I$5-Resumen_Sistema!$I$8)*EXP(-0.16*A27)</f>
        <v/>
      </c>
      <c r="C27" s="27">
        <f>Resumen_Sistema!$I$8+(Resumen_Sistema!$I$6-Resumen_Sistema!$I$8)*EXP(-0.35*A27)</f>
        <v/>
      </c>
      <c r="D27" s="27">
        <f>Resumen_Sistema!$I$8+(Resumen_Sistema!$I$7-Resumen_Sistema!$I$8)*EXP(-0.19*A27)</f>
        <v/>
      </c>
      <c r="E27" s="27">
        <f>Resumen_Sistema!$I$8</f>
        <v/>
      </c>
      <c r="F27" s="27">
        <f>ABS(B27-C27)</f>
        <v/>
      </c>
      <c r="G27" s="27">
        <f>ABS(C27-D27)</f>
        <v/>
      </c>
      <c r="H27" s="27">
        <f>ABS(B27-D27)</f>
        <v/>
      </c>
      <c r="I27" s="28">
        <f>1850*EXP(-0.16*A27)</f>
        <v/>
      </c>
      <c r="J27" s="28">
        <f>1120*EXP(-0.19*A27)</f>
        <v/>
      </c>
      <c r="K27" s="29">
        <f>4.25*EXP(-0.28*A27)</f>
        <v/>
      </c>
      <c r="L27" s="30">
        <f>H27-(F27+G27)</f>
        <v/>
      </c>
    </row>
    <row r="28">
      <c r="A28" s="31" t="n">
        <v>11.5</v>
      </c>
      <c r="B28" s="32">
        <f>Resumen_Sistema!$I$8+(Resumen_Sistema!$I$5-Resumen_Sistema!$I$8)*EXP(-0.16*A28)</f>
        <v/>
      </c>
      <c r="C28" s="32">
        <f>Resumen_Sistema!$I$8+(Resumen_Sistema!$I$6-Resumen_Sistema!$I$8)*EXP(-0.35*A28)</f>
        <v/>
      </c>
      <c r="D28" s="32">
        <f>Resumen_Sistema!$I$8+(Resumen_Sistema!$I$7-Resumen_Sistema!$I$8)*EXP(-0.19*A28)</f>
        <v/>
      </c>
      <c r="E28" s="32">
        <f>Resumen_Sistema!$I$8</f>
        <v/>
      </c>
      <c r="F28" s="32">
        <f>ABS(B28-C28)</f>
        <v/>
      </c>
      <c r="G28" s="32">
        <f>ABS(C28-D28)</f>
        <v/>
      </c>
      <c r="H28" s="32">
        <f>ABS(B28-D28)</f>
        <v/>
      </c>
      <c r="I28" s="33">
        <f>1850*EXP(-0.16*A28)</f>
        <v/>
      </c>
      <c r="J28" s="33">
        <f>1120*EXP(-0.19*A28)</f>
        <v/>
      </c>
      <c r="K28" s="34">
        <f>4.25*EXP(-0.28*A28)</f>
        <v/>
      </c>
      <c r="L28" s="35">
        <f>H28-(F28+G28)</f>
        <v/>
      </c>
    </row>
    <row r="29">
      <c r="A29" s="26" t="n">
        <v>12</v>
      </c>
      <c r="B29" s="27">
        <f>Resumen_Sistema!$I$8+(Resumen_Sistema!$I$5-Resumen_Sistema!$I$8)*EXP(-0.16*A29)</f>
        <v/>
      </c>
      <c r="C29" s="27">
        <f>Resumen_Sistema!$I$8+(Resumen_Sistema!$I$6-Resumen_Sistema!$I$8)*EXP(-0.35*A29)</f>
        <v/>
      </c>
      <c r="D29" s="27">
        <f>Resumen_Sistema!$I$8+(Resumen_Sistema!$I$7-Resumen_Sistema!$I$8)*EXP(-0.19*A29)</f>
        <v/>
      </c>
      <c r="E29" s="27">
        <f>Resumen_Sistema!$I$8</f>
        <v/>
      </c>
      <c r="F29" s="27">
        <f>ABS(B29-C29)</f>
        <v/>
      </c>
      <c r="G29" s="27">
        <f>ABS(C29-D29)</f>
        <v/>
      </c>
      <c r="H29" s="27">
        <f>ABS(B29-D29)</f>
        <v/>
      </c>
      <c r="I29" s="28">
        <f>1850*EXP(-0.16*A29)</f>
        <v/>
      </c>
      <c r="J29" s="28">
        <f>1120*EXP(-0.19*A29)</f>
        <v/>
      </c>
      <c r="K29" s="29">
        <f>4.25*EXP(-0.28*A29)</f>
        <v/>
      </c>
      <c r="L29" s="30">
        <f>H29-(F29+G29)</f>
        <v/>
      </c>
    </row>
    <row r="30">
      <c r="A30" s="31" t="n">
        <v>12.5</v>
      </c>
      <c r="B30" s="32">
        <f>Resumen_Sistema!$I$8+(Resumen_Sistema!$I$5-Resumen_Sistema!$I$8)*EXP(-0.16*A30)</f>
        <v/>
      </c>
      <c r="C30" s="32">
        <f>Resumen_Sistema!$I$8+(Resumen_Sistema!$I$6-Resumen_Sistema!$I$8)*EXP(-0.35*A30)</f>
        <v/>
      </c>
      <c r="D30" s="32">
        <f>Resumen_Sistema!$I$8+(Resumen_Sistema!$I$7-Resumen_Sistema!$I$8)*EXP(-0.19*A30)</f>
        <v/>
      </c>
      <c r="E30" s="32">
        <f>Resumen_Sistema!$I$8</f>
        <v/>
      </c>
      <c r="F30" s="32">
        <f>ABS(B30-C30)</f>
        <v/>
      </c>
      <c r="G30" s="32">
        <f>ABS(C30-D30)</f>
        <v/>
      </c>
      <c r="H30" s="32">
        <f>ABS(B30-D30)</f>
        <v/>
      </c>
      <c r="I30" s="33">
        <f>1850*EXP(-0.16*A30)</f>
        <v/>
      </c>
      <c r="J30" s="33">
        <f>1120*EXP(-0.19*A30)</f>
        <v/>
      </c>
      <c r="K30" s="34">
        <f>4.25*EXP(-0.28*A30)</f>
        <v/>
      </c>
      <c r="L30" s="35">
        <f>H30-(F30+G30)</f>
        <v/>
      </c>
    </row>
    <row r="31">
      <c r="A31" s="26" t="n">
        <v>13</v>
      </c>
      <c r="B31" s="27">
        <f>Resumen_Sistema!$I$8+(Resumen_Sistema!$I$5-Resumen_Sistema!$I$8)*EXP(-0.16*A31)</f>
        <v/>
      </c>
      <c r="C31" s="27">
        <f>Resumen_Sistema!$I$8+(Resumen_Sistema!$I$6-Resumen_Sistema!$I$8)*EXP(-0.35*A31)</f>
        <v/>
      </c>
      <c r="D31" s="27">
        <f>Resumen_Sistema!$I$8+(Resumen_Sistema!$I$7-Resumen_Sistema!$I$8)*EXP(-0.19*A31)</f>
        <v/>
      </c>
      <c r="E31" s="27">
        <f>Resumen_Sistema!$I$8</f>
        <v/>
      </c>
      <c r="F31" s="27">
        <f>ABS(B31-C31)</f>
        <v/>
      </c>
      <c r="G31" s="27">
        <f>ABS(C31-D31)</f>
        <v/>
      </c>
      <c r="H31" s="27">
        <f>ABS(B31-D31)</f>
        <v/>
      </c>
      <c r="I31" s="28">
        <f>1850*EXP(-0.16*A31)</f>
        <v/>
      </c>
      <c r="J31" s="28">
        <f>1120*EXP(-0.19*A31)</f>
        <v/>
      </c>
      <c r="K31" s="29">
        <f>4.25*EXP(-0.28*A31)</f>
        <v/>
      </c>
      <c r="L31" s="30">
        <f>H31-(F31+G31)</f>
        <v/>
      </c>
    </row>
    <row r="32">
      <c r="A32" s="31" t="n">
        <v>13.5</v>
      </c>
      <c r="B32" s="32">
        <f>Resumen_Sistema!$I$8+(Resumen_Sistema!$I$5-Resumen_Sistema!$I$8)*EXP(-0.16*A32)</f>
        <v/>
      </c>
      <c r="C32" s="32">
        <f>Resumen_Sistema!$I$8+(Resumen_Sistema!$I$6-Resumen_Sistema!$I$8)*EXP(-0.35*A32)</f>
        <v/>
      </c>
      <c r="D32" s="32">
        <f>Resumen_Sistema!$I$8+(Resumen_Sistema!$I$7-Resumen_Sistema!$I$8)*EXP(-0.19*A32)</f>
        <v/>
      </c>
      <c r="E32" s="32">
        <f>Resumen_Sistema!$I$8</f>
        <v/>
      </c>
      <c r="F32" s="32">
        <f>ABS(B32-C32)</f>
        <v/>
      </c>
      <c r="G32" s="32">
        <f>ABS(C32-D32)</f>
        <v/>
      </c>
      <c r="H32" s="32">
        <f>ABS(B32-D32)</f>
        <v/>
      </c>
      <c r="I32" s="33">
        <f>1850*EXP(-0.16*A32)</f>
        <v/>
      </c>
      <c r="J32" s="33">
        <f>1120*EXP(-0.19*A32)</f>
        <v/>
      </c>
      <c r="K32" s="34">
        <f>4.25*EXP(-0.28*A32)</f>
        <v/>
      </c>
      <c r="L32" s="35">
        <f>H32-(F32+G32)</f>
        <v/>
      </c>
    </row>
    <row r="33">
      <c r="A33" s="26" t="n">
        <v>14</v>
      </c>
      <c r="B33" s="27">
        <f>Resumen_Sistema!$I$8+(Resumen_Sistema!$I$5-Resumen_Sistema!$I$8)*EXP(-0.16*A33)</f>
        <v/>
      </c>
      <c r="C33" s="27">
        <f>Resumen_Sistema!$I$8+(Resumen_Sistema!$I$6-Resumen_Sistema!$I$8)*EXP(-0.35*A33)</f>
        <v/>
      </c>
      <c r="D33" s="27">
        <f>Resumen_Sistema!$I$8+(Resumen_Sistema!$I$7-Resumen_Sistema!$I$8)*EXP(-0.19*A33)</f>
        <v/>
      </c>
      <c r="E33" s="27">
        <f>Resumen_Sistema!$I$8</f>
        <v/>
      </c>
      <c r="F33" s="27">
        <f>ABS(B33-C33)</f>
        <v/>
      </c>
      <c r="G33" s="27">
        <f>ABS(C33-D33)</f>
        <v/>
      </c>
      <c r="H33" s="27">
        <f>ABS(B33-D33)</f>
        <v/>
      </c>
      <c r="I33" s="28">
        <f>1850*EXP(-0.16*A33)</f>
        <v/>
      </c>
      <c r="J33" s="28">
        <f>1120*EXP(-0.19*A33)</f>
        <v/>
      </c>
      <c r="K33" s="29">
        <f>4.25*EXP(-0.28*A33)</f>
        <v/>
      </c>
      <c r="L33" s="30">
        <f>H33-(F33+G33)</f>
        <v/>
      </c>
    </row>
    <row r="34">
      <c r="A34" s="31" t="n">
        <v>14.5</v>
      </c>
      <c r="B34" s="32">
        <f>Resumen_Sistema!$I$8+(Resumen_Sistema!$I$5-Resumen_Sistema!$I$8)*EXP(-0.16*A34)</f>
        <v/>
      </c>
      <c r="C34" s="32">
        <f>Resumen_Sistema!$I$8+(Resumen_Sistema!$I$6-Resumen_Sistema!$I$8)*EXP(-0.35*A34)</f>
        <v/>
      </c>
      <c r="D34" s="32">
        <f>Resumen_Sistema!$I$8+(Resumen_Sistema!$I$7-Resumen_Sistema!$I$8)*EXP(-0.19*A34)</f>
        <v/>
      </c>
      <c r="E34" s="32">
        <f>Resumen_Sistema!$I$8</f>
        <v/>
      </c>
      <c r="F34" s="32">
        <f>ABS(B34-C34)</f>
        <v/>
      </c>
      <c r="G34" s="32">
        <f>ABS(C34-D34)</f>
        <v/>
      </c>
      <c r="H34" s="32">
        <f>ABS(B34-D34)</f>
        <v/>
      </c>
      <c r="I34" s="33">
        <f>1850*EXP(-0.16*A34)</f>
        <v/>
      </c>
      <c r="J34" s="33">
        <f>1120*EXP(-0.19*A34)</f>
        <v/>
      </c>
      <c r="K34" s="34">
        <f>4.25*EXP(-0.28*A34)</f>
        <v/>
      </c>
      <c r="L34" s="35">
        <f>H34-(F34+G34)</f>
        <v/>
      </c>
    </row>
    <row r="35">
      <c r="A35" s="26" t="n">
        <v>15</v>
      </c>
      <c r="B35" s="27">
        <f>Resumen_Sistema!$I$8+(Resumen_Sistema!$I$5-Resumen_Sistema!$I$8)*EXP(-0.16*A35)</f>
        <v/>
      </c>
      <c r="C35" s="27">
        <f>Resumen_Sistema!$I$8+(Resumen_Sistema!$I$6-Resumen_Sistema!$I$8)*EXP(-0.35*A35)</f>
        <v/>
      </c>
      <c r="D35" s="27">
        <f>Resumen_Sistema!$I$8+(Resumen_Sistema!$I$7-Resumen_Sistema!$I$8)*EXP(-0.19*A35)</f>
        <v/>
      </c>
      <c r="E35" s="27">
        <f>Resumen_Sistema!$I$8</f>
        <v/>
      </c>
      <c r="F35" s="27">
        <f>ABS(B35-C35)</f>
        <v/>
      </c>
      <c r="G35" s="27">
        <f>ABS(C35-D35)</f>
        <v/>
      </c>
      <c r="H35" s="27">
        <f>ABS(B35-D35)</f>
        <v/>
      </c>
      <c r="I35" s="28">
        <f>1850*EXP(-0.16*A35)</f>
        <v/>
      </c>
      <c r="J35" s="28">
        <f>1120*EXP(-0.19*A35)</f>
        <v/>
      </c>
      <c r="K35" s="29">
        <f>4.25*EXP(-0.28*A35)</f>
        <v/>
      </c>
      <c r="L35" s="30">
        <f>H35-(F35+G35)</f>
        <v/>
      </c>
    </row>
    <row r="36">
      <c r="A36" s="31" t="n">
        <v>15.5</v>
      </c>
      <c r="B36" s="32">
        <f>Resumen_Sistema!$I$8+(Resumen_Sistema!$I$5-Resumen_Sistema!$I$8)*EXP(-0.16*A36)</f>
        <v/>
      </c>
      <c r="C36" s="32">
        <f>Resumen_Sistema!$I$8+(Resumen_Sistema!$I$6-Resumen_Sistema!$I$8)*EXP(-0.35*A36)</f>
        <v/>
      </c>
      <c r="D36" s="32">
        <f>Resumen_Sistema!$I$8+(Resumen_Sistema!$I$7-Resumen_Sistema!$I$8)*EXP(-0.19*A36)</f>
        <v/>
      </c>
      <c r="E36" s="32">
        <f>Resumen_Sistema!$I$8</f>
        <v/>
      </c>
      <c r="F36" s="32">
        <f>ABS(B36-C36)</f>
        <v/>
      </c>
      <c r="G36" s="32">
        <f>ABS(C36-D36)</f>
        <v/>
      </c>
      <c r="H36" s="32">
        <f>ABS(B36-D36)</f>
        <v/>
      </c>
      <c r="I36" s="33">
        <f>1850*EXP(-0.16*A36)</f>
        <v/>
      </c>
      <c r="J36" s="33">
        <f>1120*EXP(-0.19*A36)</f>
        <v/>
      </c>
      <c r="K36" s="34">
        <f>4.25*EXP(-0.28*A36)</f>
        <v/>
      </c>
      <c r="L36" s="35">
        <f>H36-(F36+G36)</f>
        <v/>
      </c>
    </row>
    <row r="37">
      <c r="A37" s="26" t="n">
        <v>16</v>
      </c>
      <c r="B37" s="27">
        <f>Resumen_Sistema!$I$8+(Resumen_Sistema!$I$5-Resumen_Sistema!$I$8)*EXP(-0.16*A37)</f>
        <v/>
      </c>
      <c r="C37" s="27">
        <f>Resumen_Sistema!$I$8+(Resumen_Sistema!$I$6-Resumen_Sistema!$I$8)*EXP(-0.35*A37)</f>
        <v/>
      </c>
      <c r="D37" s="27">
        <f>Resumen_Sistema!$I$8+(Resumen_Sistema!$I$7-Resumen_Sistema!$I$8)*EXP(-0.19*A37)</f>
        <v/>
      </c>
      <c r="E37" s="27">
        <f>Resumen_Sistema!$I$8</f>
        <v/>
      </c>
      <c r="F37" s="27">
        <f>ABS(B37-C37)</f>
        <v/>
      </c>
      <c r="G37" s="27">
        <f>ABS(C37-D37)</f>
        <v/>
      </c>
      <c r="H37" s="27">
        <f>ABS(B37-D37)</f>
        <v/>
      </c>
      <c r="I37" s="28">
        <f>1850*EXP(-0.16*A37)</f>
        <v/>
      </c>
      <c r="J37" s="28">
        <f>1120*EXP(-0.19*A37)</f>
        <v/>
      </c>
      <c r="K37" s="29">
        <f>4.25*EXP(-0.28*A37)</f>
        <v/>
      </c>
      <c r="L37" s="30">
        <f>H37-(F37+G37)</f>
        <v/>
      </c>
    </row>
    <row r="38">
      <c r="A38" s="31" t="n">
        <v>16.5</v>
      </c>
      <c r="B38" s="32">
        <f>Resumen_Sistema!$I$8+(Resumen_Sistema!$I$5-Resumen_Sistema!$I$8)*EXP(-0.16*A38)</f>
        <v/>
      </c>
      <c r="C38" s="32">
        <f>Resumen_Sistema!$I$8+(Resumen_Sistema!$I$6-Resumen_Sistema!$I$8)*EXP(-0.35*A38)</f>
        <v/>
      </c>
      <c r="D38" s="32">
        <f>Resumen_Sistema!$I$8+(Resumen_Sistema!$I$7-Resumen_Sistema!$I$8)*EXP(-0.19*A38)</f>
        <v/>
      </c>
      <c r="E38" s="32">
        <f>Resumen_Sistema!$I$8</f>
        <v/>
      </c>
      <c r="F38" s="32">
        <f>ABS(B38-C38)</f>
        <v/>
      </c>
      <c r="G38" s="32">
        <f>ABS(C38-D38)</f>
        <v/>
      </c>
      <c r="H38" s="32">
        <f>ABS(B38-D38)</f>
        <v/>
      </c>
      <c r="I38" s="33">
        <f>1850*EXP(-0.16*A38)</f>
        <v/>
      </c>
      <c r="J38" s="33">
        <f>1120*EXP(-0.19*A38)</f>
        <v/>
      </c>
      <c r="K38" s="34">
        <f>4.25*EXP(-0.28*A38)</f>
        <v/>
      </c>
      <c r="L38" s="35">
        <f>H38-(F38+G38)</f>
        <v/>
      </c>
    </row>
    <row r="39">
      <c r="A39" s="26" t="n">
        <v>17</v>
      </c>
      <c r="B39" s="27">
        <f>Resumen_Sistema!$I$8+(Resumen_Sistema!$I$5-Resumen_Sistema!$I$8)*EXP(-0.16*A39)</f>
        <v/>
      </c>
      <c r="C39" s="27">
        <f>Resumen_Sistema!$I$8+(Resumen_Sistema!$I$6-Resumen_Sistema!$I$8)*EXP(-0.35*A39)</f>
        <v/>
      </c>
      <c r="D39" s="27">
        <f>Resumen_Sistema!$I$8+(Resumen_Sistema!$I$7-Resumen_Sistema!$I$8)*EXP(-0.19*A39)</f>
        <v/>
      </c>
      <c r="E39" s="27">
        <f>Resumen_Sistema!$I$8</f>
        <v/>
      </c>
      <c r="F39" s="27">
        <f>ABS(B39-C39)</f>
        <v/>
      </c>
      <c r="G39" s="27">
        <f>ABS(C39-D39)</f>
        <v/>
      </c>
      <c r="H39" s="27">
        <f>ABS(B39-D39)</f>
        <v/>
      </c>
      <c r="I39" s="28">
        <f>1850*EXP(-0.16*A39)</f>
        <v/>
      </c>
      <c r="J39" s="28">
        <f>1120*EXP(-0.19*A39)</f>
        <v/>
      </c>
      <c r="K39" s="29">
        <f>4.25*EXP(-0.28*A39)</f>
        <v/>
      </c>
      <c r="L39" s="30">
        <f>H39-(F39+G39)</f>
        <v/>
      </c>
    </row>
    <row r="40">
      <c r="A40" s="31" t="n">
        <v>17.5</v>
      </c>
      <c r="B40" s="32">
        <f>Resumen_Sistema!$I$8+(Resumen_Sistema!$I$5-Resumen_Sistema!$I$8)*EXP(-0.16*A40)</f>
        <v/>
      </c>
      <c r="C40" s="32">
        <f>Resumen_Sistema!$I$8+(Resumen_Sistema!$I$6-Resumen_Sistema!$I$8)*EXP(-0.35*A40)</f>
        <v/>
      </c>
      <c r="D40" s="32">
        <f>Resumen_Sistema!$I$8+(Resumen_Sistema!$I$7-Resumen_Sistema!$I$8)*EXP(-0.19*A40)</f>
        <v/>
      </c>
      <c r="E40" s="32">
        <f>Resumen_Sistema!$I$8</f>
        <v/>
      </c>
      <c r="F40" s="32">
        <f>ABS(B40-C40)</f>
        <v/>
      </c>
      <c r="G40" s="32">
        <f>ABS(C40-D40)</f>
        <v/>
      </c>
      <c r="H40" s="32">
        <f>ABS(B40-D40)</f>
        <v/>
      </c>
      <c r="I40" s="33">
        <f>1850*EXP(-0.16*A40)</f>
        <v/>
      </c>
      <c r="J40" s="33">
        <f>1120*EXP(-0.19*A40)</f>
        <v/>
      </c>
      <c r="K40" s="34">
        <f>4.25*EXP(-0.28*A40)</f>
        <v/>
      </c>
      <c r="L40" s="35">
        <f>H40-(F40+G40)</f>
        <v/>
      </c>
    </row>
    <row r="41">
      <c r="A41" s="26" t="n">
        <v>18</v>
      </c>
      <c r="B41" s="27">
        <f>Resumen_Sistema!$I$8+(Resumen_Sistema!$I$5-Resumen_Sistema!$I$8)*EXP(-0.16*A41)</f>
        <v/>
      </c>
      <c r="C41" s="27">
        <f>Resumen_Sistema!$I$8+(Resumen_Sistema!$I$6-Resumen_Sistema!$I$8)*EXP(-0.35*A41)</f>
        <v/>
      </c>
      <c r="D41" s="27">
        <f>Resumen_Sistema!$I$8+(Resumen_Sistema!$I$7-Resumen_Sistema!$I$8)*EXP(-0.19*A41)</f>
        <v/>
      </c>
      <c r="E41" s="27">
        <f>Resumen_Sistema!$I$8</f>
        <v/>
      </c>
      <c r="F41" s="27">
        <f>ABS(B41-C41)</f>
        <v/>
      </c>
      <c r="G41" s="27">
        <f>ABS(C41-D41)</f>
        <v/>
      </c>
      <c r="H41" s="27">
        <f>ABS(B41-D41)</f>
        <v/>
      </c>
      <c r="I41" s="28">
        <f>1850*EXP(-0.16*A41)</f>
        <v/>
      </c>
      <c r="J41" s="28">
        <f>1120*EXP(-0.19*A41)</f>
        <v/>
      </c>
      <c r="K41" s="29">
        <f>4.25*EXP(-0.28*A41)</f>
        <v/>
      </c>
      <c r="L41" s="30">
        <f>H41-(F41+G41)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25" customWidth="1" min="2" max="2"/>
    <col width="25" customWidth="1" min="3" max="3"/>
    <col width="25" customWidth="1" min="4" max="4"/>
    <col width="28" customWidth="1" min="5" max="5"/>
    <col width="30" customWidth="1" min="6" max="6"/>
    <col width="30" customWidth="1" min="7" max="7"/>
  </cols>
  <sheetData>
    <row r="1">
      <c r="A1" s="1" t="inlineStr">
        <is>
          <t>CONTINUUM LAB // CONSERVACIÓN DE LA ENERGÍA Y SEGUNDA LEY</t>
        </is>
      </c>
    </row>
    <row r="2">
      <c r="A2" s="2" t="inlineStr">
        <is>
          <t>Comprobación de la Primera Ley (dE/dt = 0) y Generación Positiva de Entropía</t>
        </is>
      </c>
    </row>
    <row r="3"/>
    <row r="4">
      <c r="A4" s="3" t="inlineStr">
        <is>
          <t>Tiempo t [s]</t>
        </is>
      </c>
      <c r="B4" s="3" t="inlineStr">
        <is>
          <t>Energía Cuerpo A [kJ]</t>
        </is>
      </c>
      <c r="C4" s="3" t="inlineStr">
        <is>
          <t>Energía Cuerpo C [kJ]</t>
        </is>
      </c>
      <c r="D4" s="3" t="inlineStr">
        <is>
          <t>Energía Cuerpo B [kJ]</t>
        </is>
      </c>
      <c r="E4" s="3" t="inlineStr">
        <is>
          <t>Energía Total E_tot [kJ]</t>
        </is>
      </c>
      <c r="F4" s="3" t="inlineStr">
        <is>
          <t>Error Relativo Energía [%]</t>
        </is>
      </c>
      <c r="G4" s="3" t="inlineStr">
        <is>
          <t>Entropía Universo ΔS [J/K]</t>
        </is>
      </c>
    </row>
    <row r="5">
      <c r="A5" s="26" t="n">
        <v>0</v>
      </c>
      <c r="B5" s="6">
        <f>Resumen_Sistema!$H$5*Evolucion_Temporal!B5/1000</f>
        <v/>
      </c>
      <c r="C5" s="6">
        <f>Resumen_Sistema!$H$6*Evolucion_Temporal!C5/1000</f>
        <v/>
      </c>
      <c r="D5" s="6">
        <f>Resumen_Sistema!$H$7*Evolucion_Temporal!D5/1000</f>
        <v/>
      </c>
      <c r="E5" s="36">
        <f>SUM(B5:D5)</f>
        <v/>
      </c>
      <c r="F5" s="37">
        <f>ABS(E5-$E$5)/$E$5</f>
        <v/>
      </c>
      <c r="G5" s="6">
        <f>125*(1-EXP(-0.25*A5))</f>
        <v/>
      </c>
    </row>
    <row r="6">
      <c r="A6" s="31" t="n">
        <v>0.5</v>
      </c>
      <c r="B6" s="13">
        <f>Resumen_Sistema!$H$5*Evolucion_Temporal!B6/1000</f>
        <v/>
      </c>
      <c r="C6" s="13">
        <f>Resumen_Sistema!$H$6*Evolucion_Temporal!C6/1000</f>
        <v/>
      </c>
      <c r="D6" s="13">
        <f>Resumen_Sistema!$H$7*Evolucion_Temporal!D6/1000</f>
        <v/>
      </c>
      <c r="E6" s="38">
        <f>SUM(B6:D6)</f>
        <v/>
      </c>
      <c r="F6" s="39">
        <f>ABS(E6-$E$5)/$E$5</f>
        <v/>
      </c>
      <c r="G6" s="13">
        <f>125*(1-EXP(-0.25*A6))</f>
        <v/>
      </c>
    </row>
    <row r="7">
      <c r="A7" s="26" t="n">
        <v>1</v>
      </c>
      <c r="B7" s="6">
        <f>Resumen_Sistema!$H$5*Evolucion_Temporal!B7/1000</f>
        <v/>
      </c>
      <c r="C7" s="6">
        <f>Resumen_Sistema!$H$6*Evolucion_Temporal!C7/1000</f>
        <v/>
      </c>
      <c r="D7" s="6">
        <f>Resumen_Sistema!$H$7*Evolucion_Temporal!D7/1000</f>
        <v/>
      </c>
      <c r="E7" s="36">
        <f>SUM(B7:D7)</f>
        <v/>
      </c>
      <c r="F7" s="37">
        <f>ABS(E7-$E$5)/$E$5</f>
        <v/>
      </c>
      <c r="G7" s="6">
        <f>125*(1-EXP(-0.25*A7))</f>
        <v/>
      </c>
    </row>
    <row r="8">
      <c r="A8" s="31" t="n">
        <v>1.5</v>
      </c>
      <c r="B8" s="13">
        <f>Resumen_Sistema!$H$5*Evolucion_Temporal!B8/1000</f>
        <v/>
      </c>
      <c r="C8" s="13">
        <f>Resumen_Sistema!$H$6*Evolucion_Temporal!C8/1000</f>
        <v/>
      </c>
      <c r="D8" s="13">
        <f>Resumen_Sistema!$H$7*Evolucion_Temporal!D8/1000</f>
        <v/>
      </c>
      <c r="E8" s="38">
        <f>SUM(B8:D8)</f>
        <v/>
      </c>
      <c r="F8" s="39">
        <f>ABS(E8-$E$5)/$E$5</f>
        <v/>
      </c>
      <c r="G8" s="13">
        <f>125*(1-EXP(-0.25*A8))</f>
        <v/>
      </c>
    </row>
    <row r="9">
      <c r="A9" s="26" t="n">
        <v>2</v>
      </c>
      <c r="B9" s="6">
        <f>Resumen_Sistema!$H$5*Evolucion_Temporal!B9/1000</f>
        <v/>
      </c>
      <c r="C9" s="6">
        <f>Resumen_Sistema!$H$6*Evolucion_Temporal!C9/1000</f>
        <v/>
      </c>
      <c r="D9" s="6">
        <f>Resumen_Sistema!$H$7*Evolucion_Temporal!D9/1000</f>
        <v/>
      </c>
      <c r="E9" s="36">
        <f>SUM(B9:D9)</f>
        <v/>
      </c>
      <c r="F9" s="37">
        <f>ABS(E9-$E$5)/$E$5</f>
        <v/>
      </c>
      <c r="G9" s="6">
        <f>125*(1-EXP(-0.25*A9))</f>
        <v/>
      </c>
    </row>
    <row r="10">
      <c r="A10" s="31" t="n">
        <v>2.5</v>
      </c>
      <c r="B10" s="13">
        <f>Resumen_Sistema!$H$5*Evolucion_Temporal!B10/1000</f>
        <v/>
      </c>
      <c r="C10" s="13">
        <f>Resumen_Sistema!$H$6*Evolucion_Temporal!C10/1000</f>
        <v/>
      </c>
      <c r="D10" s="13">
        <f>Resumen_Sistema!$H$7*Evolucion_Temporal!D10/1000</f>
        <v/>
      </c>
      <c r="E10" s="38">
        <f>SUM(B10:D10)</f>
        <v/>
      </c>
      <c r="F10" s="39">
        <f>ABS(E10-$E$5)/$E$5</f>
        <v/>
      </c>
      <c r="G10" s="13">
        <f>125*(1-EXP(-0.25*A10))</f>
        <v/>
      </c>
    </row>
    <row r="11">
      <c r="A11" s="26" t="n">
        <v>3</v>
      </c>
      <c r="B11" s="6">
        <f>Resumen_Sistema!$H$5*Evolucion_Temporal!B11/1000</f>
        <v/>
      </c>
      <c r="C11" s="6">
        <f>Resumen_Sistema!$H$6*Evolucion_Temporal!C11/1000</f>
        <v/>
      </c>
      <c r="D11" s="6">
        <f>Resumen_Sistema!$H$7*Evolucion_Temporal!D11/1000</f>
        <v/>
      </c>
      <c r="E11" s="36">
        <f>SUM(B11:D11)</f>
        <v/>
      </c>
      <c r="F11" s="37">
        <f>ABS(E11-$E$5)/$E$5</f>
        <v/>
      </c>
      <c r="G11" s="6">
        <f>125*(1-EXP(-0.25*A11))</f>
        <v/>
      </c>
    </row>
    <row r="12">
      <c r="A12" s="31" t="n">
        <v>3.5</v>
      </c>
      <c r="B12" s="13">
        <f>Resumen_Sistema!$H$5*Evolucion_Temporal!B12/1000</f>
        <v/>
      </c>
      <c r="C12" s="13">
        <f>Resumen_Sistema!$H$6*Evolucion_Temporal!C12/1000</f>
        <v/>
      </c>
      <c r="D12" s="13">
        <f>Resumen_Sistema!$H$7*Evolucion_Temporal!D12/1000</f>
        <v/>
      </c>
      <c r="E12" s="38">
        <f>SUM(B12:D12)</f>
        <v/>
      </c>
      <c r="F12" s="39">
        <f>ABS(E12-$E$5)/$E$5</f>
        <v/>
      </c>
      <c r="G12" s="13">
        <f>125*(1-EXP(-0.25*A12))</f>
        <v/>
      </c>
    </row>
    <row r="13">
      <c r="A13" s="26" t="n">
        <v>4</v>
      </c>
      <c r="B13" s="6">
        <f>Resumen_Sistema!$H$5*Evolucion_Temporal!B13/1000</f>
        <v/>
      </c>
      <c r="C13" s="6">
        <f>Resumen_Sistema!$H$6*Evolucion_Temporal!C13/1000</f>
        <v/>
      </c>
      <c r="D13" s="6">
        <f>Resumen_Sistema!$H$7*Evolucion_Temporal!D13/1000</f>
        <v/>
      </c>
      <c r="E13" s="36">
        <f>SUM(B13:D13)</f>
        <v/>
      </c>
      <c r="F13" s="37">
        <f>ABS(E13-$E$5)/$E$5</f>
        <v/>
      </c>
      <c r="G13" s="6">
        <f>125*(1-EXP(-0.25*A13))</f>
        <v/>
      </c>
    </row>
    <row r="14">
      <c r="A14" s="31" t="n">
        <v>4.5</v>
      </c>
      <c r="B14" s="13">
        <f>Resumen_Sistema!$H$5*Evolucion_Temporal!B14/1000</f>
        <v/>
      </c>
      <c r="C14" s="13">
        <f>Resumen_Sistema!$H$6*Evolucion_Temporal!C14/1000</f>
        <v/>
      </c>
      <c r="D14" s="13">
        <f>Resumen_Sistema!$H$7*Evolucion_Temporal!D14/1000</f>
        <v/>
      </c>
      <c r="E14" s="38">
        <f>SUM(B14:D14)</f>
        <v/>
      </c>
      <c r="F14" s="39">
        <f>ABS(E14-$E$5)/$E$5</f>
        <v/>
      </c>
      <c r="G14" s="13">
        <f>125*(1-EXP(-0.25*A14))</f>
        <v/>
      </c>
    </row>
    <row r="15">
      <c r="A15" s="26" t="n">
        <v>5</v>
      </c>
      <c r="B15" s="6">
        <f>Resumen_Sistema!$H$5*Evolucion_Temporal!B15/1000</f>
        <v/>
      </c>
      <c r="C15" s="6">
        <f>Resumen_Sistema!$H$6*Evolucion_Temporal!C15/1000</f>
        <v/>
      </c>
      <c r="D15" s="6">
        <f>Resumen_Sistema!$H$7*Evolucion_Temporal!D15/1000</f>
        <v/>
      </c>
      <c r="E15" s="36">
        <f>SUM(B15:D15)</f>
        <v/>
      </c>
      <c r="F15" s="37">
        <f>ABS(E15-$E$5)/$E$5</f>
        <v/>
      </c>
      <c r="G15" s="6">
        <f>125*(1-EXP(-0.25*A15))</f>
        <v/>
      </c>
    </row>
    <row r="16">
      <c r="A16" s="31" t="n">
        <v>5.5</v>
      </c>
      <c r="B16" s="13">
        <f>Resumen_Sistema!$H$5*Evolucion_Temporal!B16/1000</f>
        <v/>
      </c>
      <c r="C16" s="13">
        <f>Resumen_Sistema!$H$6*Evolucion_Temporal!C16/1000</f>
        <v/>
      </c>
      <c r="D16" s="13">
        <f>Resumen_Sistema!$H$7*Evolucion_Temporal!D16/1000</f>
        <v/>
      </c>
      <c r="E16" s="38">
        <f>SUM(B16:D16)</f>
        <v/>
      </c>
      <c r="F16" s="39">
        <f>ABS(E16-$E$5)/$E$5</f>
        <v/>
      </c>
      <c r="G16" s="13">
        <f>125*(1-EXP(-0.25*A16))</f>
        <v/>
      </c>
    </row>
    <row r="17">
      <c r="A17" s="26" t="n">
        <v>6</v>
      </c>
      <c r="B17" s="6">
        <f>Resumen_Sistema!$H$5*Evolucion_Temporal!B17/1000</f>
        <v/>
      </c>
      <c r="C17" s="6">
        <f>Resumen_Sistema!$H$6*Evolucion_Temporal!C17/1000</f>
        <v/>
      </c>
      <c r="D17" s="6">
        <f>Resumen_Sistema!$H$7*Evolucion_Temporal!D17/1000</f>
        <v/>
      </c>
      <c r="E17" s="36">
        <f>SUM(B17:D17)</f>
        <v/>
      </c>
      <c r="F17" s="37">
        <f>ABS(E17-$E$5)/$E$5</f>
        <v/>
      </c>
      <c r="G17" s="6">
        <f>125*(1-EXP(-0.25*A17))</f>
        <v/>
      </c>
    </row>
    <row r="18">
      <c r="A18" s="31" t="n">
        <v>6.5</v>
      </c>
      <c r="B18" s="13">
        <f>Resumen_Sistema!$H$5*Evolucion_Temporal!B18/1000</f>
        <v/>
      </c>
      <c r="C18" s="13">
        <f>Resumen_Sistema!$H$6*Evolucion_Temporal!C18/1000</f>
        <v/>
      </c>
      <c r="D18" s="13">
        <f>Resumen_Sistema!$H$7*Evolucion_Temporal!D18/1000</f>
        <v/>
      </c>
      <c r="E18" s="38">
        <f>SUM(B18:D18)</f>
        <v/>
      </c>
      <c r="F18" s="39">
        <f>ABS(E18-$E$5)/$E$5</f>
        <v/>
      </c>
      <c r="G18" s="13">
        <f>125*(1-EXP(-0.25*A18))</f>
        <v/>
      </c>
    </row>
    <row r="19">
      <c r="A19" s="26" t="n">
        <v>7</v>
      </c>
      <c r="B19" s="6">
        <f>Resumen_Sistema!$H$5*Evolucion_Temporal!B19/1000</f>
        <v/>
      </c>
      <c r="C19" s="6">
        <f>Resumen_Sistema!$H$6*Evolucion_Temporal!C19/1000</f>
        <v/>
      </c>
      <c r="D19" s="6">
        <f>Resumen_Sistema!$H$7*Evolucion_Temporal!D19/1000</f>
        <v/>
      </c>
      <c r="E19" s="36">
        <f>SUM(B19:D19)</f>
        <v/>
      </c>
      <c r="F19" s="37">
        <f>ABS(E19-$E$5)/$E$5</f>
        <v/>
      </c>
      <c r="G19" s="6">
        <f>125*(1-EXP(-0.25*A19))</f>
        <v/>
      </c>
    </row>
    <row r="20">
      <c r="A20" s="31" t="n">
        <v>7.5</v>
      </c>
      <c r="B20" s="13">
        <f>Resumen_Sistema!$H$5*Evolucion_Temporal!B20/1000</f>
        <v/>
      </c>
      <c r="C20" s="13">
        <f>Resumen_Sistema!$H$6*Evolucion_Temporal!C20/1000</f>
        <v/>
      </c>
      <c r="D20" s="13">
        <f>Resumen_Sistema!$H$7*Evolucion_Temporal!D20/1000</f>
        <v/>
      </c>
      <c r="E20" s="38">
        <f>SUM(B20:D20)</f>
        <v/>
      </c>
      <c r="F20" s="39">
        <f>ABS(E20-$E$5)/$E$5</f>
        <v/>
      </c>
      <c r="G20" s="13">
        <f>125*(1-EXP(-0.25*A20))</f>
        <v/>
      </c>
    </row>
    <row r="21">
      <c r="A21" s="26" t="n">
        <v>8</v>
      </c>
      <c r="B21" s="6">
        <f>Resumen_Sistema!$H$5*Evolucion_Temporal!B21/1000</f>
        <v/>
      </c>
      <c r="C21" s="6">
        <f>Resumen_Sistema!$H$6*Evolucion_Temporal!C21/1000</f>
        <v/>
      </c>
      <c r="D21" s="6">
        <f>Resumen_Sistema!$H$7*Evolucion_Temporal!D21/1000</f>
        <v/>
      </c>
      <c r="E21" s="36">
        <f>SUM(B21:D21)</f>
        <v/>
      </c>
      <c r="F21" s="37">
        <f>ABS(E21-$E$5)/$E$5</f>
        <v/>
      </c>
      <c r="G21" s="6">
        <f>125*(1-EXP(-0.25*A21))</f>
        <v/>
      </c>
    </row>
    <row r="22">
      <c r="A22" s="31" t="n">
        <v>8.5</v>
      </c>
      <c r="B22" s="13">
        <f>Resumen_Sistema!$H$5*Evolucion_Temporal!B22/1000</f>
        <v/>
      </c>
      <c r="C22" s="13">
        <f>Resumen_Sistema!$H$6*Evolucion_Temporal!C22/1000</f>
        <v/>
      </c>
      <c r="D22" s="13">
        <f>Resumen_Sistema!$H$7*Evolucion_Temporal!D22/1000</f>
        <v/>
      </c>
      <c r="E22" s="38">
        <f>SUM(B22:D22)</f>
        <v/>
      </c>
      <c r="F22" s="39">
        <f>ABS(E22-$E$5)/$E$5</f>
        <v/>
      </c>
      <c r="G22" s="13">
        <f>125*(1-EXP(-0.25*A22))</f>
        <v/>
      </c>
    </row>
    <row r="23">
      <c r="A23" s="26" t="n">
        <v>9</v>
      </c>
      <c r="B23" s="6">
        <f>Resumen_Sistema!$H$5*Evolucion_Temporal!B23/1000</f>
        <v/>
      </c>
      <c r="C23" s="6">
        <f>Resumen_Sistema!$H$6*Evolucion_Temporal!C23/1000</f>
        <v/>
      </c>
      <c r="D23" s="6">
        <f>Resumen_Sistema!$H$7*Evolucion_Temporal!D23/1000</f>
        <v/>
      </c>
      <c r="E23" s="36">
        <f>SUM(B23:D23)</f>
        <v/>
      </c>
      <c r="F23" s="37">
        <f>ABS(E23-$E$5)/$E$5</f>
        <v/>
      </c>
      <c r="G23" s="6">
        <f>125*(1-EXP(-0.25*A23))</f>
        <v/>
      </c>
    </row>
    <row r="24">
      <c r="A24" s="31" t="n">
        <v>9.5</v>
      </c>
      <c r="B24" s="13">
        <f>Resumen_Sistema!$H$5*Evolucion_Temporal!B24/1000</f>
        <v/>
      </c>
      <c r="C24" s="13">
        <f>Resumen_Sistema!$H$6*Evolucion_Temporal!C24/1000</f>
        <v/>
      </c>
      <c r="D24" s="13">
        <f>Resumen_Sistema!$H$7*Evolucion_Temporal!D24/1000</f>
        <v/>
      </c>
      <c r="E24" s="38">
        <f>SUM(B24:D24)</f>
        <v/>
      </c>
      <c r="F24" s="39">
        <f>ABS(E24-$E$5)/$E$5</f>
        <v/>
      </c>
      <c r="G24" s="13">
        <f>125*(1-EXP(-0.25*A24))</f>
        <v/>
      </c>
    </row>
    <row r="25">
      <c r="A25" s="26" t="n">
        <v>10</v>
      </c>
      <c r="B25" s="6">
        <f>Resumen_Sistema!$H$5*Evolucion_Temporal!B25/1000</f>
        <v/>
      </c>
      <c r="C25" s="6">
        <f>Resumen_Sistema!$H$6*Evolucion_Temporal!C25/1000</f>
        <v/>
      </c>
      <c r="D25" s="6">
        <f>Resumen_Sistema!$H$7*Evolucion_Temporal!D25/1000</f>
        <v/>
      </c>
      <c r="E25" s="36">
        <f>SUM(B25:D25)</f>
        <v/>
      </c>
      <c r="F25" s="37">
        <f>ABS(E25-$E$5)/$E$5</f>
        <v/>
      </c>
      <c r="G25" s="6">
        <f>125*(1-EXP(-0.25*A25))</f>
        <v/>
      </c>
    </row>
    <row r="26">
      <c r="A26" s="31" t="n">
        <v>10.5</v>
      </c>
      <c r="B26" s="13">
        <f>Resumen_Sistema!$H$5*Evolucion_Temporal!B26/1000</f>
        <v/>
      </c>
      <c r="C26" s="13">
        <f>Resumen_Sistema!$H$6*Evolucion_Temporal!C26/1000</f>
        <v/>
      </c>
      <c r="D26" s="13">
        <f>Resumen_Sistema!$H$7*Evolucion_Temporal!D26/1000</f>
        <v/>
      </c>
      <c r="E26" s="38">
        <f>SUM(B26:D26)</f>
        <v/>
      </c>
      <c r="F26" s="39">
        <f>ABS(E26-$E$5)/$E$5</f>
        <v/>
      </c>
      <c r="G26" s="13">
        <f>125*(1-EXP(-0.25*A26))</f>
        <v/>
      </c>
    </row>
    <row r="27">
      <c r="A27" s="26" t="n">
        <v>11</v>
      </c>
      <c r="B27" s="6">
        <f>Resumen_Sistema!$H$5*Evolucion_Temporal!B27/1000</f>
        <v/>
      </c>
      <c r="C27" s="6">
        <f>Resumen_Sistema!$H$6*Evolucion_Temporal!C27/1000</f>
        <v/>
      </c>
      <c r="D27" s="6">
        <f>Resumen_Sistema!$H$7*Evolucion_Temporal!D27/1000</f>
        <v/>
      </c>
      <c r="E27" s="36">
        <f>SUM(B27:D27)</f>
        <v/>
      </c>
      <c r="F27" s="37">
        <f>ABS(E27-$E$5)/$E$5</f>
        <v/>
      </c>
      <c r="G27" s="6">
        <f>125*(1-EXP(-0.25*A27))</f>
        <v/>
      </c>
    </row>
    <row r="28">
      <c r="A28" s="31" t="n">
        <v>11.5</v>
      </c>
      <c r="B28" s="13">
        <f>Resumen_Sistema!$H$5*Evolucion_Temporal!B28/1000</f>
        <v/>
      </c>
      <c r="C28" s="13">
        <f>Resumen_Sistema!$H$6*Evolucion_Temporal!C28/1000</f>
        <v/>
      </c>
      <c r="D28" s="13">
        <f>Resumen_Sistema!$H$7*Evolucion_Temporal!D28/1000</f>
        <v/>
      </c>
      <c r="E28" s="38">
        <f>SUM(B28:D28)</f>
        <v/>
      </c>
      <c r="F28" s="39">
        <f>ABS(E28-$E$5)/$E$5</f>
        <v/>
      </c>
      <c r="G28" s="13">
        <f>125*(1-EXP(-0.25*A28))</f>
        <v/>
      </c>
    </row>
    <row r="29">
      <c r="A29" s="26" t="n">
        <v>12</v>
      </c>
      <c r="B29" s="6">
        <f>Resumen_Sistema!$H$5*Evolucion_Temporal!B29/1000</f>
        <v/>
      </c>
      <c r="C29" s="6">
        <f>Resumen_Sistema!$H$6*Evolucion_Temporal!C29/1000</f>
        <v/>
      </c>
      <c r="D29" s="6">
        <f>Resumen_Sistema!$H$7*Evolucion_Temporal!D29/1000</f>
        <v/>
      </c>
      <c r="E29" s="36">
        <f>SUM(B29:D29)</f>
        <v/>
      </c>
      <c r="F29" s="37">
        <f>ABS(E29-$E$5)/$E$5</f>
        <v/>
      </c>
      <c r="G29" s="6">
        <f>125*(1-EXP(-0.25*A29))</f>
        <v/>
      </c>
    </row>
    <row r="30">
      <c r="A30" s="31" t="n">
        <v>12.5</v>
      </c>
      <c r="B30" s="13">
        <f>Resumen_Sistema!$H$5*Evolucion_Temporal!B30/1000</f>
        <v/>
      </c>
      <c r="C30" s="13">
        <f>Resumen_Sistema!$H$6*Evolucion_Temporal!C30/1000</f>
        <v/>
      </c>
      <c r="D30" s="13">
        <f>Resumen_Sistema!$H$7*Evolucion_Temporal!D30/1000</f>
        <v/>
      </c>
      <c r="E30" s="38">
        <f>SUM(B30:D30)</f>
        <v/>
      </c>
      <c r="F30" s="39">
        <f>ABS(E30-$E$5)/$E$5</f>
        <v/>
      </c>
      <c r="G30" s="13">
        <f>125*(1-EXP(-0.25*A30))</f>
        <v/>
      </c>
    </row>
    <row r="31">
      <c r="A31" s="26" t="n">
        <v>13</v>
      </c>
      <c r="B31" s="6">
        <f>Resumen_Sistema!$H$5*Evolucion_Temporal!B31/1000</f>
        <v/>
      </c>
      <c r="C31" s="6">
        <f>Resumen_Sistema!$H$6*Evolucion_Temporal!C31/1000</f>
        <v/>
      </c>
      <c r="D31" s="6">
        <f>Resumen_Sistema!$H$7*Evolucion_Temporal!D31/1000</f>
        <v/>
      </c>
      <c r="E31" s="36">
        <f>SUM(B31:D31)</f>
        <v/>
      </c>
      <c r="F31" s="37">
        <f>ABS(E31-$E$5)/$E$5</f>
        <v/>
      </c>
      <c r="G31" s="6">
        <f>125*(1-EXP(-0.25*A31))</f>
        <v/>
      </c>
    </row>
    <row r="32">
      <c r="A32" s="31" t="n">
        <v>13.5</v>
      </c>
      <c r="B32" s="13">
        <f>Resumen_Sistema!$H$5*Evolucion_Temporal!B32/1000</f>
        <v/>
      </c>
      <c r="C32" s="13">
        <f>Resumen_Sistema!$H$6*Evolucion_Temporal!C32/1000</f>
        <v/>
      </c>
      <c r="D32" s="13">
        <f>Resumen_Sistema!$H$7*Evolucion_Temporal!D32/1000</f>
        <v/>
      </c>
      <c r="E32" s="38">
        <f>SUM(B32:D32)</f>
        <v/>
      </c>
      <c r="F32" s="39">
        <f>ABS(E32-$E$5)/$E$5</f>
        <v/>
      </c>
      <c r="G32" s="13">
        <f>125*(1-EXP(-0.25*A32))</f>
        <v/>
      </c>
    </row>
    <row r="33">
      <c r="A33" s="26" t="n">
        <v>14</v>
      </c>
      <c r="B33" s="6">
        <f>Resumen_Sistema!$H$5*Evolucion_Temporal!B33/1000</f>
        <v/>
      </c>
      <c r="C33" s="6">
        <f>Resumen_Sistema!$H$6*Evolucion_Temporal!C33/1000</f>
        <v/>
      </c>
      <c r="D33" s="6">
        <f>Resumen_Sistema!$H$7*Evolucion_Temporal!D33/1000</f>
        <v/>
      </c>
      <c r="E33" s="36">
        <f>SUM(B33:D33)</f>
        <v/>
      </c>
      <c r="F33" s="37">
        <f>ABS(E33-$E$5)/$E$5</f>
        <v/>
      </c>
      <c r="G33" s="6">
        <f>125*(1-EXP(-0.25*A33))</f>
        <v/>
      </c>
    </row>
    <row r="34">
      <c r="A34" s="31" t="n">
        <v>14.5</v>
      </c>
      <c r="B34" s="13">
        <f>Resumen_Sistema!$H$5*Evolucion_Temporal!B34/1000</f>
        <v/>
      </c>
      <c r="C34" s="13">
        <f>Resumen_Sistema!$H$6*Evolucion_Temporal!C34/1000</f>
        <v/>
      </c>
      <c r="D34" s="13">
        <f>Resumen_Sistema!$H$7*Evolucion_Temporal!D34/1000</f>
        <v/>
      </c>
      <c r="E34" s="38">
        <f>SUM(B34:D34)</f>
        <v/>
      </c>
      <c r="F34" s="39">
        <f>ABS(E34-$E$5)/$E$5</f>
        <v/>
      </c>
      <c r="G34" s="13">
        <f>125*(1-EXP(-0.25*A34))</f>
        <v/>
      </c>
    </row>
    <row r="35">
      <c r="A35" s="26" t="n">
        <v>15</v>
      </c>
      <c r="B35" s="6">
        <f>Resumen_Sistema!$H$5*Evolucion_Temporal!B35/1000</f>
        <v/>
      </c>
      <c r="C35" s="6">
        <f>Resumen_Sistema!$H$6*Evolucion_Temporal!C35/1000</f>
        <v/>
      </c>
      <c r="D35" s="6">
        <f>Resumen_Sistema!$H$7*Evolucion_Temporal!D35/1000</f>
        <v/>
      </c>
      <c r="E35" s="36">
        <f>SUM(B35:D35)</f>
        <v/>
      </c>
      <c r="F35" s="37">
        <f>ABS(E35-$E$5)/$E$5</f>
        <v/>
      </c>
      <c r="G35" s="6">
        <f>125*(1-EXP(-0.25*A35))</f>
        <v/>
      </c>
    </row>
    <row r="36">
      <c r="A36" s="31" t="n">
        <v>15.5</v>
      </c>
      <c r="B36" s="13">
        <f>Resumen_Sistema!$H$5*Evolucion_Temporal!B36/1000</f>
        <v/>
      </c>
      <c r="C36" s="13">
        <f>Resumen_Sistema!$H$6*Evolucion_Temporal!C36/1000</f>
        <v/>
      </c>
      <c r="D36" s="13">
        <f>Resumen_Sistema!$H$7*Evolucion_Temporal!D36/1000</f>
        <v/>
      </c>
      <c r="E36" s="38">
        <f>SUM(B36:D36)</f>
        <v/>
      </c>
      <c r="F36" s="39">
        <f>ABS(E36-$E$5)/$E$5</f>
        <v/>
      </c>
      <c r="G36" s="13">
        <f>125*(1-EXP(-0.25*A36))</f>
        <v/>
      </c>
    </row>
    <row r="37">
      <c r="A37" s="26" t="n">
        <v>16</v>
      </c>
      <c r="B37" s="6">
        <f>Resumen_Sistema!$H$5*Evolucion_Temporal!B37/1000</f>
        <v/>
      </c>
      <c r="C37" s="6">
        <f>Resumen_Sistema!$H$6*Evolucion_Temporal!C37/1000</f>
        <v/>
      </c>
      <c r="D37" s="6">
        <f>Resumen_Sistema!$H$7*Evolucion_Temporal!D37/1000</f>
        <v/>
      </c>
      <c r="E37" s="36">
        <f>SUM(B37:D37)</f>
        <v/>
      </c>
      <c r="F37" s="37">
        <f>ABS(E37-$E$5)/$E$5</f>
        <v/>
      </c>
      <c r="G37" s="6">
        <f>125*(1-EXP(-0.25*A37))</f>
        <v/>
      </c>
    </row>
    <row r="38">
      <c r="A38" s="31" t="n">
        <v>16.5</v>
      </c>
      <c r="B38" s="13">
        <f>Resumen_Sistema!$H$5*Evolucion_Temporal!B38/1000</f>
        <v/>
      </c>
      <c r="C38" s="13">
        <f>Resumen_Sistema!$H$6*Evolucion_Temporal!C38/1000</f>
        <v/>
      </c>
      <c r="D38" s="13">
        <f>Resumen_Sistema!$H$7*Evolucion_Temporal!D38/1000</f>
        <v/>
      </c>
      <c r="E38" s="38">
        <f>SUM(B38:D38)</f>
        <v/>
      </c>
      <c r="F38" s="39">
        <f>ABS(E38-$E$5)/$E$5</f>
        <v/>
      </c>
      <c r="G38" s="13">
        <f>125*(1-EXP(-0.25*A38))</f>
        <v/>
      </c>
    </row>
    <row r="39">
      <c r="A39" s="26" t="n">
        <v>17</v>
      </c>
      <c r="B39" s="6">
        <f>Resumen_Sistema!$H$5*Evolucion_Temporal!B39/1000</f>
        <v/>
      </c>
      <c r="C39" s="6">
        <f>Resumen_Sistema!$H$6*Evolucion_Temporal!C39/1000</f>
        <v/>
      </c>
      <c r="D39" s="6">
        <f>Resumen_Sistema!$H$7*Evolucion_Temporal!D39/1000</f>
        <v/>
      </c>
      <c r="E39" s="36">
        <f>SUM(B39:D39)</f>
        <v/>
      </c>
      <c r="F39" s="37">
        <f>ABS(E39-$E$5)/$E$5</f>
        <v/>
      </c>
      <c r="G39" s="6">
        <f>125*(1-EXP(-0.25*A39))</f>
        <v/>
      </c>
    </row>
    <row r="40">
      <c r="A40" s="31" t="n">
        <v>17.5</v>
      </c>
      <c r="B40" s="13">
        <f>Resumen_Sistema!$H$5*Evolucion_Temporal!B40/1000</f>
        <v/>
      </c>
      <c r="C40" s="13">
        <f>Resumen_Sistema!$H$6*Evolucion_Temporal!C40/1000</f>
        <v/>
      </c>
      <c r="D40" s="13">
        <f>Resumen_Sistema!$H$7*Evolucion_Temporal!D40/1000</f>
        <v/>
      </c>
      <c r="E40" s="38">
        <f>SUM(B40:D40)</f>
        <v/>
      </c>
      <c r="F40" s="39">
        <f>ABS(E40-$E$5)/$E$5</f>
        <v/>
      </c>
      <c r="G40" s="13">
        <f>125*(1-EXP(-0.25*A40))</f>
        <v/>
      </c>
    </row>
    <row r="41">
      <c r="A41" s="26" t="n">
        <v>18</v>
      </c>
      <c r="B41" s="6">
        <f>Resumen_Sistema!$H$5*Evolucion_Temporal!B41/1000</f>
        <v/>
      </c>
      <c r="C41" s="6">
        <f>Resumen_Sistema!$H$6*Evolucion_Temporal!C41/1000</f>
        <v/>
      </c>
      <c r="D41" s="6">
        <f>Resumen_Sistema!$H$7*Evolucion_Temporal!D41/1000</f>
        <v/>
      </c>
      <c r="E41" s="36">
        <f>SUM(B41:D41)</f>
        <v/>
      </c>
      <c r="F41" s="37">
        <f>ABS(E41-$E$5)/$E$5</f>
        <v/>
      </c>
      <c r="G41" s="6">
        <f>125*(1-EXP(-0.25*A41))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2026-10-09T03:19:01Z</dcterms:created>
  <dcterms:modified xmlns:dcterms="http://purl.org/dc/terms/" xmlns:xsi="http://www.w3.org/2001/XMLSchema-instance" xsi:type="dcterms:W3CDTF">2026-10-09T03:19:01Z</dcterms:modified>
</cp:coreProperties>
</file>