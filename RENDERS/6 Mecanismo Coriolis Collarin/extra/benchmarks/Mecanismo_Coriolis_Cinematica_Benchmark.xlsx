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iolis_Kine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7">
    <font>
      <name val="Calibri"/>
      <family val="2"/>
      <color theme="1"/>
      <sz val="11"/>
      <scheme val="minor"/>
    </font>
    <font>
      <name val="Segoe UI"/>
      <b val="1"/>
      <color rgb="0000F0FF"/>
      <sz val="12"/>
    </font>
    <font>
      <name val="Segoe UI"/>
      <b val="1"/>
      <color rgb="0058A6FF"/>
      <sz val="10"/>
    </font>
    <font>
      <name val="Segoe UI"/>
      <b val="1"/>
      <color rgb="0079C0FF"/>
      <sz val="10"/>
    </font>
    <font>
      <name val="Segoe UI"/>
      <color rgb="00E6EDF3"/>
      <sz val="10"/>
    </font>
    <font>
      <name val="Segoe UI"/>
      <b val="1"/>
      <color rgb="0000F0FF"/>
      <sz val="11"/>
    </font>
    <font>
      <name val="Segoe UI"/>
      <b val="1"/>
      <color rgb="0000F0FF"/>
      <sz val="10"/>
    </font>
  </fonts>
  <fills count="5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161B22"/>
        <bgColor rgb="00161B22"/>
      </patternFill>
    </fill>
    <fill>
      <patternFill patternType="solid">
        <fgColor rgb="000D223A"/>
        <bgColor rgb="000D223A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4" fillId="0" borderId="1" pivotButton="0" quotePrefix="0" xfId="0"/>
    <xf numFmtId="2" fontId="3" fillId="4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3" fillId="4" borderId="1" applyAlignment="1" pivotButton="0" quotePrefix="0" xfId="0">
      <alignment horizontal="right"/>
    </xf>
    <xf numFmtId="0" fontId="5" fillId="2" borderId="1" applyAlignment="1" pivotButton="0" quotePrefix="0" xfId="0">
      <alignment horizontal="center" vertical="center" wrapText="1"/>
    </xf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5" fontId="6" fillId="0" borderId="1" pivotButton="0" quotePrefix="0" xfId="0"/>
    <xf numFmtId="3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165" fontId="6" fillId="3" borderId="1" pivotButton="0" quotePrefix="0" xfId="0"/>
    <xf numFmtId="0" fontId="2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64" customWidth="1" min="2" max="2"/>
    <col width="15" customWidth="1" min="3" max="3"/>
    <col width="44" customWidth="1" min="4" max="4"/>
    <col width="18" customWidth="1" min="5" max="5"/>
    <col width="32" customWidth="1" min="6" max="6"/>
    <col width="26" customWidth="1" min="7" max="7"/>
    <col width="24" customWidth="1" min="8" max="8"/>
    <col width="23" customWidth="1" min="9" max="9"/>
    <col width="35" customWidth="1" min="10" max="10"/>
    <col width="43" customWidth="1" min="11" max="11"/>
    <col width="33" customWidth="1" min="12" max="12"/>
    <col width="22" customWidth="1" min="13" max="13"/>
  </cols>
  <sheetData>
    <row r="1">
      <c r="A1" s="1" t="inlineStr">
        <is>
          <t>CONTINUUM LAB • MECANISMO DE RETORNO CON ACELERACION DE CORIOLIS</t>
        </is>
      </c>
    </row>
    <row r="2">
      <c r="A2" s="2" t="inlineStr">
        <is>
          <t>PARAMETROS DE ENTRADA</t>
        </is>
      </c>
      <c r="B2" s="2" t="inlineStr">
        <is>
          <t>VALOR</t>
        </is>
      </c>
      <c r="C2" s="2" t="inlineStr">
        <is>
          <t>UNIDAD</t>
        </is>
      </c>
      <c r="D2" s="2" t="inlineStr">
        <is>
          <t>DESCRIPCION TECNICA</t>
        </is>
      </c>
    </row>
    <row r="3">
      <c r="A3" s="3" t="inlineStr">
        <is>
          <t>Longitud Manivela O1-A (L1)</t>
        </is>
      </c>
      <c r="B3" s="4" t="n">
        <v>1</v>
      </c>
      <c r="C3" s="3" t="inlineStr">
        <is>
          <t>m</t>
        </is>
      </c>
      <c r="D3" s="3" t="inlineStr">
        <is>
          <t>Longitud de la barra impulsora giratoria</t>
        </is>
      </c>
    </row>
    <row r="4">
      <c r="A4" s="3" t="inlineStr">
        <is>
          <t>Distancia entre Pivotes (d)</t>
        </is>
      </c>
      <c r="B4" s="4" t="n">
        <v>1.55</v>
      </c>
      <c r="C4" s="3" t="inlineStr">
        <is>
          <t>m</t>
        </is>
      </c>
      <c r="D4" s="3" t="inlineStr">
        <is>
          <t>Separacion fija entre ejes O1 y O2</t>
        </is>
      </c>
    </row>
    <row r="5">
      <c r="A5" s="3" t="inlineStr">
        <is>
          <t>Velocidad Angular Manivela (w1)</t>
        </is>
      </c>
      <c r="B5" s="4" t="n">
        <v>2.5</v>
      </c>
      <c r="C5" s="3" t="inlineStr">
        <is>
          <t>rad/s</t>
        </is>
      </c>
      <c r="D5" s="3" t="inlineStr">
        <is>
          <t>Velocidad constante impuesta al motor</t>
        </is>
      </c>
    </row>
    <row r="6">
      <c r="A6" s="3" t="inlineStr">
        <is>
          <t>Paso de Integracion Temporal (dt)</t>
        </is>
      </c>
      <c r="B6" s="5" t="n">
        <v>0.005</v>
      </c>
      <c r="C6" s="3" t="inlineStr">
        <is>
          <t>s</t>
        </is>
      </c>
      <c r="D6" s="3" t="inlineStr">
        <is>
          <t>Delta de tiempo entre muestras</t>
        </is>
      </c>
    </row>
    <row r="7">
      <c r="A7" s="3" t="inlineStr">
        <is>
          <t>Regimen de Operacion</t>
        </is>
      </c>
      <c r="B7" s="6">
        <f>IF(B4&gt;B3,"Oscilante (d &gt; L1)","Rotacion Continua Whitworth")</f>
        <v/>
      </c>
      <c r="C7" s="3" t="inlineStr">
        <is>
          <t>-</t>
        </is>
      </c>
      <c r="D7" s="3" t="inlineStr">
        <is>
          <t>Tipo de trayectoria del balancin ranurado</t>
        </is>
      </c>
    </row>
    <row r="8"/>
    <row r="9"/>
    <row r="10" ht="28" customHeight="1">
      <c r="A10" s="7" t="inlineStr">
        <is>
          <t>Paso</t>
        </is>
      </c>
      <c r="B10" s="7" t="inlineStr">
        <is>
          <t>Tiempo [s]</t>
        </is>
      </c>
      <c r="C10" s="7" t="inlineStr">
        <is>
          <t>Theta1 [rad]</t>
        </is>
      </c>
      <c r="D10" s="7" t="inlineStr">
        <is>
          <t>xA [m]</t>
        </is>
      </c>
      <c r="E10" s="7" t="inlineStr">
        <is>
          <t>yA [m]</t>
        </is>
      </c>
      <c r="F10" s="7" t="inlineStr">
        <is>
          <t>r2 [m]</t>
        </is>
      </c>
      <c r="G10" s="7" t="inlineStr">
        <is>
          <t>Theta2 [rad]</t>
        </is>
      </c>
      <c r="H10" s="7" t="inlineStr">
        <is>
          <t>vxA [m/s]</t>
        </is>
      </c>
      <c r="I10" s="7" t="inlineStr">
        <is>
          <t>vyA [m/s]</t>
        </is>
      </c>
      <c r="J10" s="7" t="inlineStr">
        <is>
          <t>v_rel (dr2/dt) [m/s]</t>
        </is>
      </c>
      <c r="K10" s="7" t="inlineStr">
        <is>
          <t>omega2 [rad/s]</t>
        </is>
      </c>
      <c r="L10" s="7" t="inlineStr">
        <is>
          <t>a_Coriolis (2*w2*v_rel) [m/s²]</t>
        </is>
      </c>
      <c r="M10" s="7" t="inlineStr">
        <is>
          <t>a_Centripeta [m/s²]</t>
        </is>
      </c>
    </row>
    <row r="11">
      <c r="A11" s="8" t="n">
        <v>0</v>
      </c>
      <c r="B11" s="9">
        <f>A11*$B$6</f>
        <v/>
      </c>
      <c r="C11" s="10">
        <f>$B$5*B11</f>
        <v/>
      </c>
      <c r="D11" s="10">
        <f>$B$3*COS(C11)</f>
        <v/>
      </c>
      <c r="E11" s="10">
        <f>$B$3*SIN(C11)</f>
        <v/>
      </c>
      <c r="F11" s="10">
        <f>SQRT(D11^2 + (E11+$B$4)^2)</f>
        <v/>
      </c>
      <c r="G11" s="10">
        <f>ATAN2(D11, E11+$B$4)</f>
        <v/>
      </c>
      <c r="H11" s="10">
        <f>-$B$3*$B$5*SIN(C11)</f>
        <v/>
      </c>
      <c r="I11" s="10">
        <f>$B$3*$B$5*COS(C11)</f>
        <v/>
      </c>
      <c r="J11" s="10">
        <f>H11*COS(G11) + I11*SIN(G11)</f>
        <v/>
      </c>
      <c r="K11" s="10">
        <f>(-H11*SIN(G11) + I11*COS(G11))/F11</f>
        <v/>
      </c>
      <c r="L11" s="11">
        <f>2*K11*J11</f>
        <v/>
      </c>
      <c r="M11" s="10">
        <f>-K11^2*F11</f>
        <v/>
      </c>
    </row>
    <row r="12">
      <c r="A12" s="12" t="n">
        <v>1</v>
      </c>
      <c r="B12" s="13">
        <f>A12*$B$6</f>
        <v/>
      </c>
      <c r="C12" s="14">
        <f>$B$5*B12</f>
        <v/>
      </c>
      <c r="D12" s="14">
        <f>$B$3*COS(C12)</f>
        <v/>
      </c>
      <c r="E12" s="14">
        <f>$B$3*SIN(C12)</f>
        <v/>
      </c>
      <c r="F12" s="14">
        <f>SQRT(D12^2 + (E12+$B$4)^2)</f>
        <v/>
      </c>
      <c r="G12" s="14">
        <f>ATAN2(D12, E12+$B$4)</f>
        <v/>
      </c>
      <c r="H12" s="14">
        <f>-$B$3*$B$5*SIN(C12)</f>
        <v/>
      </c>
      <c r="I12" s="14">
        <f>$B$3*$B$5*COS(C12)</f>
        <v/>
      </c>
      <c r="J12" s="14">
        <f>H12*COS(G12) + I12*SIN(G12)</f>
        <v/>
      </c>
      <c r="K12" s="14">
        <f>(-H12*SIN(G12) + I12*COS(G12))/F12</f>
        <v/>
      </c>
      <c r="L12" s="15">
        <f>2*K12*J12</f>
        <v/>
      </c>
      <c r="M12" s="14">
        <f>-K12^2*F12</f>
        <v/>
      </c>
    </row>
    <row r="13">
      <c r="A13" s="8" t="n">
        <v>2</v>
      </c>
      <c r="B13" s="9">
        <f>A13*$B$6</f>
        <v/>
      </c>
      <c r="C13" s="10">
        <f>$B$5*B13</f>
        <v/>
      </c>
      <c r="D13" s="10">
        <f>$B$3*COS(C13)</f>
        <v/>
      </c>
      <c r="E13" s="10">
        <f>$B$3*SIN(C13)</f>
        <v/>
      </c>
      <c r="F13" s="10">
        <f>SQRT(D13^2 + (E13+$B$4)^2)</f>
        <v/>
      </c>
      <c r="G13" s="10">
        <f>ATAN2(D13, E13+$B$4)</f>
        <v/>
      </c>
      <c r="H13" s="10">
        <f>-$B$3*$B$5*SIN(C13)</f>
        <v/>
      </c>
      <c r="I13" s="10">
        <f>$B$3*$B$5*COS(C13)</f>
        <v/>
      </c>
      <c r="J13" s="10">
        <f>H13*COS(G13) + I13*SIN(G13)</f>
        <v/>
      </c>
      <c r="K13" s="10">
        <f>(-H13*SIN(G13) + I13*COS(G13))/F13</f>
        <v/>
      </c>
      <c r="L13" s="11">
        <f>2*K13*J13</f>
        <v/>
      </c>
      <c r="M13" s="10">
        <f>-K13^2*F13</f>
        <v/>
      </c>
    </row>
    <row r="14">
      <c r="A14" s="12" t="n">
        <v>3</v>
      </c>
      <c r="B14" s="13">
        <f>A14*$B$6</f>
        <v/>
      </c>
      <c r="C14" s="14">
        <f>$B$5*B14</f>
        <v/>
      </c>
      <c r="D14" s="14">
        <f>$B$3*COS(C14)</f>
        <v/>
      </c>
      <c r="E14" s="14">
        <f>$B$3*SIN(C14)</f>
        <v/>
      </c>
      <c r="F14" s="14">
        <f>SQRT(D14^2 + (E14+$B$4)^2)</f>
        <v/>
      </c>
      <c r="G14" s="14">
        <f>ATAN2(D14, E14+$B$4)</f>
        <v/>
      </c>
      <c r="H14" s="14">
        <f>-$B$3*$B$5*SIN(C14)</f>
        <v/>
      </c>
      <c r="I14" s="14">
        <f>$B$3*$B$5*COS(C14)</f>
        <v/>
      </c>
      <c r="J14" s="14">
        <f>H14*COS(G14) + I14*SIN(G14)</f>
        <v/>
      </c>
      <c r="K14" s="14">
        <f>(-H14*SIN(G14) + I14*COS(G14))/F14</f>
        <v/>
      </c>
      <c r="L14" s="15">
        <f>2*K14*J14</f>
        <v/>
      </c>
      <c r="M14" s="14">
        <f>-K14^2*F14</f>
        <v/>
      </c>
    </row>
    <row r="15">
      <c r="A15" s="8" t="n">
        <v>4</v>
      </c>
      <c r="B15" s="9">
        <f>A15*$B$6</f>
        <v/>
      </c>
      <c r="C15" s="10">
        <f>$B$5*B15</f>
        <v/>
      </c>
      <c r="D15" s="10">
        <f>$B$3*COS(C15)</f>
        <v/>
      </c>
      <c r="E15" s="10">
        <f>$B$3*SIN(C15)</f>
        <v/>
      </c>
      <c r="F15" s="10">
        <f>SQRT(D15^2 + (E15+$B$4)^2)</f>
        <v/>
      </c>
      <c r="G15" s="10">
        <f>ATAN2(D15, E15+$B$4)</f>
        <v/>
      </c>
      <c r="H15" s="10">
        <f>-$B$3*$B$5*SIN(C15)</f>
        <v/>
      </c>
      <c r="I15" s="10">
        <f>$B$3*$B$5*COS(C15)</f>
        <v/>
      </c>
      <c r="J15" s="10">
        <f>H15*COS(G15) + I15*SIN(G15)</f>
        <v/>
      </c>
      <c r="K15" s="10">
        <f>(-H15*SIN(G15) + I15*COS(G15))/F15</f>
        <v/>
      </c>
      <c r="L15" s="11">
        <f>2*K15*J15</f>
        <v/>
      </c>
      <c r="M15" s="10">
        <f>-K15^2*F15</f>
        <v/>
      </c>
    </row>
    <row r="16">
      <c r="A16" s="12" t="n">
        <v>5</v>
      </c>
      <c r="B16" s="13">
        <f>A16*$B$6</f>
        <v/>
      </c>
      <c r="C16" s="14">
        <f>$B$5*B16</f>
        <v/>
      </c>
      <c r="D16" s="14">
        <f>$B$3*COS(C16)</f>
        <v/>
      </c>
      <c r="E16" s="14">
        <f>$B$3*SIN(C16)</f>
        <v/>
      </c>
      <c r="F16" s="14">
        <f>SQRT(D16^2 + (E16+$B$4)^2)</f>
        <v/>
      </c>
      <c r="G16" s="14">
        <f>ATAN2(D16, E16+$B$4)</f>
        <v/>
      </c>
      <c r="H16" s="14">
        <f>-$B$3*$B$5*SIN(C16)</f>
        <v/>
      </c>
      <c r="I16" s="14">
        <f>$B$3*$B$5*COS(C16)</f>
        <v/>
      </c>
      <c r="J16" s="14">
        <f>H16*COS(G16) + I16*SIN(G16)</f>
        <v/>
      </c>
      <c r="K16" s="14">
        <f>(-H16*SIN(G16) + I16*COS(G16))/F16</f>
        <v/>
      </c>
      <c r="L16" s="15">
        <f>2*K16*J16</f>
        <v/>
      </c>
      <c r="M16" s="14">
        <f>-K16^2*F16</f>
        <v/>
      </c>
    </row>
    <row r="17">
      <c r="A17" s="8" t="n">
        <v>6</v>
      </c>
      <c r="B17" s="9">
        <f>A17*$B$6</f>
        <v/>
      </c>
      <c r="C17" s="10">
        <f>$B$5*B17</f>
        <v/>
      </c>
      <c r="D17" s="10">
        <f>$B$3*COS(C17)</f>
        <v/>
      </c>
      <c r="E17" s="10">
        <f>$B$3*SIN(C17)</f>
        <v/>
      </c>
      <c r="F17" s="10">
        <f>SQRT(D17^2 + (E17+$B$4)^2)</f>
        <v/>
      </c>
      <c r="G17" s="10">
        <f>ATAN2(D17, E17+$B$4)</f>
        <v/>
      </c>
      <c r="H17" s="10">
        <f>-$B$3*$B$5*SIN(C17)</f>
        <v/>
      </c>
      <c r="I17" s="10">
        <f>$B$3*$B$5*COS(C17)</f>
        <v/>
      </c>
      <c r="J17" s="10">
        <f>H17*COS(G17) + I17*SIN(G17)</f>
        <v/>
      </c>
      <c r="K17" s="10">
        <f>(-H17*SIN(G17) + I17*COS(G17))/F17</f>
        <v/>
      </c>
      <c r="L17" s="11">
        <f>2*K17*J17</f>
        <v/>
      </c>
      <c r="M17" s="10">
        <f>-K17^2*F17</f>
        <v/>
      </c>
    </row>
    <row r="18">
      <c r="A18" s="12" t="n">
        <v>7</v>
      </c>
      <c r="B18" s="13">
        <f>A18*$B$6</f>
        <v/>
      </c>
      <c r="C18" s="14">
        <f>$B$5*B18</f>
        <v/>
      </c>
      <c r="D18" s="14">
        <f>$B$3*COS(C18)</f>
        <v/>
      </c>
      <c r="E18" s="14">
        <f>$B$3*SIN(C18)</f>
        <v/>
      </c>
      <c r="F18" s="14">
        <f>SQRT(D18^2 + (E18+$B$4)^2)</f>
        <v/>
      </c>
      <c r="G18" s="14">
        <f>ATAN2(D18, E18+$B$4)</f>
        <v/>
      </c>
      <c r="H18" s="14">
        <f>-$B$3*$B$5*SIN(C18)</f>
        <v/>
      </c>
      <c r="I18" s="14">
        <f>$B$3*$B$5*COS(C18)</f>
        <v/>
      </c>
      <c r="J18" s="14">
        <f>H18*COS(G18) + I18*SIN(G18)</f>
        <v/>
      </c>
      <c r="K18" s="14">
        <f>(-H18*SIN(G18) + I18*COS(G18))/F18</f>
        <v/>
      </c>
      <c r="L18" s="15">
        <f>2*K18*J18</f>
        <v/>
      </c>
      <c r="M18" s="14">
        <f>-K18^2*F18</f>
        <v/>
      </c>
    </row>
    <row r="19">
      <c r="A19" s="8" t="n">
        <v>8</v>
      </c>
      <c r="B19" s="9">
        <f>A19*$B$6</f>
        <v/>
      </c>
      <c r="C19" s="10">
        <f>$B$5*B19</f>
        <v/>
      </c>
      <c r="D19" s="10">
        <f>$B$3*COS(C19)</f>
        <v/>
      </c>
      <c r="E19" s="10">
        <f>$B$3*SIN(C19)</f>
        <v/>
      </c>
      <c r="F19" s="10">
        <f>SQRT(D19^2 + (E19+$B$4)^2)</f>
        <v/>
      </c>
      <c r="G19" s="10">
        <f>ATAN2(D19, E19+$B$4)</f>
        <v/>
      </c>
      <c r="H19" s="10">
        <f>-$B$3*$B$5*SIN(C19)</f>
        <v/>
      </c>
      <c r="I19" s="10">
        <f>$B$3*$B$5*COS(C19)</f>
        <v/>
      </c>
      <c r="J19" s="10">
        <f>H19*COS(G19) + I19*SIN(G19)</f>
        <v/>
      </c>
      <c r="K19" s="10">
        <f>(-H19*SIN(G19) + I19*COS(G19))/F19</f>
        <v/>
      </c>
      <c r="L19" s="11">
        <f>2*K19*J19</f>
        <v/>
      </c>
      <c r="M19" s="10">
        <f>-K19^2*F19</f>
        <v/>
      </c>
    </row>
    <row r="20">
      <c r="A20" s="12" t="n">
        <v>9</v>
      </c>
      <c r="B20" s="13">
        <f>A20*$B$6</f>
        <v/>
      </c>
      <c r="C20" s="14">
        <f>$B$5*B20</f>
        <v/>
      </c>
      <c r="D20" s="14">
        <f>$B$3*COS(C20)</f>
        <v/>
      </c>
      <c r="E20" s="14">
        <f>$B$3*SIN(C20)</f>
        <v/>
      </c>
      <c r="F20" s="14">
        <f>SQRT(D20^2 + (E20+$B$4)^2)</f>
        <v/>
      </c>
      <c r="G20" s="14">
        <f>ATAN2(D20, E20+$B$4)</f>
        <v/>
      </c>
      <c r="H20" s="14">
        <f>-$B$3*$B$5*SIN(C20)</f>
        <v/>
      </c>
      <c r="I20" s="14">
        <f>$B$3*$B$5*COS(C20)</f>
        <v/>
      </c>
      <c r="J20" s="14">
        <f>H20*COS(G20) + I20*SIN(G20)</f>
        <v/>
      </c>
      <c r="K20" s="14">
        <f>(-H20*SIN(G20) + I20*COS(G20))/F20</f>
        <v/>
      </c>
      <c r="L20" s="15">
        <f>2*K20*J20</f>
        <v/>
      </c>
      <c r="M20" s="14">
        <f>-K20^2*F20</f>
        <v/>
      </c>
    </row>
    <row r="21">
      <c r="A21" s="8" t="n">
        <v>10</v>
      </c>
      <c r="B21" s="9">
        <f>A21*$B$6</f>
        <v/>
      </c>
      <c r="C21" s="10">
        <f>$B$5*B21</f>
        <v/>
      </c>
      <c r="D21" s="10">
        <f>$B$3*COS(C21)</f>
        <v/>
      </c>
      <c r="E21" s="10">
        <f>$B$3*SIN(C21)</f>
        <v/>
      </c>
      <c r="F21" s="10">
        <f>SQRT(D21^2 + (E21+$B$4)^2)</f>
        <v/>
      </c>
      <c r="G21" s="10">
        <f>ATAN2(D21, E21+$B$4)</f>
        <v/>
      </c>
      <c r="H21" s="10">
        <f>-$B$3*$B$5*SIN(C21)</f>
        <v/>
      </c>
      <c r="I21" s="10">
        <f>$B$3*$B$5*COS(C21)</f>
        <v/>
      </c>
      <c r="J21" s="10">
        <f>H21*COS(G21) + I21*SIN(G21)</f>
        <v/>
      </c>
      <c r="K21" s="10">
        <f>(-H21*SIN(G21) + I21*COS(G21))/F21</f>
        <v/>
      </c>
      <c r="L21" s="11">
        <f>2*K21*J21</f>
        <v/>
      </c>
      <c r="M21" s="10">
        <f>-K21^2*F21</f>
        <v/>
      </c>
    </row>
    <row r="22">
      <c r="A22" s="12" t="n">
        <v>11</v>
      </c>
      <c r="B22" s="13">
        <f>A22*$B$6</f>
        <v/>
      </c>
      <c r="C22" s="14">
        <f>$B$5*B22</f>
        <v/>
      </c>
      <c r="D22" s="14">
        <f>$B$3*COS(C22)</f>
        <v/>
      </c>
      <c r="E22" s="14">
        <f>$B$3*SIN(C22)</f>
        <v/>
      </c>
      <c r="F22" s="14">
        <f>SQRT(D22^2 + (E22+$B$4)^2)</f>
        <v/>
      </c>
      <c r="G22" s="14">
        <f>ATAN2(D22, E22+$B$4)</f>
        <v/>
      </c>
      <c r="H22" s="14">
        <f>-$B$3*$B$5*SIN(C22)</f>
        <v/>
      </c>
      <c r="I22" s="14">
        <f>$B$3*$B$5*COS(C22)</f>
        <v/>
      </c>
      <c r="J22" s="14">
        <f>H22*COS(G22) + I22*SIN(G22)</f>
        <v/>
      </c>
      <c r="K22" s="14">
        <f>(-H22*SIN(G22) + I22*COS(G22))/F22</f>
        <v/>
      </c>
      <c r="L22" s="15">
        <f>2*K22*J22</f>
        <v/>
      </c>
      <c r="M22" s="14">
        <f>-K22^2*F22</f>
        <v/>
      </c>
    </row>
    <row r="23">
      <c r="A23" s="8" t="n">
        <v>12</v>
      </c>
      <c r="B23" s="9">
        <f>A23*$B$6</f>
        <v/>
      </c>
      <c r="C23" s="10">
        <f>$B$5*B23</f>
        <v/>
      </c>
      <c r="D23" s="10">
        <f>$B$3*COS(C23)</f>
        <v/>
      </c>
      <c r="E23" s="10">
        <f>$B$3*SIN(C23)</f>
        <v/>
      </c>
      <c r="F23" s="10">
        <f>SQRT(D23^2 + (E23+$B$4)^2)</f>
        <v/>
      </c>
      <c r="G23" s="10">
        <f>ATAN2(D23, E23+$B$4)</f>
        <v/>
      </c>
      <c r="H23" s="10">
        <f>-$B$3*$B$5*SIN(C23)</f>
        <v/>
      </c>
      <c r="I23" s="10">
        <f>$B$3*$B$5*COS(C23)</f>
        <v/>
      </c>
      <c r="J23" s="10">
        <f>H23*COS(G23) + I23*SIN(G23)</f>
        <v/>
      </c>
      <c r="K23" s="10">
        <f>(-H23*SIN(G23) + I23*COS(G23))/F23</f>
        <v/>
      </c>
      <c r="L23" s="11">
        <f>2*K23*J23</f>
        <v/>
      </c>
      <c r="M23" s="10">
        <f>-K23^2*F23</f>
        <v/>
      </c>
    </row>
    <row r="24">
      <c r="A24" s="12" t="n">
        <v>13</v>
      </c>
      <c r="B24" s="13">
        <f>A24*$B$6</f>
        <v/>
      </c>
      <c r="C24" s="14">
        <f>$B$5*B24</f>
        <v/>
      </c>
      <c r="D24" s="14">
        <f>$B$3*COS(C24)</f>
        <v/>
      </c>
      <c r="E24" s="14">
        <f>$B$3*SIN(C24)</f>
        <v/>
      </c>
      <c r="F24" s="14">
        <f>SQRT(D24^2 + (E24+$B$4)^2)</f>
        <v/>
      </c>
      <c r="G24" s="14">
        <f>ATAN2(D24, E24+$B$4)</f>
        <v/>
      </c>
      <c r="H24" s="14">
        <f>-$B$3*$B$5*SIN(C24)</f>
        <v/>
      </c>
      <c r="I24" s="14">
        <f>$B$3*$B$5*COS(C24)</f>
        <v/>
      </c>
      <c r="J24" s="14">
        <f>H24*COS(G24) + I24*SIN(G24)</f>
        <v/>
      </c>
      <c r="K24" s="14">
        <f>(-H24*SIN(G24) + I24*COS(G24))/F24</f>
        <v/>
      </c>
      <c r="L24" s="15">
        <f>2*K24*J24</f>
        <v/>
      </c>
      <c r="M24" s="14">
        <f>-K24^2*F24</f>
        <v/>
      </c>
    </row>
    <row r="25">
      <c r="A25" s="8" t="n">
        <v>14</v>
      </c>
      <c r="B25" s="9">
        <f>A25*$B$6</f>
        <v/>
      </c>
      <c r="C25" s="10">
        <f>$B$5*B25</f>
        <v/>
      </c>
      <c r="D25" s="10">
        <f>$B$3*COS(C25)</f>
        <v/>
      </c>
      <c r="E25" s="10">
        <f>$B$3*SIN(C25)</f>
        <v/>
      </c>
      <c r="F25" s="10">
        <f>SQRT(D25^2 + (E25+$B$4)^2)</f>
        <v/>
      </c>
      <c r="G25" s="10">
        <f>ATAN2(D25, E25+$B$4)</f>
        <v/>
      </c>
      <c r="H25" s="10">
        <f>-$B$3*$B$5*SIN(C25)</f>
        <v/>
      </c>
      <c r="I25" s="10">
        <f>$B$3*$B$5*COS(C25)</f>
        <v/>
      </c>
      <c r="J25" s="10">
        <f>H25*COS(G25) + I25*SIN(G25)</f>
        <v/>
      </c>
      <c r="K25" s="10">
        <f>(-H25*SIN(G25) + I25*COS(G25))/F25</f>
        <v/>
      </c>
      <c r="L25" s="11">
        <f>2*K25*J25</f>
        <v/>
      </c>
      <c r="M25" s="10">
        <f>-K25^2*F25</f>
        <v/>
      </c>
    </row>
    <row r="26">
      <c r="A26" s="12" t="n">
        <v>15</v>
      </c>
      <c r="B26" s="13">
        <f>A26*$B$6</f>
        <v/>
      </c>
      <c r="C26" s="14">
        <f>$B$5*B26</f>
        <v/>
      </c>
      <c r="D26" s="14">
        <f>$B$3*COS(C26)</f>
        <v/>
      </c>
      <c r="E26" s="14">
        <f>$B$3*SIN(C26)</f>
        <v/>
      </c>
      <c r="F26" s="14">
        <f>SQRT(D26^2 + (E26+$B$4)^2)</f>
        <v/>
      </c>
      <c r="G26" s="14">
        <f>ATAN2(D26, E26+$B$4)</f>
        <v/>
      </c>
      <c r="H26" s="14">
        <f>-$B$3*$B$5*SIN(C26)</f>
        <v/>
      </c>
      <c r="I26" s="14">
        <f>$B$3*$B$5*COS(C26)</f>
        <v/>
      </c>
      <c r="J26" s="14">
        <f>H26*COS(G26) + I26*SIN(G26)</f>
        <v/>
      </c>
      <c r="K26" s="14">
        <f>(-H26*SIN(G26) + I26*COS(G26))/F26</f>
        <v/>
      </c>
      <c r="L26" s="15">
        <f>2*K26*J26</f>
        <v/>
      </c>
      <c r="M26" s="14">
        <f>-K26^2*F26</f>
        <v/>
      </c>
    </row>
    <row r="27">
      <c r="A27" s="8" t="n">
        <v>16</v>
      </c>
      <c r="B27" s="9">
        <f>A27*$B$6</f>
        <v/>
      </c>
      <c r="C27" s="10">
        <f>$B$5*B27</f>
        <v/>
      </c>
      <c r="D27" s="10">
        <f>$B$3*COS(C27)</f>
        <v/>
      </c>
      <c r="E27" s="10">
        <f>$B$3*SIN(C27)</f>
        <v/>
      </c>
      <c r="F27" s="10">
        <f>SQRT(D27^2 + (E27+$B$4)^2)</f>
        <v/>
      </c>
      <c r="G27" s="10">
        <f>ATAN2(D27, E27+$B$4)</f>
        <v/>
      </c>
      <c r="H27" s="10">
        <f>-$B$3*$B$5*SIN(C27)</f>
        <v/>
      </c>
      <c r="I27" s="10">
        <f>$B$3*$B$5*COS(C27)</f>
        <v/>
      </c>
      <c r="J27" s="10">
        <f>H27*COS(G27) + I27*SIN(G27)</f>
        <v/>
      </c>
      <c r="K27" s="10">
        <f>(-H27*SIN(G27) + I27*COS(G27))/F27</f>
        <v/>
      </c>
      <c r="L27" s="11">
        <f>2*K27*J27</f>
        <v/>
      </c>
      <c r="M27" s="10">
        <f>-K27^2*F27</f>
        <v/>
      </c>
    </row>
    <row r="28">
      <c r="A28" s="12" t="n">
        <v>17</v>
      </c>
      <c r="B28" s="13">
        <f>A28*$B$6</f>
        <v/>
      </c>
      <c r="C28" s="14">
        <f>$B$5*B28</f>
        <v/>
      </c>
      <c r="D28" s="14">
        <f>$B$3*COS(C28)</f>
        <v/>
      </c>
      <c r="E28" s="14">
        <f>$B$3*SIN(C28)</f>
        <v/>
      </c>
      <c r="F28" s="14">
        <f>SQRT(D28^2 + (E28+$B$4)^2)</f>
        <v/>
      </c>
      <c r="G28" s="14">
        <f>ATAN2(D28, E28+$B$4)</f>
        <v/>
      </c>
      <c r="H28" s="14">
        <f>-$B$3*$B$5*SIN(C28)</f>
        <v/>
      </c>
      <c r="I28" s="14">
        <f>$B$3*$B$5*COS(C28)</f>
        <v/>
      </c>
      <c r="J28" s="14">
        <f>H28*COS(G28) + I28*SIN(G28)</f>
        <v/>
      </c>
      <c r="K28" s="14">
        <f>(-H28*SIN(G28) + I28*COS(G28))/F28</f>
        <v/>
      </c>
      <c r="L28" s="15">
        <f>2*K28*J28</f>
        <v/>
      </c>
      <c r="M28" s="14">
        <f>-K28^2*F28</f>
        <v/>
      </c>
    </row>
    <row r="29">
      <c r="A29" s="8" t="n">
        <v>18</v>
      </c>
      <c r="B29" s="9">
        <f>A29*$B$6</f>
        <v/>
      </c>
      <c r="C29" s="10">
        <f>$B$5*B29</f>
        <v/>
      </c>
      <c r="D29" s="10">
        <f>$B$3*COS(C29)</f>
        <v/>
      </c>
      <c r="E29" s="10">
        <f>$B$3*SIN(C29)</f>
        <v/>
      </c>
      <c r="F29" s="10">
        <f>SQRT(D29^2 + (E29+$B$4)^2)</f>
        <v/>
      </c>
      <c r="G29" s="10">
        <f>ATAN2(D29, E29+$B$4)</f>
        <v/>
      </c>
      <c r="H29" s="10">
        <f>-$B$3*$B$5*SIN(C29)</f>
        <v/>
      </c>
      <c r="I29" s="10">
        <f>$B$3*$B$5*COS(C29)</f>
        <v/>
      </c>
      <c r="J29" s="10">
        <f>H29*COS(G29) + I29*SIN(G29)</f>
        <v/>
      </c>
      <c r="K29" s="10">
        <f>(-H29*SIN(G29) + I29*COS(G29))/F29</f>
        <v/>
      </c>
      <c r="L29" s="11">
        <f>2*K29*J29</f>
        <v/>
      </c>
      <c r="M29" s="10">
        <f>-K29^2*F29</f>
        <v/>
      </c>
    </row>
    <row r="30">
      <c r="A30" s="12" t="n">
        <v>19</v>
      </c>
      <c r="B30" s="13">
        <f>A30*$B$6</f>
        <v/>
      </c>
      <c r="C30" s="14">
        <f>$B$5*B30</f>
        <v/>
      </c>
      <c r="D30" s="14">
        <f>$B$3*COS(C30)</f>
        <v/>
      </c>
      <c r="E30" s="14">
        <f>$B$3*SIN(C30)</f>
        <v/>
      </c>
      <c r="F30" s="14">
        <f>SQRT(D30^2 + (E30+$B$4)^2)</f>
        <v/>
      </c>
      <c r="G30" s="14">
        <f>ATAN2(D30, E30+$B$4)</f>
        <v/>
      </c>
      <c r="H30" s="14">
        <f>-$B$3*$B$5*SIN(C30)</f>
        <v/>
      </c>
      <c r="I30" s="14">
        <f>$B$3*$B$5*COS(C30)</f>
        <v/>
      </c>
      <c r="J30" s="14">
        <f>H30*COS(G30) + I30*SIN(G30)</f>
        <v/>
      </c>
      <c r="K30" s="14">
        <f>(-H30*SIN(G30) + I30*COS(G30))/F30</f>
        <v/>
      </c>
      <c r="L30" s="15">
        <f>2*K30*J30</f>
        <v/>
      </c>
      <c r="M30" s="14">
        <f>-K30^2*F30</f>
        <v/>
      </c>
    </row>
    <row r="31">
      <c r="A31" s="8" t="n">
        <v>20</v>
      </c>
      <c r="B31" s="9">
        <f>A31*$B$6</f>
        <v/>
      </c>
      <c r="C31" s="10">
        <f>$B$5*B31</f>
        <v/>
      </c>
      <c r="D31" s="10">
        <f>$B$3*COS(C31)</f>
        <v/>
      </c>
      <c r="E31" s="10">
        <f>$B$3*SIN(C31)</f>
        <v/>
      </c>
      <c r="F31" s="10">
        <f>SQRT(D31^2 + (E31+$B$4)^2)</f>
        <v/>
      </c>
      <c r="G31" s="10">
        <f>ATAN2(D31, E31+$B$4)</f>
        <v/>
      </c>
      <c r="H31" s="10">
        <f>-$B$3*$B$5*SIN(C31)</f>
        <v/>
      </c>
      <c r="I31" s="10">
        <f>$B$3*$B$5*COS(C31)</f>
        <v/>
      </c>
      <c r="J31" s="10">
        <f>H31*COS(G31) + I31*SIN(G31)</f>
        <v/>
      </c>
      <c r="K31" s="10">
        <f>(-H31*SIN(G31) + I31*COS(G31))/F31</f>
        <v/>
      </c>
      <c r="L31" s="11">
        <f>2*K31*J31</f>
        <v/>
      </c>
      <c r="M31" s="10">
        <f>-K31^2*F31</f>
        <v/>
      </c>
    </row>
    <row r="32">
      <c r="A32" s="12" t="n">
        <v>21</v>
      </c>
      <c r="B32" s="13">
        <f>A32*$B$6</f>
        <v/>
      </c>
      <c r="C32" s="14">
        <f>$B$5*B32</f>
        <v/>
      </c>
      <c r="D32" s="14">
        <f>$B$3*COS(C32)</f>
        <v/>
      </c>
      <c r="E32" s="14">
        <f>$B$3*SIN(C32)</f>
        <v/>
      </c>
      <c r="F32" s="14">
        <f>SQRT(D32^2 + (E32+$B$4)^2)</f>
        <v/>
      </c>
      <c r="G32" s="14">
        <f>ATAN2(D32, E32+$B$4)</f>
        <v/>
      </c>
      <c r="H32" s="14">
        <f>-$B$3*$B$5*SIN(C32)</f>
        <v/>
      </c>
      <c r="I32" s="14">
        <f>$B$3*$B$5*COS(C32)</f>
        <v/>
      </c>
      <c r="J32" s="14">
        <f>H32*COS(G32) + I32*SIN(G32)</f>
        <v/>
      </c>
      <c r="K32" s="14">
        <f>(-H32*SIN(G32) + I32*COS(G32))/F32</f>
        <v/>
      </c>
      <c r="L32" s="15">
        <f>2*K32*J32</f>
        <v/>
      </c>
      <c r="M32" s="14">
        <f>-K32^2*F32</f>
        <v/>
      </c>
    </row>
    <row r="33">
      <c r="A33" s="8" t="n">
        <v>22</v>
      </c>
      <c r="B33" s="9">
        <f>A33*$B$6</f>
        <v/>
      </c>
      <c r="C33" s="10">
        <f>$B$5*B33</f>
        <v/>
      </c>
      <c r="D33" s="10">
        <f>$B$3*COS(C33)</f>
        <v/>
      </c>
      <c r="E33" s="10">
        <f>$B$3*SIN(C33)</f>
        <v/>
      </c>
      <c r="F33" s="10">
        <f>SQRT(D33^2 + (E33+$B$4)^2)</f>
        <v/>
      </c>
      <c r="G33" s="10">
        <f>ATAN2(D33, E33+$B$4)</f>
        <v/>
      </c>
      <c r="H33" s="10">
        <f>-$B$3*$B$5*SIN(C33)</f>
        <v/>
      </c>
      <c r="I33" s="10">
        <f>$B$3*$B$5*COS(C33)</f>
        <v/>
      </c>
      <c r="J33" s="10">
        <f>H33*COS(G33) + I33*SIN(G33)</f>
        <v/>
      </c>
      <c r="K33" s="10">
        <f>(-H33*SIN(G33) + I33*COS(G33))/F33</f>
        <v/>
      </c>
      <c r="L33" s="11">
        <f>2*K33*J33</f>
        <v/>
      </c>
      <c r="M33" s="10">
        <f>-K33^2*F33</f>
        <v/>
      </c>
    </row>
    <row r="34">
      <c r="A34" s="12" t="n">
        <v>23</v>
      </c>
      <c r="B34" s="13">
        <f>A34*$B$6</f>
        <v/>
      </c>
      <c r="C34" s="14">
        <f>$B$5*B34</f>
        <v/>
      </c>
      <c r="D34" s="14">
        <f>$B$3*COS(C34)</f>
        <v/>
      </c>
      <c r="E34" s="14">
        <f>$B$3*SIN(C34)</f>
        <v/>
      </c>
      <c r="F34" s="14">
        <f>SQRT(D34^2 + (E34+$B$4)^2)</f>
        <v/>
      </c>
      <c r="G34" s="14">
        <f>ATAN2(D34, E34+$B$4)</f>
        <v/>
      </c>
      <c r="H34" s="14">
        <f>-$B$3*$B$5*SIN(C34)</f>
        <v/>
      </c>
      <c r="I34" s="14">
        <f>$B$3*$B$5*COS(C34)</f>
        <v/>
      </c>
      <c r="J34" s="14">
        <f>H34*COS(G34) + I34*SIN(G34)</f>
        <v/>
      </c>
      <c r="K34" s="14">
        <f>(-H34*SIN(G34) + I34*COS(G34))/F34</f>
        <v/>
      </c>
      <c r="L34" s="15">
        <f>2*K34*J34</f>
        <v/>
      </c>
      <c r="M34" s="14">
        <f>-K34^2*F34</f>
        <v/>
      </c>
    </row>
    <row r="35">
      <c r="A35" s="8" t="n">
        <v>24</v>
      </c>
      <c r="B35" s="9">
        <f>A35*$B$6</f>
        <v/>
      </c>
      <c r="C35" s="10">
        <f>$B$5*B35</f>
        <v/>
      </c>
      <c r="D35" s="10">
        <f>$B$3*COS(C35)</f>
        <v/>
      </c>
      <c r="E35" s="10">
        <f>$B$3*SIN(C35)</f>
        <v/>
      </c>
      <c r="F35" s="10">
        <f>SQRT(D35^2 + (E35+$B$4)^2)</f>
        <v/>
      </c>
      <c r="G35" s="10">
        <f>ATAN2(D35, E35+$B$4)</f>
        <v/>
      </c>
      <c r="H35" s="10">
        <f>-$B$3*$B$5*SIN(C35)</f>
        <v/>
      </c>
      <c r="I35" s="10">
        <f>$B$3*$B$5*COS(C35)</f>
        <v/>
      </c>
      <c r="J35" s="10">
        <f>H35*COS(G35) + I35*SIN(G35)</f>
        <v/>
      </c>
      <c r="K35" s="10">
        <f>(-H35*SIN(G35) + I35*COS(G35))/F35</f>
        <v/>
      </c>
      <c r="L35" s="11">
        <f>2*K35*J35</f>
        <v/>
      </c>
      <c r="M35" s="10">
        <f>-K35^2*F35</f>
        <v/>
      </c>
    </row>
    <row r="36">
      <c r="A36" s="12" t="n">
        <v>25</v>
      </c>
      <c r="B36" s="13">
        <f>A36*$B$6</f>
        <v/>
      </c>
      <c r="C36" s="14">
        <f>$B$5*B36</f>
        <v/>
      </c>
      <c r="D36" s="14">
        <f>$B$3*COS(C36)</f>
        <v/>
      </c>
      <c r="E36" s="14">
        <f>$B$3*SIN(C36)</f>
        <v/>
      </c>
      <c r="F36" s="14">
        <f>SQRT(D36^2 + (E36+$B$4)^2)</f>
        <v/>
      </c>
      <c r="G36" s="14">
        <f>ATAN2(D36, E36+$B$4)</f>
        <v/>
      </c>
      <c r="H36" s="14">
        <f>-$B$3*$B$5*SIN(C36)</f>
        <v/>
      </c>
      <c r="I36" s="14">
        <f>$B$3*$B$5*COS(C36)</f>
        <v/>
      </c>
      <c r="J36" s="14">
        <f>H36*COS(G36) + I36*SIN(G36)</f>
        <v/>
      </c>
      <c r="K36" s="14">
        <f>(-H36*SIN(G36) + I36*COS(G36))/F36</f>
        <v/>
      </c>
      <c r="L36" s="15">
        <f>2*K36*J36</f>
        <v/>
      </c>
      <c r="M36" s="14">
        <f>-K36^2*F36</f>
        <v/>
      </c>
    </row>
    <row r="37">
      <c r="A37" s="8" t="n">
        <v>26</v>
      </c>
      <c r="B37" s="9">
        <f>A37*$B$6</f>
        <v/>
      </c>
      <c r="C37" s="10">
        <f>$B$5*B37</f>
        <v/>
      </c>
      <c r="D37" s="10">
        <f>$B$3*COS(C37)</f>
        <v/>
      </c>
      <c r="E37" s="10">
        <f>$B$3*SIN(C37)</f>
        <v/>
      </c>
      <c r="F37" s="10">
        <f>SQRT(D37^2 + (E37+$B$4)^2)</f>
        <v/>
      </c>
      <c r="G37" s="10">
        <f>ATAN2(D37, E37+$B$4)</f>
        <v/>
      </c>
      <c r="H37" s="10">
        <f>-$B$3*$B$5*SIN(C37)</f>
        <v/>
      </c>
      <c r="I37" s="10">
        <f>$B$3*$B$5*COS(C37)</f>
        <v/>
      </c>
      <c r="J37" s="10">
        <f>H37*COS(G37) + I37*SIN(G37)</f>
        <v/>
      </c>
      <c r="K37" s="10">
        <f>(-H37*SIN(G37) + I37*COS(G37))/F37</f>
        <v/>
      </c>
      <c r="L37" s="11">
        <f>2*K37*J37</f>
        <v/>
      </c>
      <c r="M37" s="10">
        <f>-K37^2*F37</f>
        <v/>
      </c>
    </row>
    <row r="38">
      <c r="A38" s="12" t="n">
        <v>27</v>
      </c>
      <c r="B38" s="13">
        <f>A38*$B$6</f>
        <v/>
      </c>
      <c r="C38" s="14">
        <f>$B$5*B38</f>
        <v/>
      </c>
      <c r="D38" s="14">
        <f>$B$3*COS(C38)</f>
        <v/>
      </c>
      <c r="E38" s="14">
        <f>$B$3*SIN(C38)</f>
        <v/>
      </c>
      <c r="F38" s="14">
        <f>SQRT(D38^2 + (E38+$B$4)^2)</f>
        <v/>
      </c>
      <c r="G38" s="14">
        <f>ATAN2(D38, E38+$B$4)</f>
        <v/>
      </c>
      <c r="H38" s="14">
        <f>-$B$3*$B$5*SIN(C38)</f>
        <v/>
      </c>
      <c r="I38" s="14">
        <f>$B$3*$B$5*COS(C38)</f>
        <v/>
      </c>
      <c r="J38" s="14">
        <f>H38*COS(G38) + I38*SIN(G38)</f>
        <v/>
      </c>
      <c r="K38" s="14">
        <f>(-H38*SIN(G38) + I38*COS(G38))/F38</f>
        <v/>
      </c>
      <c r="L38" s="15">
        <f>2*K38*J38</f>
        <v/>
      </c>
      <c r="M38" s="14">
        <f>-K38^2*F38</f>
        <v/>
      </c>
    </row>
    <row r="39">
      <c r="A39" s="8" t="n">
        <v>28</v>
      </c>
      <c r="B39" s="9">
        <f>A39*$B$6</f>
        <v/>
      </c>
      <c r="C39" s="10">
        <f>$B$5*B39</f>
        <v/>
      </c>
      <c r="D39" s="10">
        <f>$B$3*COS(C39)</f>
        <v/>
      </c>
      <c r="E39" s="10">
        <f>$B$3*SIN(C39)</f>
        <v/>
      </c>
      <c r="F39" s="10">
        <f>SQRT(D39^2 + (E39+$B$4)^2)</f>
        <v/>
      </c>
      <c r="G39" s="10">
        <f>ATAN2(D39, E39+$B$4)</f>
        <v/>
      </c>
      <c r="H39" s="10">
        <f>-$B$3*$B$5*SIN(C39)</f>
        <v/>
      </c>
      <c r="I39" s="10">
        <f>$B$3*$B$5*COS(C39)</f>
        <v/>
      </c>
      <c r="J39" s="10">
        <f>H39*COS(G39) + I39*SIN(G39)</f>
        <v/>
      </c>
      <c r="K39" s="10">
        <f>(-H39*SIN(G39) + I39*COS(G39))/F39</f>
        <v/>
      </c>
      <c r="L39" s="11">
        <f>2*K39*J39</f>
        <v/>
      </c>
      <c r="M39" s="10">
        <f>-K39^2*F39</f>
        <v/>
      </c>
    </row>
    <row r="40">
      <c r="A40" s="12" t="n">
        <v>29</v>
      </c>
      <c r="B40" s="13">
        <f>A40*$B$6</f>
        <v/>
      </c>
      <c r="C40" s="14">
        <f>$B$5*B40</f>
        <v/>
      </c>
      <c r="D40" s="14">
        <f>$B$3*COS(C40)</f>
        <v/>
      </c>
      <c r="E40" s="14">
        <f>$B$3*SIN(C40)</f>
        <v/>
      </c>
      <c r="F40" s="14">
        <f>SQRT(D40^2 + (E40+$B$4)^2)</f>
        <v/>
      </c>
      <c r="G40" s="14">
        <f>ATAN2(D40, E40+$B$4)</f>
        <v/>
      </c>
      <c r="H40" s="14">
        <f>-$B$3*$B$5*SIN(C40)</f>
        <v/>
      </c>
      <c r="I40" s="14">
        <f>$B$3*$B$5*COS(C40)</f>
        <v/>
      </c>
      <c r="J40" s="14">
        <f>H40*COS(G40) + I40*SIN(G40)</f>
        <v/>
      </c>
      <c r="K40" s="14">
        <f>(-H40*SIN(G40) + I40*COS(G40))/F40</f>
        <v/>
      </c>
      <c r="L40" s="15">
        <f>2*K40*J40</f>
        <v/>
      </c>
      <c r="M40" s="14">
        <f>-K40^2*F40</f>
        <v/>
      </c>
    </row>
    <row r="41">
      <c r="A41" s="8" t="n">
        <v>30</v>
      </c>
      <c r="B41" s="9">
        <f>A41*$B$6</f>
        <v/>
      </c>
      <c r="C41" s="10">
        <f>$B$5*B41</f>
        <v/>
      </c>
      <c r="D41" s="10">
        <f>$B$3*COS(C41)</f>
        <v/>
      </c>
      <c r="E41" s="10">
        <f>$B$3*SIN(C41)</f>
        <v/>
      </c>
      <c r="F41" s="10">
        <f>SQRT(D41^2 + (E41+$B$4)^2)</f>
        <v/>
      </c>
      <c r="G41" s="10">
        <f>ATAN2(D41, E41+$B$4)</f>
        <v/>
      </c>
      <c r="H41" s="10">
        <f>-$B$3*$B$5*SIN(C41)</f>
        <v/>
      </c>
      <c r="I41" s="10">
        <f>$B$3*$B$5*COS(C41)</f>
        <v/>
      </c>
      <c r="J41" s="10">
        <f>H41*COS(G41) + I41*SIN(G41)</f>
        <v/>
      </c>
      <c r="K41" s="10">
        <f>(-H41*SIN(G41) + I41*COS(G41))/F41</f>
        <v/>
      </c>
      <c r="L41" s="11">
        <f>2*K41*J41</f>
        <v/>
      </c>
      <c r="M41" s="10">
        <f>-K41^2*F41</f>
        <v/>
      </c>
    </row>
    <row r="42">
      <c r="A42" s="12" t="n">
        <v>31</v>
      </c>
      <c r="B42" s="13">
        <f>A42*$B$6</f>
        <v/>
      </c>
      <c r="C42" s="14">
        <f>$B$5*B42</f>
        <v/>
      </c>
      <c r="D42" s="14">
        <f>$B$3*COS(C42)</f>
        <v/>
      </c>
      <c r="E42" s="14">
        <f>$B$3*SIN(C42)</f>
        <v/>
      </c>
      <c r="F42" s="14">
        <f>SQRT(D42^2 + (E42+$B$4)^2)</f>
        <v/>
      </c>
      <c r="G42" s="14">
        <f>ATAN2(D42, E42+$B$4)</f>
        <v/>
      </c>
      <c r="H42" s="14">
        <f>-$B$3*$B$5*SIN(C42)</f>
        <v/>
      </c>
      <c r="I42" s="14">
        <f>$B$3*$B$5*COS(C42)</f>
        <v/>
      </c>
      <c r="J42" s="14">
        <f>H42*COS(G42) + I42*SIN(G42)</f>
        <v/>
      </c>
      <c r="K42" s="14">
        <f>(-H42*SIN(G42) + I42*COS(G42))/F42</f>
        <v/>
      </c>
      <c r="L42" s="15">
        <f>2*K42*J42</f>
        <v/>
      </c>
      <c r="M42" s="14">
        <f>-K42^2*F42</f>
        <v/>
      </c>
    </row>
    <row r="43">
      <c r="A43" s="8" t="n">
        <v>32</v>
      </c>
      <c r="B43" s="9">
        <f>A43*$B$6</f>
        <v/>
      </c>
      <c r="C43" s="10">
        <f>$B$5*B43</f>
        <v/>
      </c>
      <c r="D43" s="10">
        <f>$B$3*COS(C43)</f>
        <v/>
      </c>
      <c r="E43" s="10">
        <f>$B$3*SIN(C43)</f>
        <v/>
      </c>
      <c r="F43" s="10">
        <f>SQRT(D43^2 + (E43+$B$4)^2)</f>
        <v/>
      </c>
      <c r="G43" s="10">
        <f>ATAN2(D43, E43+$B$4)</f>
        <v/>
      </c>
      <c r="H43" s="10">
        <f>-$B$3*$B$5*SIN(C43)</f>
        <v/>
      </c>
      <c r="I43" s="10">
        <f>$B$3*$B$5*COS(C43)</f>
        <v/>
      </c>
      <c r="J43" s="10">
        <f>H43*COS(G43) + I43*SIN(G43)</f>
        <v/>
      </c>
      <c r="K43" s="10">
        <f>(-H43*SIN(G43) + I43*COS(G43))/F43</f>
        <v/>
      </c>
      <c r="L43" s="11">
        <f>2*K43*J43</f>
        <v/>
      </c>
      <c r="M43" s="10">
        <f>-K43^2*F43</f>
        <v/>
      </c>
    </row>
    <row r="44">
      <c r="A44" s="12" t="n">
        <v>33</v>
      </c>
      <c r="B44" s="13">
        <f>A44*$B$6</f>
        <v/>
      </c>
      <c r="C44" s="14">
        <f>$B$5*B44</f>
        <v/>
      </c>
      <c r="D44" s="14">
        <f>$B$3*COS(C44)</f>
        <v/>
      </c>
      <c r="E44" s="14">
        <f>$B$3*SIN(C44)</f>
        <v/>
      </c>
      <c r="F44" s="14">
        <f>SQRT(D44^2 + (E44+$B$4)^2)</f>
        <v/>
      </c>
      <c r="G44" s="14">
        <f>ATAN2(D44, E44+$B$4)</f>
        <v/>
      </c>
      <c r="H44" s="14">
        <f>-$B$3*$B$5*SIN(C44)</f>
        <v/>
      </c>
      <c r="I44" s="14">
        <f>$B$3*$B$5*COS(C44)</f>
        <v/>
      </c>
      <c r="J44" s="14">
        <f>H44*COS(G44) + I44*SIN(G44)</f>
        <v/>
      </c>
      <c r="K44" s="14">
        <f>(-H44*SIN(G44) + I44*COS(G44))/F44</f>
        <v/>
      </c>
      <c r="L44" s="15">
        <f>2*K44*J44</f>
        <v/>
      </c>
      <c r="M44" s="14">
        <f>-K44^2*F44</f>
        <v/>
      </c>
    </row>
    <row r="45">
      <c r="A45" s="8" t="n">
        <v>34</v>
      </c>
      <c r="B45" s="9">
        <f>A45*$B$6</f>
        <v/>
      </c>
      <c r="C45" s="10">
        <f>$B$5*B45</f>
        <v/>
      </c>
      <c r="D45" s="10">
        <f>$B$3*COS(C45)</f>
        <v/>
      </c>
      <c r="E45" s="10">
        <f>$B$3*SIN(C45)</f>
        <v/>
      </c>
      <c r="F45" s="10">
        <f>SQRT(D45^2 + (E45+$B$4)^2)</f>
        <v/>
      </c>
      <c r="G45" s="10">
        <f>ATAN2(D45, E45+$B$4)</f>
        <v/>
      </c>
      <c r="H45" s="10">
        <f>-$B$3*$B$5*SIN(C45)</f>
        <v/>
      </c>
      <c r="I45" s="10">
        <f>$B$3*$B$5*COS(C45)</f>
        <v/>
      </c>
      <c r="J45" s="10">
        <f>H45*COS(G45) + I45*SIN(G45)</f>
        <v/>
      </c>
      <c r="K45" s="10">
        <f>(-H45*SIN(G45) + I45*COS(G45))/F45</f>
        <v/>
      </c>
      <c r="L45" s="11">
        <f>2*K45*J45</f>
        <v/>
      </c>
      <c r="M45" s="10">
        <f>-K45^2*F45</f>
        <v/>
      </c>
    </row>
    <row r="46">
      <c r="A46" s="12" t="n">
        <v>35</v>
      </c>
      <c r="B46" s="13">
        <f>A46*$B$6</f>
        <v/>
      </c>
      <c r="C46" s="14">
        <f>$B$5*B46</f>
        <v/>
      </c>
      <c r="D46" s="14">
        <f>$B$3*COS(C46)</f>
        <v/>
      </c>
      <c r="E46" s="14">
        <f>$B$3*SIN(C46)</f>
        <v/>
      </c>
      <c r="F46" s="14">
        <f>SQRT(D46^2 + (E46+$B$4)^2)</f>
        <v/>
      </c>
      <c r="G46" s="14">
        <f>ATAN2(D46, E46+$B$4)</f>
        <v/>
      </c>
      <c r="H46" s="14">
        <f>-$B$3*$B$5*SIN(C46)</f>
        <v/>
      </c>
      <c r="I46" s="14">
        <f>$B$3*$B$5*COS(C46)</f>
        <v/>
      </c>
      <c r="J46" s="14">
        <f>H46*COS(G46) + I46*SIN(G46)</f>
        <v/>
      </c>
      <c r="K46" s="14">
        <f>(-H46*SIN(G46) + I46*COS(G46))/F46</f>
        <v/>
      </c>
      <c r="L46" s="15">
        <f>2*K46*J46</f>
        <v/>
      </c>
      <c r="M46" s="14">
        <f>-K46^2*F46</f>
        <v/>
      </c>
    </row>
    <row r="47">
      <c r="A47" s="8" t="n">
        <v>36</v>
      </c>
      <c r="B47" s="9">
        <f>A47*$B$6</f>
        <v/>
      </c>
      <c r="C47" s="10">
        <f>$B$5*B47</f>
        <v/>
      </c>
      <c r="D47" s="10">
        <f>$B$3*COS(C47)</f>
        <v/>
      </c>
      <c r="E47" s="10">
        <f>$B$3*SIN(C47)</f>
        <v/>
      </c>
      <c r="F47" s="10">
        <f>SQRT(D47^2 + (E47+$B$4)^2)</f>
        <v/>
      </c>
      <c r="G47" s="10">
        <f>ATAN2(D47, E47+$B$4)</f>
        <v/>
      </c>
      <c r="H47" s="10">
        <f>-$B$3*$B$5*SIN(C47)</f>
        <v/>
      </c>
      <c r="I47" s="10">
        <f>$B$3*$B$5*COS(C47)</f>
        <v/>
      </c>
      <c r="J47" s="10">
        <f>H47*COS(G47) + I47*SIN(G47)</f>
        <v/>
      </c>
      <c r="K47" s="10">
        <f>(-H47*SIN(G47) + I47*COS(G47))/F47</f>
        <v/>
      </c>
      <c r="L47" s="11">
        <f>2*K47*J47</f>
        <v/>
      </c>
      <c r="M47" s="10">
        <f>-K47^2*F47</f>
        <v/>
      </c>
    </row>
    <row r="48">
      <c r="A48" s="12" t="n">
        <v>37</v>
      </c>
      <c r="B48" s="13">
        <f>A48*$B$6</f>
        <v/>
      </c>
      <c r="C48" s="14">
        <f>$B$5*B48</f>
        <v/>
      </c>
      <c r="D48" s="14">
        <f>$B$3*COS(C48)</f>
        <v/>
      </c>
      <c r="E48" s="14">
        <f>$B$3*SIN(C48)</f>
        <v/>
      </c>
      <c r="F48" s="14">
        <f>SQRT(D48^2 + (E48+$B$4)^2)</f>
        <v/>
      </c>
      <c r="G48" s="14">
        <f>ATAN2(D48, E48+$B$4)</f>
        <v/>
      </c>
      <c r="H48" s="14">
        <f>-$B$3*$B$5*SIN(C48)</f>
        <v/>
      </c>
      <c r="I48" s="14">
        <f>$B$3*$B$5*COS(C48)</f>
        <v/>
      </c>
      <c r="J48" s="14">
        <f>H48*COS(G48) + I48*SIN(G48)</f>
        <v/>
      </c>
      <c r="K48" s="14">
        <f>(-H48*SIN(G48) + I48*COS(G48))/F48</f>
        <v/>
      </c>
      <c r="L48" s="15">
        <f>2*K48*J48</f>
        <v/>
      </c>
      <c r="M48" s="14">
        <f>-K48^2*F48</f>
        <v/>
      </c>
    </row>
    <row r="49">
      <c r="A49" s="8" t="n">
        <v>38</v>
      </c>
      <c r="B49" s="9">
        <f>A49*$B$6</f>
        <v/>
      </c>
      <c r="C49" s="10">
        <f>$B$5*B49</f>
        <v/>
      </c>
      <c r="D49" s="10">
        <f>$B$3*COS(C49)</f>
        <v/>
      </c>
      <c r="E49" s="10">
        <f>$B$3*SIN(C49)</f>
        <v/>
      </c>
      <c r="F49" s="10">
        <f>SQRT(D49^2 + (E49+$B$4)^2)</f>
        <v/>
      </c>
      <c r="G49" s="10">
        <f>ATAN2(D49, E49+$B$4)</f>
        <v/>
      </c>
      <c r="H49" s="10">
        <f>-$B$3*$B$5*SIN(C49)</f>
        <v/>
      </c>
      <c r="I49" s="10">
        <f>$B$3*$B$5*COS(C49)</f>
        <v/>
      </c>
      <c r="J49" s="10">
        <f>H49*COS(G49) + I49*SIN(G49)</f>
        <v/>
      </c>
      <c r="K49" s="10">
        <f>(-H49*SIN(G49) + I49*COS(G49))/F49</f>
        <v/>
      </c>
      <c r="L49" s="11">
        <f>2*K49*J49</f>
        <v/>
      </c>
      <c r="M49" s="10">
        <f>-K49^2*F49</f>
        <v/>
      </c>
    </row>
    <row r="50">
      <c r="A50" s="12" t="n">
        <v>39</v>
      </c>
      <c r="B50" s="13">
        <f>A50*$B$6</f>
        <v/>
      </c>
      <c r="C50" s="14">
        <f>$B$5*B50</f>
        <v/>
      </c>
      <c r="D50" s="14">
        <f>$B$3*COS(C50)</f>
        <v/>
      </c>
      <c r="E50" s="14">
        <f>$B$3*SIN(C50)</f>
        <v/>
      </c>
      <c r="F50" s="14">
        <f>SQRT(D50^2 + (E50+$B$4)^2)</f>
        <v/>
      </c>
      <c r="G50" s="14">
        <f>ATAN2(D50, E50+$B$4)</f>
        <v/>
      </c>
      <c r="H50" s="14">
        <f>-$B$3*$B$5*SIN(C50)</f>
        <v/>
      </c>
      <c r="I50" s="14">
        <f>$B$3*$B$5*COS(C50)</f>
        <v/>
      </c>
      <c r="J50" s="14">
        <f>H50*COS(G50) + I50*SIN(G50)</f>
        <v/>
      </c>
      <c r="K50" s="14">
        <f>(-H50*SIN(G50) + I50*COS(G50))/F50</f>
        <v/>
      </c>
      <c r="L50" s="15">
        <f>2*K50*J50</f>
        <v/>
      </c>
      <c r="M50" s="14">
        <f>-K50^2*F50</f>
        <v/>
      </c>
    </row>
    <row r="51">
      <c r="A51" s="8" t="n">
        <v>40</v>
      </c>
      <c r="B51" s="9">
        <f>A51*$B$6</f>
        <v/>
      </c>
      <c r="C51" s="10">
        <f>$B$5*B51</f>
        <v/>
      </c>
      <c r="D51" s="10">
        <f>$B$3*COS(C51)</f>
        <v/>
      </c>
      <c r="E51" s="10">
        <f>$B$3*SIN(C51)</f>
        <v/>
      </c>
      <c r="F51" s="10">
        <f>SQRT(D51^2 + (E51+$B$4)^2)</f>
        <v/>
      </c>
      <c r="G51" s="10">
        <f>ATAN2(D51, E51+$B$4)</f>
        <v/>
      </c>
      <c r="H51" s="10">
        <f>-$B$3*$B$5*SIN(C51)</f>
        <v/>
      </c>
      <c r="I51" s="10">
        <f>$B$3*$B$5*COS(C51)</f>
        <v/>
      </c>
      <c r="J51" s="10">
        <f>H51*COS(G51) + I51*SIN(G51)</f>
        <v/>
      </c>
      <c r="K51" s="10">
        <f>(-H51*SIN(G51) + I51*COS(G51))/F51</f>
        <v/>
      </c>
      <c r="L51" s="11">
        <f>2*K51*J51</f>
        <v/>
      </c>
      <c r="M51" s="10">
        <f>-K51^2*F51</f>
        <v/>
      </c>
    </row>
    <row r="52">
      <c r="A52" s="12" t="n">
        <v>41</v>
      </c>
      <c r="B52" s="13">
        <f>A52*$B$6</f>
        <v/>
      </c>
      <c r="C52" s="14">
        <f>$B$5*B52</f>
        <v/>
      </c>
      <c r="D52" s="14">
        <f>$B$3*COS(C52)</f>
        <v/>
      </c>
      <c r="E52" s="14">
        <f>$B$3*SIN(C52)</f>
        <v/>
      </c>
      <c r="F52" s="14">
        <f>SQRT(D52^2 + (E52+$B$4)^2)</f>
        <v/>
      </c>
      <c r="G52" s="14">
        <f>ATAN2(D52, E52+$B$4)</f>
        <v/>
      </c>
      <c r="H52" s="14">
        <f>-$B$3*$B$5*SIN(C52)</f>
        <v/>
      </c>
      <c r="I52" s="14">
        <f>$B$3*$B$5*COS(C52)</f>
        <v/>
      </c>
      <c r="J52" s="14">
        <f>H52*COS(G52) + I52*SIN(G52)</f>
        <v/>
      </c>
      <c r="K52" s="14">
        <f>(-H52*SIN(G52) + I52*COS(G52))/F52</f>
        <v/>
      </c>
      <c r="L52" s="15">
        <f>2*K52*J52</f>
        <v/>
      </c>
      <c r="M52" s="14">
        <f>-K52^2*F52</f>
        <v/>
      </c>
    </row>
    <row r="53">
      <c r="A53" s="8" t="n">
        <v>42</v>
      </c>
      <c r="B53" s="9">
        <f>A53*$B$6</f>
        <v/>
      </c>
      <c r="C53" s="10">
        <f>$B$5*B53</f>
        <v/>
      </c>
      <c r="D53" s="10">
        <f>$B$3*COS(C53)</f>
        <v/>
      </c>
      <c r="E53" s="10">
        <f>$B$3*SIN(C53)</f>
        <v/>
      </c>
      <c r="F53" s="10">
        <f>SQRT(D53^2 + (E53+$B$4)^2)</f>
        <v/>
      </c>
      <c r="G53" s="10">
        <f>ATAN2(D53, E53+$B$4)</f>
        <v/>
      </c>
      <c r="H53" s="10">
        <f>-$B$3*$B$5*SIN(C53)</f>
        <v/>
      </c>
      <c r="I53" s="10">
        <f>$B$3*$B$5*COS(C53)</f>
        <v/>
      </c>
      <c r="J53" s="10">
        <f>H53*COS(G53) + I53*SIN(G53)</f>
        <v/>
      </c>
      <c r="K53" s="10">
        <f>(-H53*SIN(G53) + I53*COS(G53))/F53</f>
        <v/>
      </c>
      <c r="L53" s="11">
        <f>2*K53*J53</f>
        <v/>
      </c>
      <c r="M53" s="10">
        <f>-K53^2*F53</f>
        <v/>
      </c>
    </row>
    <row r="54">
      <c r="A54" s="12" t="n">
        <v>43</v>
      </c>
      <c r="B54" s="13">
        <f>A54*$B$6</f>
        <v/>
      </c>
      <c r="C54" s="14">
        <f>$B$5*B54</f>
        <v/>
      </c>
      <c r="D54" s="14">
        <f>$B$3*COS(C54)</f>
        <v/>
      </c>
      <c r="E54" s="14">
        <f>$B$3*SIN(C54)</f>
        <v/>
      </c>
      <c r="F54" s="14">
        <f>SQRT(D54^2 + (E54+$B$4)^2)</f>
        <v/>
      </c>
      <c r="G54" s="14">
        <f>ATAN2(D54, E54+$B$4)</f>
        <v/>
      </c>
      <c r="H54" s="14">
        <f>-$B$3*$B$5*SIN(C54)</f>
        <v/>
      </c>
      <c r="I54" s="14">
        <f>$B$3*$B$5*COS(C54)</f>
        <v/>
      </c>
      <c r="J54" s="14">
        <f>H54*COS(G54) + I54*SIN(G54)</f>
        <v/>
      </c>
      <c r="K54" s="14">
        <f>(-H54*SIN(G54) + I54*COS(G54))/F54</f>
        <v/>
      </c>
      <c r="L54" s="15">
        <f>2*K54*J54</f>
        <v/>
      </c>
      <c r="M54" s="14">
        <f>-K54^2*F54</f>
        <v/>
      </c>
    </row>
    <row r="55">
      <c r="A55" s="8" t="n">
        <v>44</v>
      </c>
      <c r="B55" s="9">
        <f>A55*$B$6</f>
        <v/>
      </c>
      <c r="C55" s="10">
        <f>$B$5*B55</f>
        <v/>
      </c>
      <c r="D55" s="10">
        <f>$B$3*COS(C55)</f>
        <v/>
      </c>
      <c r="E55" s="10">
        <f>$B$3*SIN(C55)</f>
        <v/>
      </c>
      <c r="F55" s="10">
        <f>SQRT(D55^2 + (E55+$B$4)^2)</f>
        <v/>
      </c>
      <c r="G55" s="10">
        <f>ATAN2(D55, E55+$B$4)</f>
        <v/>
      </c>
      <c r="H55" s="10">
        <f>-$B$3*$B$5*SIN(C55)</f>
        <v/>
      </c>
      <c r="I55" s="10">
        <f>$B$3*$B$5*COS(C55)</f>
        <v/>
      </c>
      <c r="J55" s="10">
        <f>H55*COS(G55) + I55*SIN(G55)</f>
        <v/>
      </c>
      <c r="K55" s="10">
        <f>(-H55*SIN(G55) + I55*COS(G55))/F55</f>
        <v/>
      </c>
      <c r="L55" s="11">
        <f>2*K55*J55</f>
        <v/>
      </c>
      <c r="M55" s="10">
        <f>-K55^2*F55</f>
        <v/>
      </c>
    </row>
    <row r="56">
      <c r="A56" s="12" t="n">
        <v>45</v>
      </c>
      <c r="B56" s="13">
        <f>A56*$B$6</f>
        <v/>
      </c>
      <c r="C56" s="14">
        <f>$B$5*B56</f>
        <v/>
      </c>
      <c r="D56" s="14">
        <f>$B$3*COS(C56)</f>
        <v/>
      </c>
      <c r="E56" s="14">
        <f>$B$3*SIN(C56)</f>
        <v/>
      </c>
      <c r="F56" s="14">
        <f>SQRT(D56^2 + (E56+$B$4)^2)</f>
        <v/>
      </c>
      <c r="G56" s="14">
        <f>ATAN2(D56, E56+$B$4)</f>
        <v/>
      </c>
      <c r="H56" s="14">
        <f>-$B$3*$B$5*SIN(C56)</f>
        <v/>
      </c>
      <c r="I56" s="14">
        <f>$B$3*$B$5*COS(C56)</f>
        <v/>
      </c>
      <c r="J56" s="14">
        <f>H56*COS(G56) + I56*SIN(G56)</f>
        <v/>
      </c>
      <c r="K56" s="14">
        <f>(-H56*SIN(G56) + I56*COS(G56))/F56</f>
        <v/>
      </c>
      <c r="L56" s="15">
        <f>2*K56*J56</f>
        <v/>
      </c>
      <c r="M56" s="14">
        <f>-K56^2*F56</f>
        <v/>
      </c>
    </row>
    <row r="57">
      <c r="A57" s="8" t="n">
        <v>46</v>
      </c>
      <c r="B57" s="9">
        <f>A57*$B$6</f>
        <v/>
      </c>
      <c r="C57" s="10">
        <f>$B$5*B57</f>
        <v/>
      </c>
      <c r="D57" s="10">
        <f>$B$3*COS(C57)</f>
        <v/>
      </c>
      <c r="E57" s="10">
        <f>$B$3*SIN(C57)</f>
        <v/>
      </c>
      <c r="F57" s="10">
        <f>SQRT(D57^2 + (E57+$B$4)^2)</f>
        <v/>
      </c>
      <c r="G57" s="10">
        <f>ATAN2(D57, E57+$B$4)</f>
        <v/>
      </c>
      <c r="H57" s="10">
        <f>-$B$3*$B$5*SIN(C57)</f>
        <v/>
      </c>
      <c r="I57" s="10">
        <f>$B$3*$B$5*COS(C57)</f>
        <v/>
      </c>
      <c r="J57" s="10">
        <f>H57*COS(G57) + I57*SIN(G57)</f>
        <v/>
      </c>
      <c r="K57" s="10">
        <f>(-H57*SIN(G57) + I57*COS(G57))/F57</f>
        <v/>
      </c>
      <c r="L57" s="11">
        <f>2*K57*J57</f>
        <v/>
      </c>
      <c r="M57" s="10">
        <f>-K57^2*F57</f>
        <v/>
      </c>
    </row>
    <row r="58">
      <c r="A58" s="12" t="n">
        <v>47</v>
      </c>
      <c r="B58" s="13">
        <f>A58*$B$6</f>
        <v/>
      </c>
      <c r="C58" s="14">
        <f>$B$5*B58</f>
        <v/>
      </c>
      <c r="D58" s="14">
        <f>$B$3*COS(C58)</f>
        <v/>
      </c>
      <c r="E58" s="14">
        <f>$B$3*SIN(C58)</f>
        <v/>
      </c>
      <c r="F58" s="14">
        <f>SQRT(D58^2 + (E58+$B$4)^2)</f>
        <v/>
      </c>
      <c r="G58" s="14">
        <f>ATAN2(D58, E58+$B$4)</f>
        <v/>
      </c>
      <c r="H58" s="14">
        <f>-$B$3*$B$5*SIN(C58)</f>
        <v/>
      </c>
      <c r="I58" s="14">
        <f>$B$3*$B$5*COS(C58)</f>
        <v/>
      </c>
      <c r="J58" s="14">
        <f>H58*COS(G58) + I58*SIN(G58)</f>
        <v/>
      </c>
      <c r="K58" s="14">
        <f>(-H58*SIN(G58) + I58*COS(G58))/F58</f>
        <v/>
      </c>
      <c r="L58" s="15">
        <f>2*K58*J58</f>
        <v/>
      </c>
      <c r="M58" s="14">
        <f>-K58^2*F58</f>
        <v/>
      </c>
    </row>
    <row r="59">
      <c r="A59" s="8" t="n">
        <v>48</v>
      </c>
      <c r="B59" s="9">
        <f>A59*$B$6</f>
        <v/>
      </c>
      <c r="C59" s="10">
        <f>$B$5*B59</f>
        <v/>
      </c>
      <c r="D59" s="10">
        <f>$B$3*COS(C59)</f>
        <v/>
      </c>
      <c r="E59" s="10">
        <f>$B$3*SIN(C59)</f>
        <v/>
      </c>
      <c r="F59" s="10">
        <f>SQRT(D59^2 + (E59+$B$4)^2)</f>
        <v/>
      </c>
      <c r="G59" s="10">
        <f>ATAN2(D59, E59+$B$4)</f>
        <v/>
      </c>
      <c r="H59" s="10">
        <f>-$B$3*$B$5*SIN(C59)</f>
        <v/>
      </c>
      <c r="I59" s="10">
        <f>$B$3*$B$5*COS(C59)</f>
        <v/>
      </c>
      <c r="J59" s="10">
        <f>H59*COS(G59) + I59*SIN(G59)</f>
        <v/>
      </c>
      <c r="K59" s="10">
        <f>(-H59*SIN(G59) + I59*COS(G59))/F59</f>
        <v/>
      </c>
      <c r="L59" s="11">
        <f>2*K59*J59</f>
        <v/>
      </c>
      <c r="M59" s="10">
        <f>-K59^2*F59</f>
        <v/>
      </c>
    </row>
    <row r="60">
      <c r="A60" s="12" t="n">
        <v>49</v>
      </c>
      <c r="B60" s="13">
        <f>A60*$B$6</f>
        <v/>
      </c>
      <c r="C60" s="14">
        <f>$B$5*B60</f>
        <v/>
      </c>
      <c r="D60" s="14">
        <f>$B$3*COS(C60)</f>
        <v/>
      </c>
      <c r="E60" s="14">
        <f>$B$3*SIN(C60)</f>
        <v/>
      </c>
      <c r="F60" s="14">
        <f>SQRT(D60^2 + (E60+$B$4)^2)</f>
        <v/>
      </c>
      <c r="G60" s="14">
        <f>ATAN2(D60, E60+$B$4)</f>
        <v/>
      </c>
      <c r="H60" s="14">
        <f>-$B$3*$B$5*SIN(C60)</f>
        <v/>
      </c>
      <c r="I60" s="14">
        <f>$B$3*$B$5*COS(C60)</f>
        <v/>
      </c>
      <c r="J60" s="14">
        <f>H60*COS(G60) + I60*SIN(G60)</f>
        <v/>
      </c>
      <c r="K60" s="14">
        <f>(-H60*SIN(G60) + I60*COS(G60))/F60</f>
        <v/>
      </c>
      <c r="L60" s="15">
        <f>2*K60*J60</f>
        <v/>
      </c>
      <c r="M60" s="14">
        <f>-K60^2*F60</f>
        <v/>
      </c>
    </row>
    <row r="61">
      <c r="A61" s="8" t="n">
        <v>50</v>
      </c>
      <c r="B61" s="9">
        <f>A61*$B$6</f>
        <v/>
      </c>
      <c r="C61" s="10">
        <f>$B$5*B61</f>
        <v/>
      </c>
      <c r="D61" s="10">
        <f>$B$3*COS(C61)</f>
        <v/>
      </c>
      <c r="E61" s="10">
        <f>$B$3*SIN(C61)</f>
        <v/>
      </c>
      <c r="F61" s="10">
        <f>SQRT(D61^2 + (E61+$B$4)^2)</f>
        <v/>
      </c>
      <c r="G61" s="10">
        <f>ATAN2(D61, E61+$B$4)</f>
        <v/>
      </c>
      <c r="H61" s="10">
        <f>-$B$3*$B$5*SIN(C61)</f>
        <v/>
      </c>
      <c r="I61" s="10">
        <f>$B$3*$B$5*COS(C61)</f>
        <v/>
      </c>
      <c r="J61" s="10">
        <f>H61*COS(G61) + I61*SIN(G61)</f>
        <v/>
      </c>
      <c r="K61" s="10">
        <f>(-H61*SIN(G61) + I61*COS(G61))/F61</f>
        <v/>
      </c>
      <c r="L61" s="11">
        <f>2*K61*J61</f>
        <v/>
      </c>
      <c r="M61" s="10">
        <f>-K61^2*F61</f>
        <v/>
      </c>
    </row>
    <row r="62">
      <c r="A62" s="12" t="n">
        <v>51</v>
      </c>
      <c r="B62" s="13">
        <f>A62*$B$6</f>
        <v/>
      </c>
      <c r="C62" s="14">
        <f>$B$5*B62</f>
        <v/>
      </c>
      <c r="D62" s="14">
        <f>$B$3*COS(C62)</f>
        <v/>
      </c>
      <c r="E62" s="14">
        <f>$B$3*SIN(C62)</f>
        <v/>
      </c>
      <c r="F62" s="14">
        <f>SQRT(D62^2 + (E62+$B$4)^2)</f>
        <v/>
      </c>
      <c r="G62" s="14">
        <f>ATAN2(D62, E62+$B$4)</f>
        <v/>
      </c>
      <c r="H62" s="14">
        <f>-$B$3*$B$5*SIN(C62)</f>
        <v/>
      </c>
      <c r="I62" s="14">
        <f>$B$3*$B$5*COS(C62)</f>
        <v/>
      </c>
      <c r="J62" s="14">
        <f>H62*COS(G62) + I62*SIN(G62)</f>
        <v/>
      </c>
      <c r="K62" s="14">
        <f>(-H62*SIN(G62) + I62*COS(G62))/F62</f>
        <v/>
      </c>
      <c r="L62" s="15">
        <f>2*K62*J62</f>
        <v/>
      </c>
      <c r="M62" s="14">
        <f>-K62^2*F62</f>
        <v/>
      </c>
    </row>
    <row r="63">
      <c r="A63" s="8" t="n">
        <v>52</v>
      </c>
      <c r="B63" s="9">
        <f>A63*$B$6</f>
        <v/>
      </c>
      <c r="C63" s="10">
        <f>$B$5*B63</f>
        <v/>
      </c>
      <c r="D63" s="10">
        <f>$B$3*COS(C63)</f>
        <v/>
      </c>
      <c r="E63" s="10">
        <f>$B$3*SIN(C63)</f>
        <v/>
      </c>
      <c r="F63" s="10">
        <f>SQRT(D63^2 + (E63+$B$4)^2)</f>
        <v/>
      </c>
      <c r="G63" s="10">
        <f>ATAN2(D63, E63+$B$4)</f>
        <v/>
      </c>
      <c r="H63" s="10">
        <f>-$B$3*$B$5*SIN(C63)</f>
        <v/>
      </c>
      <c r="I63" s="10">
        <f>$B$3*$B$5*COS(C63)</f>
        <v/>
      </c>
      <c r="J63" s="10">
        <f>H63*COS(G63) + I63*SIN(G63)</f>
        <v/>
      </c>
      <c r="K63" s="10">
        <f>(-H63*SIN(G63) + I63*COS(G63))/F63</f>
        <v/>
      </c>
      <c r="L63" s="11">
        <f>2*K63*J63</f>
        <v/>
      </c>
      <c r="M63" s="10">
        <f>-K63^2*F63</f>
        <v/>
      </c>
    </row>
    <row r="64">
      <c r="A64" s="12" t="n">
        <v>53</v>
      </c>
      <c r="B64" s="13">
        <f>A64*$B$6</f>
        <v/>
      </c>
      <c r="C64" s="14">
        <f>$B$5*B64</f>
        <v/>
      </c>
      <c r="D64" s="14">
        <f>$B$3*COS(C64)</f>
        <v/>
      </c>
      <c r="E64" s="14">
        <f>$B$3*SIN(C64)</f>
        <v/>
      </c>
      <c r="F64" s="14">
        <f>SQRT(D64^2 + (E64+$B$4)^2)</f>
        <v/>
      </c>
      <c r="G64" s="14">
        <f>ATAN2(D64, E64+$B$4)</f>
        <v/>
      </c>
      <c r="H64" s="14">
        <f>-$B$3*$B$5*SIN(C64)</f>
        <v/>
      </c>
      <c r="I64" s="14">
        <f>$B$3*$B$5*COS(C64)</f>
        <v/>
      </c>
      <c r="J64" s="14">
        <f>H64*COS(G64) + I64*SIN(G64)</f>
        <v/>
      </c>
      <c r="K64" s="14">
        <f>(-H64*SIN(G64) + I64*COS(G64))/F64</f>
        <v/>
      </c>
      <c r="L64" s="15">
        <f>2*K64*J64</f>
        <v/>
      </c>
      <c r="M64" s="14">
        <f>-K64^2*F64</f>
        <v/>
      </c>
    </row>
    <row r="65">
      <c r="A65" s="8" t="n">
        <v>54</v>
      </c>
      <c r="B65" s="9">
        <f>A65*$B$6</f>
        <v/>
      </c>
      <c r="C65" s="10">
        <f>$B$5*B65</f>
        <v/>
      </c>
      <c r="D65" s="10">
        <f>$B$3*COS(C65)</f>
        <v/>
      </c>
      <c r="E65" s="10">
        <f>$B$3*SIN(C65)</f>
        <v/>
      </c>
      <c r="F65" s="10">
        <f>SQRT(D65^2 + (E65+$B$4)^2)</f>
        <v/>
      </c>
      <c r="G65" s="10">
        <f>ATAN2(D65, E65+$B$4)</f>
        <v/>
      </c>
      <c r="H65" s="10">
        <f>-$B$3*$B$5*SIN(C65)</f>
        <v/>
      </c>
      <c r="I65" s="10">
        <f>$B$3*$B$5*COS(C65)</f>
        <v/>
      </c>
      <c r="J65" s="10">
        <f>H65*COS(G65) + I65*SIN(G65)</f>
        <v/>
      </c>
      <c r="K65" s="10">
        <f>(-H65*SIN(G65) + I65*COS(G65))/F65</f>
        <v/>
      </c>
      <c r="L65" s="11">
        <f>2*K65*J65</f>
        <v/>
      </c>
      <c r="M65" s="10">
        <f>-K65^2*F65</f>
        <v/>
      </c>
    </row>
    <row r="66">
      <c r="A66" s="12" t="n">
        <v>55</v>
      </c>
      <c r="B66" s="13">
        <f>A66*$B$6</f>
        <v/>
      </c>
      <c r="C66" s="14">
        <f>$B$5*B66</f>
        <v/>
      </c>
      <c r="D66" s="14">
        <f>$B$3*COS(C66)</f>
        <v/>
      </c>
      <c r="E66" s="14">
        <f>$B$3*SIN(C66)</f>
        <v/>
      </c>
      <c r="F66" s="14">
        <f>SQRT(D66^2 + (E66+$B$4)^2)</f>
        <v/>
      </c>
      <c r="G66" s="14">
        <f>ATAN2(D66, E66+$B$4)</f>
        <v/>
      </c>
      <c r="H66" s="14">
        <f>-$B$3*$B$5*SIN(C66)</f>
        <v/>
      </c>
      <c r="I66" s="14">
        <f>$B$3*$B$5*COS(C66)</f>
        <v/>
      </c>
      <c r="J66" s="14">
        <f>H66*COS(G66) + I66*SIN(G66)</f>
        <v/>
      </c>
      <c r="K66" s="14">
        <f>(-H66*SIN(G66) + I66*COS(G66))/F66</f>
        <v/>
      </c>
      <c r="L66" s="15">
        <f>2*K66*J66</f>
        <v/>
      </c>
      <c r="M66" s="14">
        <f>-K66^2*F66</f>
        <v/>
      </c>
    </row>
    <row r="67">
      <c r="A67" s="8" t="n">
        <v>56</v>
      </c>
      <c r="B67" s="9">
        <f>A67*$B$6</f>
        <v/>
      </c>
      <c r="C67" s="10">
        <f>$B$5*B67</f>
        <v/>
      </c>
      <c r="D67" s="10">
        <f>$B$3*COS(C67)</f>
        <v/>
      </c>
      <c r="E67" s="10">
        <f>$B$3*SIN(C67)</f>
        <v/>
      </c>
      <c r="F67" s="10">
        <f>SQRT(D67^2 + (E67+$B$4)^2)</f>
        <v/>
      </c>
      <c r="G67" s="10">
        <f>ATAN2(D67, E67+$B$4)</f>
        <v/>
      </c>
      <c r="H67" s="10">
        <f>-$B$3*$B$5*SIN(C67)</f>
        <v/>
      </c>
      <c r="I67" s="10">
        <f>$B$3*$B$5*COS(C67)</f>
        <v/>
      </c>
      <c r="J67" s="10">
        <f>H67*COS(G67) + I67*SIN(G67)</f>
        <v/>
      </c>
      <c r="K67" s="10">
        <f>(-H67*SIN(G67) + I67*COS(G67))/F67</f>
        <v/>
      </c>
      <c r="L67" s="11">
        <f>2*K67*J67</f>
        <v/>
      </c>
      <c r="M67" s="10">
        <f>-K67^2*F67</f>
        <v/>
      </c>
    </row>
    <row r="68">
      <c r="A68" s="12" t="n">
        <v>57</v>
      </c>
      <c r="B68" s="13">
        <f>A68*$B$6</f>
        <v/>
      </c>
      <c r="C68" s="14">
        <f>$B$5*B68</f>
        <v/>
      </c>
      <c r="D68" s="14">
        <f>$B$3*COS(C68)</f>
        <v/>
      </c>
      <c r="E68" s="14">
        <f>$B$3*SIN(C68)</f>
        <v/>
      </c>
      <c r="F68" s="14">
        <f>SQRT(D68^2 + (E68+$B$4)^2)</f>
        <v/>
      </c>
      <c r="G68" s="14">
        <f>ATAN2(D68, E68+$B$4)</f>
        <v/>
      </c>
      <c r="H68" s="14">
        <f>-$B$3*$B$5*SIN(C68)</f>
        <v/>
      </c>
      <c r="I68" s="14">
        <f>$B$3*$B$5*COS(C68)</f>
        <v/>
      </c>
      <c r="J68" s="14">
        <f>H68*COS(G68) + I68*SIN(G68)</f>
        <v/>
      </c>
      <c r="K68" s="14">
        <f>(-H68*SIN(G68) + I68*COS(G68))/F68</f>
        <v/>
      </c>
      <c r="L68" s="15">
        <f>2*K68*J68</f>
        <v/>
      </c>
      <c r="M68" s="14">
        <f>-K68^2*F68</f>
        <v/>
      </c>
    </row>
    <row r="69">
      <c r="A69" s="8" t="n">
        <v>58</v>
      </c>
      <c r="B69" s="9">
        <f>A69*$B$6</f>
        <v/>
      </c>
      <c r="C69" s="10">
        <f>$B$5*B69</f>
        <v/>
      </c>
      <c r="D69" s="10">
        <f>$B$3*COS(C69)</f>
        <v/>
      </c>
      <c r="E69" s="10">
        <f>$B$3*SIN(C69)</f>
        <v/>
      </c>
      <c r="F69" s="10">
        <f>SQRT(D69^2 + (E69+$B$4)^2)</f>
        <v/>
      </c>
      <c r="G69" s="10">
        <f>ATAN2(D69, E69+$B$4)</f>
        <v/>
      </c>
      <c r="H69" s="10">
        <f>-$B$3*$B$5*SIN(C69)</f>
        <v/>
      </c>
      <c r="I69" s="10">
        <f>$B$3*$B$5*COS(C69)</f>
        <v/>
      </c>
      <c r="J69" s="10">
        <f>H69*COS(G69) + I69*SIN(G69)</f>
        <v/>
      </c>
      <c r="K69" s="10">
        <f>(-H69*SIN(G69) + I69*COS(G69))/F69</f>
        <v/>
      </c>
      <c r="L69" s="11">
        <f>2*K69*J69</f>
        <v/>
      </c>
      <c r="M69" s="10">
        <f>-K69^2*F69</f>
        <v/>
      </c>
    </row>
    <row r="70">
      <c r="A70" s="12" t="n">
        <v>59</v>
      </c>
      <c r="B70" s="13">
        <f>A70*$B$6</f>
        <v/>
      </c>
      <c r="C70" s="14">
        <f>$B$5*B70</f>
        <v/>
      </c>
      <c r="D70" s="14">
        <f>$B$3*COS(C70)</f>
        <v/>
      </c>
      <c r="E70" s="14">
        <f>$B$3*SIN(C70)</f>
        <v/>
      </c>
      <c r="F70" s="14">
        <f>SQRT(D70^2 + (E70+$B$4)^2)</f>
        <v/>
      </c>
      <c r="G70" s="14">
        <f>ATAN2(D70, E70+$B$4)</f>
        <v/>
      </c>
      <c r="H70" s="14">
        <f>-$B$3*$B$5*SIN(C70)</f>
        <v/>
      </c>
      <c r="I70" s="14">
        <f>$B$3*$B$5*COS(C70)</f>
        <v/>
      </c>
      <c r="J70" s="14">
        <f>H70*COS(G70) + I70*SIN(G70)</f>
        <v/>
      </c>
      <c r="K70" s="14">
        <f>(-H70*SIN(G70) + I70*COS(G70))/F70</f>
        <v/>
      </c>
      <c r="L70" s="15">
        <f>2*K70*J70</f>
        <v/>
      </c>
      <c r="M70" s="14">
        <f>-K70^2*F70</f>
        <v/>
      </c>
    </row>
    <row r="71">
      <c r="A71" s="8" t="n">
        <v>60</v>
      </c>
      <c r="B71" s="9">
        <f>A71*$B$6</f>
        <v/>
      </c>
      <c r="C71" s="10">
        <f>$B$5*B71</f>
        <v/>
      </c>
      <c r="D71" s="10">
        <f>$B$3*COS(C71)</f>
        <v/>
      </c>
      <c r="E71" s="10">
        <f>$B$3*SIN(C71)</f>
        <v/>
      </c>
      <c r="F71" s="10">
        <f>SQRT(D71^2 + (E71+$B$4)^2)</f>
        <v/>
      </c>
      <c r="G71" s="10">
        <f>ATAN2(D71, E71+$B$4)</f>
        <v/>
      </c>
      <c r="H71" s="10">
        <f>-$B$3*$B$5*SIN(C71)</f>
        <v/>
      </c>
      <c r="I71" s="10">
        <f>$B$3*$B$5*COS(C71)</f>
        <v/>
      </c>
      <c r="J71" s="10">
        <f>H71*COS(G71) + I71*SIN(G71)</f>
        <v/>
      </c>
      <c r="K71" s="10">
        <f>(-H71*SIN(G71) + I71*COS(G71))/F71</f>
        <v/>
      </c>
      <c r="L71" s="11">
        <f>2*K71*J71</f>
        <v/>
      </c>
      <c r="M71" s="10">
        <f>-K71^2*F71</f>
        <v/>
      </c>
    </row>
    <row r="72">
      <c r="A72" s="12" t="n">
        <v>61</v>
      </c>
      <c r="B72" s="13">
        <f>A72*$B$6</f>
        <v/>
      </c>
      <c r="C72" s="14">
        <f>$B$5*B72</f>
        <v/>
      </c>
      <c r="D72" s="14">
        <f>$B$3*COS(C72)</f>
        <v/>
      </c>
      <c r="E72" s="14">
        <f>$B$3*SIN(C72)</f>
        <v/>
      </c>
      <c r="F72" s="14">
        <f>SQRT(D72^2 + (E72+$B$4)^2)</f>
        <v/>
      </c>
      <c r="G72" s="14">
        <f>ATAN2(D72, E72+$B$4)</f>
        <v/>
      </c>
      <c r="H72" s="14">
        <f>-$B$3*$B$5*SIN(C72)</f>
        <v/>
      </c>
      <c r="I72" s="14">
        <f>$B$3*$B$5*COS(C72)</f>
        <v/>
      </c>
      <c r="J72" s="14">
        <f>H72*COS(G72) + I72*SIN(G72)</f>
        <v/>
      </c>
      <c r="K72" s="14">
        <f>(-H72*SIN(G72) + I72*COS(G72))/F72</f>
        <v/>
      </c>
      <c r="L72" s="15">
        <f>2*K72*J72</f>
        <v/>
      </c>
      <c r="M72" s="14">
        <f>-K72^2*F72</f>
        <v/>
      </c>
    </row>
    <row r="73">
      <c r="A73" s="8" t="n">
        <v>62</v>
      </c>
      <c r="B73" s="9">
        <f>A73*$B$6</f>
        <v/>
      </c>
      <c r="C73" s="10">
        <f>$B$5*B73</f>
        <v/>
      </c>
      <c r="D73" s="10">
        <f>$B$3*COS(C73)</f>
        <v/>
      </c>
      <c r="E73" s="10">
        <f>$B$3*SIN(C73)</f>
        <v/>
      </c>
      <c r="F73" s="10">
        <f>SQRT(D73^2 + (E73+$B$4)^2)</f>
        <v/>
      </c>
      <c r="G73" s="10">
        <f>ATAN2(D73, E73+$B$4)</f>
        <v/>
      </c>
      <c r="H73" s="10">
        <f>-$B$3*$B$5*SIN(C73)</f>
        <v/>
      </c>
      <c r="I73" s="10">
        <f>$B$3*$B$5*COS(C73)</f>
        <v/>
      </c>
      <c r="J73" s="10">
        <f>H73*COS(G73) + I73*SIN(G73)</f>
        <v/>
      </c>
      <c r="K73" s="10">
        <f>(-H73*SIN(G73) + I73*COS(G73))/F73</f>
        <v/>
      </c>
      <c r="L73" s="11">
        <f>2*K73*J73</f>
        <v/>
      </c>
      <c r="M73" s="10">
        <f>-K73^2*F73</f>
        <v/>
      </c>
    </row>
    <row r="74">
      <c r="A74" s="12" t="n">
        <v>63</v>
      </c>
      <c r="B74" s="13">
        <f>A74*$B$6</f>
        <v/>
      </c>
      <c r="C74" s="14">
        <f>$B$5*B74</f>
        <v/>
      </c>
      <c r="D74" s="14">
        <f>$B$3*COS(C74)</f>
        <v/>
      </c>
      <c r="E74" s="14">
        <f>$B$3*SIN(C74)</f>
        <v/>
      </c>
      <c r="F74" s="14">
        <f>SQRT(D74^2 + (E74+$B$4)^2)</f>
        <v/>
      </c>
      <c r="G74" s="14">
        <f>ATAN2(D74, E74+$B$4)</f>
        <v/>
      </c>
      <c r="H74" s="14">
        <f>-$B$3*$B$5*SIN(C74)</f>
        <v/>
      </c>
      <c r="I74" s="14">
        <f>$B$3*$B$5*COS(C74)</f>
        <v/>
      </c>
      <c r="J74" s="14">
        <f>H74*COS(G74) + I74*SIN(G74)</f>
        <v/>
      </c>
      <c r="K74" s="14">
        <f>(-H74*SIN(G74) + I74*COS(G74))/F74</f>
        <v/>
      </c>
      <c r="L74" s="15">
        <f>2*K74*J74</f>
        <v/>
      </c>
      <c r="M74" s="14">
        <f>-K74^2*F74</f>
        <v/>
      </c>
    </row>
    <row r="75">
      <c r="A75" s="8" t="n">
        <v>64</v>
      </c>
      <c r="B75" s="9">
        <f>A75*$B$6</f>
        <v/>
      </c>
      <c r="C75" s="10">
        <f>$B$5*B75</f>
        <v/>
      </c>
      <c r="D75" s="10">
        <f>$B$3*COS(C75)</f>
        <v/>
      </c>
      <c r="E75" s="10">
        <f>$B$3*SIN(C75)</f>
        <v/>
      </c>
      <c r="F75" s="10">
        <f>SQRT(D75^2 + (E75+$B$4)^2)</f>
        <v/>
      </c>
      <c r="G75" s="10">
        <f>ATAN2(D75, E75+$B$4)</f>
        <v/>
      </c>
      <c r="H75" s="10">
        <f>-$B$3*$B$5*SIN(C75)</f>
        <v/>
      </c>
      <c r="I75" s="10">
        <f>$B$3*$B$5*COS(C75)</f>
        <v/>
      </c>
      <c r="J75" s="10">
        <f>H75*COS(G75) + I75*SIN(G75)</f>
        <v/>
      </c>
      <c r="K75" s="10">
        <f>(-H75*SIN(G75) + I75*COS(G75))/F75</f>
        <v/>
      </c>
      <c r="L75" s="11">
        <f>2*K75*J75</f>
        <v/>
      </c>
      <c r="M75" s="10">
        <f>-K75^2*F75</f>
        <v/>
      </c>
    </row>
    <row r="76">
      <c r="A76" s="12" t="n">
        <v>65</v>
      </c>
      <c r="B76" s="13">
        <f>A76*$B$6</f>
        <v/>
      </c>
      <c r="C76" s="14">
        <f>$B$5*B76</f>
        <v/>
      </c>
      <c r="D76" s="14">
        <f>$B$3*COS(C76)</f>
        <v/>
      </c>
      <c r="E76" s="14">
        <f>$B$3*SIN(C76)</f>
        <v/>
      </c>
      <c r="F76" s="14">
        <f>SQRT(D76^2 + (E76+$B$4)^2)</f>
        <v/>
      </c>
      <c r="G76" s="14">
        <f>ATAN2(D76, E76+$B$4)</f>
        <v/>
      </c>
      <c r="H76" s="14">
        <f>-$B$3*$B$5*SIN(C76)</f>
        <v/>
      </c>
      <c r="I76" s="14">
        <f>$B$3*$B$5*COS(C76)</f>
        <v/>
      </c>
      <c r="J76" s="14">
        <f>H76*COS(G76) + I76*SIN(G76)</f>
        <v/>
      </c>
      <c r="K76" s="14">
        <f>(-H76*SIN(G76) + I76*COS(G76))/F76</f>
        <v/>
      </c>
      <c r="L76" s="15">
        <f>2*K76*J76</f>
        <v/>
      </c>
      <c r="M76" s="14">
        <f>-K76^2*F76</f>
        <v/>
      </c>
    </row>
    <row r="77">
      <c r="A77" s="8" t="n">
        <v>66</v>
      </c>
      <c r="B77" s="9">
        <f>A77*$B$6</f>
        <v/>
      </c>
      <c r="C77" s="10">
        <f>$B$5*B77</f>
        <v/>
      </c>
      <c r="D77" s="10">
        <f>$B$3*COS(C77)</f>
        <v/>
      </c>
      <c r="E77" s="10">
        <f>$B$3*SIN(C77)</f>
        <v/>
      </c>
      <c r="F77" s="10">
        <f>SQRT(D77^2 + (E77+$B$4)^2)</f>
        <v/>
      </c>
      <c r="G77" s="10">
        <f>ATAN2(D77, E77+$B$4)</f>
        <v/>
      </c>
      <c r="H77" s="10">
        <f>-$B$3*$B$5*SIN(C77)</f>
        <v/>
      </c>
      <c r="I77" s="10">
        <f>$B$3*$B$5*COS(C77)</f>
        <v/>
      </c>
      <c r="J77" s="10">
        <f>H77*COS(G77) + I77*SIN(G77)</f>
        <v/>
      </c>
      <c r="K77" s="10">
        <f>(-H77*SIN(G77) + I77*COS(G77))/F77</f>
        <v/>
      </c>
      <c r="L77" s="11">
        <f>2*K77*J77</f>
        <v/>
      </c>
      <c r="M77" s="10">
        <f>-K77^2*F77</f>
        <v/>
      </c>
    </row>
    <row r="78">
      <c r="A78" s="12" t="n">
        <v>67</v>
      </c>
      <c r="B78" s="13">
        <f>A78*$B$6</f>
        <v/>
      </c>
      <c r="C78" s="14">
        <f>$B$5*B78</f>
        <v/>
      </c>
      <c r="D78" s="14">
        <f>$B$3*COS(C78)</f>
        <v/>
      </c>
      <c r="E78" s="14">
        <f>$B$3*SIN(C78)</f>
        <v/>
      </c>
      <c r="F78" s="14">
        <f>SQRT(D78^2 + (E78+$B$4)^2)</f>
        <v/>
      </c>
      <c r="G78" s="14">
        <f>ATAN2(D78, E78+$B$4)</f>
        <v/>
      </c>
      <c r="H78" s="14">
        <f>-$B$3*$B$5*SIN(C78)</f>
        <v/>
      </c>
      <c r="I78" s="14">
        <f>$B$3*$B$5*COS(C78)</f>
        <v/>
      </c>
      <c r="J78" s="14">
        <f>H78*COS(G78) + I78*SIN(G78)</f>
        <v/>
      </c>
      <c r="K78" s="14">
        <f>(-H78*SIN(G78) + I78*COS(G78))/F78</f>
        <v/>
      </c>
      <c r="L78" s="15">
        <f>2*K78*J78</f>
        <v/>
      </c>
      <c r="M78" s="14">
        <f>-K78^2*F78</f>
        <v/>
      </c>
    </row>
    <row r="79">
      <c r="A79" s="8" t="n">
        <v>68</v>
      </c>
      <c r="B79" s="9">
        <f>A79*$B$6</f>
        <v/>
      </c>
      <c r="C79" s="10">
        <f>$B$5*B79</f>
        <v/>
      </c>
      <c r="D79" s="10">
        <f>$B$3*COS(C79)</f>
        <v/>
      </c>
      <c r="E79" s="10">
        <f>$B$3*SIN(C79)</f>
        <v/>
      </c>
      <c r="F79" s="10">
        <f>SQRT(D79^2 + (E79+$B$4)^2)</f>
        <v/>
      </c>
      <c r="G79" s="10">
        <f>ATAN2(D79, E79+$B$4)</f>
        <v/>
      </c>
      <c r="H79" s="10">
        <f>-$B$3*$B$5*SIN(C79)</f>
        <v/>
      </c>
      <c r="I79" s="10">
        <f>$B$3*$B$5*COS(C79)</f>
        <v/>
      </c>
      <c r="J79" s="10">
        <f>H79*COS(G79) + I79*SIN(G79)</f>
        <v/>
      </c>
      <c r="K79" s="10">
        <f>(-H79*SIN(G79) + I79*COS(G79))/F79</f>
        <v/>
      </c>
      <c r="L79" s="11">
        <f>2*K79*J79</f>
        <v/>
      </c>
      <c r="M79" s="10">
        <f>-K79^2*F79</f>
        <v/>
      </c>
    </row>
    <row r="80">
      <c r="A80" s="12" t="n">
        <v>69</v>
      </c>
      <c r="B80" s="13">
        <f>A80*$B$6</f>
        <v/>
      </c>
      <c r="C80" s="14">
        <f>$B$5*B80</f>
        <v/>
      </c>
      <c r="D80" s="14">
        <f>$B$3*COS(C80)</f>
        <v/>
      </c>
      <c r="E80" s="14">
        <f>$B$3*SIN(C80)</f>
        <v/>
      </c>
      <c r="F80" s="14">
        <f>SQRT(D80^2 + (E80+$B$4)^2)</f>
        <v/>
      </c>
      <c r="G80" s="14">
        <f>ATAN2(D80, E80+$B$4)</f>
        <v/>
      </c>
      <c r="H80" s="14">
        <f>-$B$3*$B$5*SIN(C80)</f>
        <v/>
      </c>
      <c r="I80" s="14">
        <f>$B$3*$B$5*COS(C80)</f>
        <v/>
      </c>
      <c r="J80" s="14">
        <f>H80*COS(G80) + I80*SIN(G80)</f>
        <v/>
      </c>
      <c r="K80" s="14">
        <f>(-H80*SIN(G80) + I80*COS(G80))/F80</f>
        <v/>
      </c>
      <c r="L80" s="15">
        <f>2*K80*J80</f>
        <v/>
      </c>
      <c r="M80" s="14">
        <f>-K80^2*F80</f>
        <v/>
      </c>
    </row>
    <row r="81">
      <c r="A81" s="8" t="n">
        <v>70</v>
      </c>
      <c r="B81" s="9">
        <f>A81*$B$6</f>
        <v/>
      </c>
      <c r="C81" s="10">
        <f>$B$5*B81</f>
        <v/>
      </c>
      <c r="D81" s="10">
        <f>$B$3*COS(C81)</f>
        <v/>
      </c>
      <c r="E81" s="10">
        <f>$B$3*SIN(C81)</f>
        <v/>
      </c>
      <c r="F81" s="10">
        <f>SQRT(D81^2 + (E81+$B$4)^2)</f>
        <v/>
      </c>
      <c r="G81" s="10">
        <f>ATAN2(D81, E81+$B$4)</f>
        <v/>
      </c>
      <c r="H81" s="10">
        <f>-$B$3*$B$5*SIN(C81)</f>
        <v/>
      </c>
      <c r="I81" s="10">
        <f>$B$3*$B$5*COS(C81)</f>
        <v/>
      </c>
      <c r="J81" s="10">
        <f>H81*COS(G81) + I81*SIN(G81)</f>
        <v/>
      </c>
      <c r="K81" s="10">
        <f>(-H81*SIN(G81) + I81*COS(G81))/F81</f>
        <v/>
      </c>
      <c r="L81" s="11">
        <f>2*K81*J81</f>
        <v/>
      </c>
      <c r="M81" s="10">
        <f>-K81^2*F81</f>
        <v/>
      </c>
    </row>
    <row r="82">
      <c r="A82" s="12" t="n">
        <v>71</v>
      </c>
      <c r="B82" s="13">
        <f>A82*$B$6</f>
        <v/>
      </c>
      <c r="C82" s="14">
        <f>$B$5*B82</f>
        <v/>
      </c>
      <c r="D82" s="14">
        <f>$B$3*COS(C82)</f>
        <v/>
      </c>
      <c r="E82" s="14">
        <f>$B$3*SIN(C82)</f>
        <v/>
      </c>
      <c r="F82" s="14">
        <f>SQRT(D82^2 + (E82+$B$4)^2)</f>
        <v/>
      </c>
      <c r="G82" s="14">
        <f>ATAN2(D82, E82+$B$4)</f>
        <v/>
      </c>
      <c r="H82" s="14">
        <f>-$B$3*$B$5*SIN(C82)</f>
        <v/>
      </c>
      <c r="I82" s="14">
        <f>$B$3*$B$5*COS(C82)</f>
        <v/>
      </c>
      <c r="J82" s="14">
        <f>H82*COS(G82) + I82*SIN(G82)</f>
        <v/>
      </c>
      <c r="K82" s="14">
        <f>(-H82*SIN(G82) + I82*COS(G82))/F82</f>
        <v/>
      </c>
      <c r="L82" s="15">
        <f>2*K82*J82</f>
        <v/>
      </c>
      <c r="M82" s="14">
        <f>-K82^2*F82</f>
        <v/>
      </c>
    </row>
    <row r="83">
      <c r="A83" s="8" t="n">
        <v>72</v>
      </c>
      <c r="B83" s="9">
        <f>A83*$B$6</f>
        <v/>
      </c>
      <c r="C83" s="10">
        <f>$B$5*B83</f>
        <v/>
      </c>
      <c r="D83" s="10">
        <f>$B$3*COS(C83)</f>
        <v/>
      </c>
      <c r="E83" s="10">
        <f>$B$3*SIN(C83)</f>
        <v/>
      </c>
      <c r="F83" s="10">
        <f>SQRT(D83^2 + (E83+$B$4)^2)</f>
        <v/>
      </c>
      <c r="G83" s="10">
        <f>ATAN2(D83, E83+$B$4)</f>
        <v/>
      </c>
      <c r="H83" s="10">
        <f>-$B$3*$B$5*SIN(C83)</f>
        <v/>
      </c>
      <c r="I83" s="10">
        <f>$B$3*$B$5*COS(C83)</f>
        <v/>
      </c>
      <c r="J83" s="10">
        <f>H83*COS(G83) + I83*SIN(G83)</f>
        <v/>
      </c>
      <c r="K83" s="10">
        <f>(-H83*SIN(G83) + I83*COS(G83))/F83</f>
        <v/>
      </c>
      <c r="L83" s="11">
        <f>2*K83*J83</f>
        <v/>
      </c>
      <c r="M83" s="10">
        <f>-K83^2*F83</f>
        <v/>
      </c>
    </row>
    <row r="84">
      <c r="A84" s="12" t="n">
        <v>73</v>
      </c>
      <c r="B84" s="13">
        <f>A84*$B$6</f>
        <v/>
      </c>
      <c r="C84" s="14">
        <f>$B$5*B84</f>
        <v/>
      </c>
      <c r="D84" s="14">
        <f>$B$3*COS(C84)</f>
        <v/>
      </c>
      <c r="E84" s="14">
        <f>$B$3*SIN(C84)</f>
        <v/>
      </c>
      <c r="F84" s="14">
        <f>SQRT(D84^2 + (E84+$B$4)^2)</f>
        <v/>
      </c>
      <c r="G84" s="14">
        <f>ATAN2(D84, E84+$B$4)</f>
        <v/>
      </c>
      <c r="H84" s="14">
        <f>-$B$3*$B$5*SIN(C84)</f>
        <v/>
      </c>
      <c r="I84" s="14">
        <f>$B$3*$B$5*COS(C84)</f>
        <v/>
      </c>
      <c r="J84" s="14">
        <f>H84*COS(G84) + I84*SIN(G84)</f>
        <v/>
      </c>
      <c r="K84" s="14">
        <f>(-H84*SIN(G84) + I84*COS(G84))/F84</f>
        <v/>
      </c>
      <c r="L84" s="15">
        <f>2*K84*J84</f>
        <v/>
      </c>
      <c r="M84" s="14">
        <f>-K84^2*F84</f>
        <v/>
      </c>
    </row>
    <row r="85">
      <c r="A85" s="8" t="n">
        <v>74</v>
      </c>
      <c r="B85" s="9">
        <f>A85*$B$6</f>
        <v/>
      </c>
      <c r="C85" s="10">
        <f>$B$5*B85</f>
        <v/>
      </c>
      <c r="D85" s="10">
        <f>$B$3*COS(C85)</f>
        <v/>
      </c>
      <c r="E85" s="10">
        <f>$B$3*SIN(C85)</f>
        <v/>
      </c>
      <c r="F85" s="10">
        <f>SQRT(D85^2 + (E85+$B$4)^2)</f>
        <v/>
      </c>
      <c r="G85" s="10">
        <f>ATAN2(D85, E85+$B$4)</f>
        <v/>
      </c>
      <c r="H85" s="10">
        <f>-$B$3*$B$5*SIN(C85)</f>
        <v/>
      </c>
      <c r="I85" s="10">
        <f>$B$3*$B$5*COS(C85)</f>
        <v/>
      </c>
      <c r="J85" s="10">
        <f>H85*COS(G85) + I85*SIN(G85)</f>
        <v/>
      </c>
      <c r="K85" s="10">
        <f>(-H85*SIN(G85) + I85*COS(G85))/F85</f>
        <v/>
      </c>
      <c r="L85" s="11">
        <f>2*K85*J85</f>
        <v/>
      </c>
      <c r="M85" s="10">
        <f>-K85^2*F85</f>
        <v/>
      </c>
    </row>
    <row r="86">
      <c r="A86" s="12" t="n">
        <v>75</v>
      </c>
      <c r="B86" s="13">
        <f>A86*$B$6</f>
        <v/>
      </c>
      <c r="C86" s="14">
        <f>$B$5*B86</f>
        <v/>
      </c>
      <c r="D86" s="14">
        <f>$B$3*COS(C86)</f>
        <v/>
      </c>
      <c r="E86" s="14">
        <f>$B$3*SIN(C86)</f>
        <v/>
      </c>
      <c r="F86" s="14">
        <f>SQRT(D86^2 + (E86+$B$4)^2)</f>
        <v/>
      </c>
      <c r="G86" s="14">
        <f>ATAN2(D86, E86+$B$4)</f>
        <v/>
      </c>
      <c r="H86" s="14">
        <f>-$B$3*$B$5*SIN(C86)</f>
        <v/>
      </c>
      <c r="I86" s="14">
        <f>$B$3*$B$5*COS(C86)</f>
        <v/>
      </c>
      <c r="J86" s="14">
        <f>H86*COS(G86) + I86*SIN(G86)</f>
        <v/>
      </c>
      <c r="K86" s="14">
        <f>(-H86*SIN(G86) + I86*COS(G86))/F86</f>
        <v/>
      </c>
      <c r="L86" s="15">
        <f>2*K86*J86</f>
        <v/>
      </c>
      <c r="M86" s="14">
        <f>-K86^2*F86</f>
        <v/>
      </c>
    </row>
    <row r="87">
      <c r="A87" s="8" t="n">
        <v>76</v>
      </c>
      <c r="B87" s="9">
        <f>A87*$B$6</f>
        <v/>
      </c>
      <c r="C87" s="10">
        <f>$B$5*B87</f>
        <v/>
      </c>
      <c r="D87" s="10">
        <f>$B$3*COS(C87)</f>
        <v/>
      </c>
      <c r="E87" s="10">
        <f>$B$3*SIN(C87)</f>
        <v/>
      </c>
      <c r="F87" s="10">
        <f>SQRT(D87^2 + (E87+$B$4)^2)</f>
        <v/>
      </c>
      <c r="G87" s="10">
        <f>ATAN2(D87, E87+$B$4)</f>
        <v/>
      </c>
      <c r="H87" s="10">
        <f>-$B$3*$B$5*SIN(C87)</f>
        <v/>
      </c>
      <c r="I87" s="10">
        <f>$B$3*$B$5*COS(C87)</f>
        <v/>
      </c>
      <c r="J87" s="10">
        <f>H87*COS(G87) + I87*SIN(G87)</f>
        <v/>
      </c>
      <c r="K87" s="10">
        <f>(-H87*SIN(G87) + I87*COS(G87))/F87</f>
        <v/>
      </c>
      <c r="L87" s="11">
        <f>2*K87*J87</f>
        <v/>
      </c>
      <c r="M87" s="10">
        <f>-K87^2*F87</f>
        <v/>
      </c>
    </row>
    <row r="88">
      <c r="A88" s="12" t="n">
        <v>77</v>
      </c>
      <c r="B88" s="13">
        <f>A88*$B$6</f>
        <v/>
      </c>
      <c r="C88" s="14">
        <f>$B$5*B88</f>
        <v/>
      </c>
      <c r="D88" s="14">
        <f>$B$3*COS(C88)</f>
        <v/>
      </c>
      <c r="E88" s="14">
        <f>$B$3*SIN(C88)</f>
        <v/>
      </c>
      <c r="F88" s="14">
        <f>SQRT(D88^2 + (E88+$B$4)^2)</f>
        <v/>
      </c>
      <c r="G88" s="14">
        <f>ATAN2(D88, E88+$B$4)</f>
        <v/>
      </c>
      <c r="H88" s="14">
        <f>-$B$3*$B$5*SIN(C88)</f>
        <v/>
      </c>
      <c r="I88" s="14">
        <f>$B$3*$B$5*COS(C88)</f>
        <v/>
      </c>
      <c r="J88" s="14">
        <f>H88*COS(G88) + I88*SIN(G88)</f>
        <v/>
      </c>
      <c r="K88" s="14">
        <f>(-H88*SIN(G88) + I88*COS(G88))/F88</f>
        <v/>
      </c>
      <c r="L88" s="15">
        <f>2*K88*J88</f>
        <v/>
      </c>
      <c r="M88" s="14">
        <f>-K88^2*F88</f>
        <v/>
      </c>
    </row>
    <row r="89">
      <c r="A89" s="8" t="n">
        <v>78</v>
      </c>
      <c r="B89" s="9">
        <f>A89*$B$6</f>
        <v/>
      </c>
      <c r="C89" s="10">
        <f>$B$5*B89</f>
        <v/>
      </c>
      <c r="D89" s="10">
        <f>$B$3*COS(C89)</f>
        <v/>
      </c>
      <c r="E89" s="10">
        <f>$B$3*SIN(C89)</f>
        <v/>
      </c>
      <c r="F89" s="10">
        <f>SQRT(D89^2 + (E89+$B$4)^2)</f>
        <v/>
      </c>
      <c r="G89" s="10">
        <f>ATAN2(D89, E89+$B$4)</f>
        <v/>
      </c>
      <c r="H89" s="10">
        <f>-$B$3*$B$5*SIN(C89)</f>
        <v/>
      </c>
      <c r="I89" s="10">
        <f>$B$3*$B$5*COS(C89)</f>
        <v/>
      </c>
      <c r="J89" s="10">
        <f>H89*COS(G89) + I89*SIN(G89)</f>
        <v/>
      </c>
      <c r="K89" s="10">
        <f>(-H89*SIN(G89) + I89*COS(G89))/F89</f>
        <v/>
      </c>
      <c r="L89" s="11">
        <f>2*K89*J89</f>
        <v/>
      </c>
      <c r="M89" s="10">
        <f>-K89^2*F89</f>
        <v/>
      </c>
    </row>
    <row r="90">
      <c r="A90" s="12" t="n">
        <v>79</v>
      </c>
      <c r="B90" s="13">
        <f>A90*$B$6</f>
        <v/>
      </c>
      <c r="C90" s="14">
        <f>$B$5*B90</f>
        <v/>
      </c>
      <c r="D90" s="14">
        <f>$B$3*COS(C90)</f>
        <v/>
      </c>
      <c r="E90" s="14">
        <f>$B$3*SIN(C90)</f>
        <v/>
      </c>
      <c r="F90" s="14">
        <f>SQRT(D90^2 + (E90+$B$4)^2)</f>
        <v/>
      </c>
      <c r="G90" s="14">
        <f>ATAN2(D90, E90+$B$4)</f>
        <v/>
      </c>
      <c r="H90" s="14">
        <f>-$B$3*$B$5*SIN(C90)</f>
        <v/>
      </c>
      <c r="I90" s="14">
        <f>$B$3*$B$5*COS(C90)</f>
        <v/>
      </c>
      <c r="J90" s="14">
        <f>H90*COS(G90) + I90*SIN(G90)</f>
        <v/>
      </c>
      <c r="K90" s="14">
        <f>(-H90*SIN(G90) + I90*COS(G90))/F90</f>
        <v/>
      </c>
      <c r="L90" s="15">
        <f>2*K90*J90</f>
        <v/>
      </c>
      <c r="M90" s="14">
        <f>-K90^2*F90</f>
        <v/>
      </c>
    </row>
    <row r="91">
      <c r="A91" s="8" t="n">
        <v>80</v>
      </c>
      <c r="B91" s="9">
        <f>A91*$B$6</f>
        <v/>
      </c>
      <c r="C91" s="10">
        <f>$B$5*B91</f>
        <v/>
      </c>
      <c r="D91" s="10">
        <f>$B$3*COS(C91)</f>
        <v/>
      </c>
      <c r="E91" s="10">
        <f>$B$3*SIN(C91)</f>
        <v/>
      </c>
      <c r="F91" s="10">
        <f>SQRT(D91^2 + (E91+$B$4)^2)</f>
        <v/>
      </c>
      <c r="G91" s="10">
        <f>ATAN2(D91, E91+$B$4)</f>
        <v/>
      </c>
      <c r="H91" s="10">
        <f>-$B$3*$B$5*SIN(C91)</f>
        <v/>
      </c>
      <c r="I91" s="10">
        <f>$B$3*$B$5*COS(C91)</f>
        <v/>
      </c>
      <c r="J91" s="10">
        <f>H91*COS(G91) + I91*SIN(G91)</f>
        <v/>
      </c>
      <c r="K91" s="10">
        <f>(-H91*SIN(G91) + I91*COS(G91))/F91</f>
        <v/>
      </c>
      <c r="L91" s="11">
        <f>2*K91*J91</f>
        <v/>
      </c>
      <c r="M91" s="10">
        <f>-K91^2*F91</f>
        <v/>
      </c>
    </row>
    <row r="92">
      <c r="A92" s="12" t="n">
        <v>81</v>
      </c>
      <c r="B92" s="13">
        <f>A92*$B$6</f>
        <v/>
      </c>
      <c r="C92" s="14">
        <f>$B$5*B92</f>
        <v/>
      </c>
      <c r="D92" s="14">
        <f>$B$3*COS(C92)</f>
        <v/>
      </c>
      <c r="E92" s="14">
        <f>$B$3*SIN(C92)</f>
        <v/>
      </c>
      <c r="F92" s="14">
        <f>SQRT(D92^2 + (E92+$B$4)^2)</f>
        <v/>
      </c>
      <c r="G92" s="14">
        <f>ATAN2(D92, E92+$B$4)</f>
        <v/>
      </c>
      <c r="H92" s="14">
        <f>-$B$3*$B$5*SIN(C92)</f>
        <v/>
      </c>
      <c r="I92" s="14">
        <f>$B$3*$B$5*COS(C92)</f>
        <v/>
      </c>
      <c r="J92" s="14">
        <f>H92*COS(G92) + I92*SIN(G92)</f>
        <v/>
      </c>
      <c r="K92" s="14">
        <f>(-H92*SIN(G92) + I92*COS(G92))/F92</f>
        <v/>
      </c>
      <c r="L92" s="15">
        <f>2*K92*J92</f>
        <v/>
      </c>
      <c r="M92" s="14">
        <f>-K92^2*F92</f>
        <v/>
      </c>
    </row>
    <row r="93">
      <c r="A93" s="8" t="n">
        <v>82</v>
      </c>
      <c r="B93" s="9">
        <f>A93*$B$6</f>
        <v/>
      </c>
      <c r="C93" s="10">
        <f>$B$5*B93</f>
        <v/>
      </c>
      <c r="D93" s="10">
        <f>$B$3*COS(C93)</f>
        <v/>
      </c>
      <c r="E93" s="10">
        <f>$B$3*SIN(C93)</f>
        <v/>
      </c>
      <c r="F93" s="10">
        <f>SQRT(D93^2 + (E93+$B$4)^2)</f>
        <v/>
      </c>
      <c r="G93" s="10">
        <f>ATAN2(D93, E93+$B$4)</f>
        <v/>
      </c>
      <c r="H93" s="10">
        <f>-$B$3*$B$5*SIN(C93)</f>
        <v/>
      </c>
      <c r="I93" s="10">
        <f>$B$3*$B$5*COS(C93)</f>
        <v/>
      </c>
      <c r="J93" s="10">
        <f>H93*COS(G93) + I93*SIN(G93)</f>
        <v/>
      </c>
      <c r="K93" s="10">
        <f>(-H93*SIN(G93) + I93*COS(G93))/F93</f>
        <v/>
      </c>
      <c r="L93" s="11">
        <f>2*K93*J93</f>
        <v/>
      </c>
      <c r="M93" s="10">
        <f>-K93^2*F93</f>
        <v/>
      </c>
    </row>
    <row r="94">
      <c r="A94" s="12" t="n">
        <v>83</v>
      </c>
      <c r="B94" s="13">
        <f>A94*$B$6</f>
        <v/>
      </c>
      <c r="C94" s="14">
        <f>$B$5*B94</f>
        <v/>
      </c>
      <c r="D94" s="14">
        <f>$B$3*COS(C94)</f>
        <v/>
      </c>
      <c r="E94" s="14">
        <f>$B$3*SIN(C94)</f>
        <v/>
      </c>
      <c r="F94" s="14">
        <f>SQRT(D94^2 + (E94+$B$4)^2)</f>
        <v/>
      </c>
      <c r="G94" s="14">
        <f>ATAN2(D94, E94+$B$4)</f>
        <v/>
      </c>
      <c r="H94" s="14">
        <f>-$B$3*$B$5*SIN(C94)</f>
        <v/>
      </c>
      <c r="I94" s="14">
        <f>$B$3*$B$5*COS(C94)</f>
        <v/>
      </c>
      <c r="J94" s="14">
        <f>H94*COS(G94) + I94*SIN(G94)</f>
        <v/>
      </c>
      <c r="K94" s="14">
        <f>(-H94*SIN(G94) + I94*COS(G94))/F94</f>
        <v/>
      </c>
      <c r="L94" s="15">
        <f>2*K94*J94</f>
        <v/>
      </c>
      <c r="M94" s="14">
        <f>-K94^2*F94</f>
        <v/>
      </c>
    </row>
    <row r="95">
      <c r="A95" s="8" t="n">
        <v>84</v>
      </c>
      <c r="B95" s="9">
        <f>A95*$B$6</f>
        <v/>
      </c>
      <c r="C95" s="10">
        <f>$B$5*B95</f>
        <v/>
      </c>
      <c r="D95" s="10">
        <f>$B$3*COS(C95)</f>
        <v/>
      </c>
      <c r="E95" s="10">
        <f>$B$3*SIN(C95)</f>
        <v/>
      </c>
      <c r="F95" s="10">
        <f>SQRT(D95^2 + (E95+$B$4)^2)</f>
        <v/>
      </c>
      <c r="G95" s="10">
        <f>ATAN2(D95, E95+$B$4)</f>
        <v/>
      </c>
      <c r="H95" s="10">
        <f>-$B$3*$B$5*SIN(C95)</f>
        <v/>
      </c>
      <c r="I95" s="10">
        <f>$B$3*$B$5*COS(C95)</f>
        <v/>
      </c>
      <c r="J95" s="10">
        <f>H95*COS(G95) + I95*SIN(G95)</f>
        <v/>
      </c>
      <c r="K95" s="10">
        <f>(-H95*SIN(G95) + I95*COS(G95))/F95</f>
        <v/>
      </c>
      <c r="L95" s="11">
        <f>2*K95*J95</f>
        <v/>
      </c>
      <c r="M95" s="10">
        <f>-K95^2*F95</f>
        <v/>
      </c>
    </row>
    <row r="96">
      <c r="A96" s="12" t="n">
        <v>85</v>
      </c>
      <c r="B96" s="13">
        <f>A96*$B$6</f>
        <v/>
      </c>
      <c r="C96" s="14">
        <f>$B$5*B96</f>
        <v/>
      </c>
      <c r="D96" s="14">
        <f>$B$3*COS(C96)</f>
        <v/>
      </c>
      <c r="E96" s="14">
        <f>$B$3*SIN(C96)</f>
        <v/>
      </c>
      <c r="F96" s="14">
        <f>SQRT(D96^2 + (E96+$B$4)^2)</f>
        <v/>
      </c>
      <c r="G96" s="14">
        <f>ATAN2(D96, E96+$B$4)</f>
        <v/>
      </c>
      <c r="H96" s="14">
        <f>-$B$3*$B$5*SIN(C96)</f>
        <v/>
      </c>
      <c r="I96" s="14">
        <f>$B$3*$B$5*COS(C96)</f>
        <v/>
      </c>
      <c r="J96" s="14">
        <f>H96*COS(G96) + I96*SIN(G96)</f>
        <v/>
      </c>
      <c r="K96" s="14">
        <f>(-H96*SIN(G96) + I96*COS(G96))/F96</f>
        <v/>
      </c>
      <c r="L96" s="15">
        <f>2*K96*J96</f>
        <v/>
      </c>
      <c r="M96" s="14">
        <f>-K96^2*F96</f>
        <v/>
      </c>
    </row>
    <row r="97">
      <c r="A97" s="8" t="n">
        <v>86</v>
      </c>
      <c r="B97" s="9">
        <f>A97*$B$6</f>
        <v/>
      </c>
      <c r="C97" s="10">
        <f>$B$5*B97</f>
        <v/>
      </c>
      <c r="D97" s="10">
        <f>$B$3*COS(C97)</f>
        <v/>
      </c>
      <c r="E97" s="10">
        <f>$B$3*SIN(C97)</f>
        <v/>
      </c>
      <c r="F97" s="10">
        <f>SQRT(D97^2 + (E97+$B$4)^2)</f>
        <v/>
      </c>
      <c r="G97" s="10">
        <f>ATAN2(D97, E97+$B$4)</f>
        <v/>
      </c>
      <c r="H97" s="10">
        <f>-$B$3*$B$5*SIN(C97)</f>
        <v/>
      </c>
      <c r="I97" s="10">
        <f>$B$3*$B$5*COS(C97)</f>
        <v/>
      </c>
      <c r="J97" s="10">
        <f>H97*COS(G97) + I97*SIN(G97)</f>
        <v/>
      </c>
      <c r="K97" s="10">
        <f>(-H97*SIN(G97) + I97*COS(G97))/F97</f>
        <v/>
      </c>
      <c r="L97" s="11">
        <f>2*K97*J97</f>
        <v/>
      </c>
      <c r="M97" s="10">
        <f>-K97^2*F97</f>
        <v/>
      </c>
    </row>
    <row r="98">
      <c r="A98" s="12" t="n">
        <v>87</v>
      </c>
      <c r="B98" s="13">
        <f>A98*$B$6</f>
        <v/>
      </c>
      <c r="C98" s="14">
        <f>$B$5*B98</f>
        <v/>
      </c>
      <c r="D98" s="14">
        <f>$B$3*COS(C98)</f>
        <v/>
      </c>
      <c r="E98" s="14">
        <f>$B$3*SIN(C98)</f>
        <v/>
      </c>
      <c r="F98" s="14">
        <f>SQRT(D98^2 + (E98+$B$4)^2)</f>
        <v/>
      </c>
      <c r="G98" s="14">
        <f>ATAN2(D98, E98+$B$4)</f>
        <v/>
      </c>
      <c r="H98" s="14">
        <f>-$B$3*$B$5*SIN(C98)</f>
        <v/>
      </c>
      <c r="I98" s="14">
        <f>$B$3*$B$5*COS(C98)</f>
        <v/>
      </c>
      <c r="J98" s="14">
        <f>H98*COS(G98) + I98*SIN(G98)</f>
        <v/>
      </c>
      <c r="K98" s="14">
        <f>(-H98*SIN(G98) + I98*COS(G98))/F98</f>
        <v/>
      </c>
      <c r="L98" s="15">
        <f>2*K98*J98</f>
        <v/>
      </c>
      <c r="M98" s="14">
        <f>-K98^2*F98</f>
        <v/>
      </c>
    </row>
    <row r="99">
      <c r="A99" s="8" t="n">
        <v>88</v>
      </c>
      <c r="B99" s="9">
        <f>A99*$B$6</f>
        <v/>
      </c>
      <c r="C99" s="10">
        <f>$B$5*B99</f>
        <v/>
      </c>
      <c r="D99" s="10">
        <f>$B$3*COS(C99)</f>
        <v/>
      </c>
      <c r="E99" s="10">
        <f>$B$3*SIN(C99)</f>
        <v/>
      </c>
      <c r="F99" s="10">
        <f>SQRT(D99^2 + (E99+$B$4)^2)</f>
        <v/>
      </c>
      <c r="G99" s="10">
        <f>ATAN2(D99, E99+$B$4)</f>
        <v/>
      </c>
      <c r="H99" s="10">
        <f>-$B$3*$B$5*SIN(C99)</f>
        <v/>
      </c>
      <c r="I99" s="10">
        <f>$B$3*$B$5*COS(C99)</f>
        <v/>
      </c>
      <c r="J99" s="10">
        <f>H99*COS(G99) + I99*SIN(G99)</f>
        <v/>
      </c>
      <c r="K99" s="10">
        <f>(-H99*SIN(G99) + I99*COS(G99))/F99</f>
        <v/>
      </c>
      <c r="L99" s="11">
        <f>2*K99*J99</f>
        <v/>
      </c>
      <c r="M99" s="10">
        <f>-K99^2*F99</f>
        <v/>
      </c>
    </row>
    <row r="100">
      <c r="A100" s="12" t="n">
        <v>89</v>
      </c>
      <c r="B100" s="13">
        <f>A100*$B$6</f>
        <v/>
      </c>
      <c r="C100" s="14">
        <f>$B$5*B100</f>
        <v/>
      </c>
      <c r="D100" s="14">
        <f>$B$3*COS(C100)</f>
        <v/>
      </c>
      <c r="E100" s="14">
        <f>$B$3*SIN(C100)</f>
        <v/>
      </c>
      <c r="F100" s="14">
        <f>SQRT(D100^2 + (E100+$B$4)^2)</f>
        <v/>
      </c>
      <c r="G100" s="14">
        <f>ATAN2(D100, E100+$B$4)</f>
        <v/>
      </c>
      <c r="H100" s="14">
        <f>-$B$3*$B$5*SIN(C100)</f>
        <v/>
      </c>
      <c r="I100" s="14">
        <f>$B$3*$B$5*COS(C100)</f>
        <v/>
      </c>
      <c r="J100" s="14">
        <f>H100*COS(G100) + I100*SIN(G100)</f>
        <v/>
      </c>
      <c r="K100" s="14">
        <f>(-H100*SIN(G100) + I100*COS(G100))/F100</f>
        <v/>
      </c>
      <c r="L100" s="15">
        <f>2*K100*J100</f>
        <v/>
      </c>
      <c r="M100" s="14">
        <f>-K100^2*F100</f>
        <v/>
      </c>
    </row>
    <row r="101">
      <c r="A101" s="8" t="n">
        <v>90</v>
      </c>
      <c r="B101" s="9">
        <f>A101*$B$6</f>
        <v/>
      </c>
      <c r="C101" s="10">
        <f>$B$5*B101</f>
        <v/>
      </c>
      <c r="D101" s="10">
        <f>$B$3*COS(C101)</f>
        <v/>
      </c>
      <c r="E101" s="10">
        <f>$B$3*SIN(C101)</f>
        <v/>
      </c>
      <c r="F101" s="10">
        <f>SQRT(D101^2 + (E101+$B$4)^2)</f>
        <v/>
      </c>
      <c r="G101" s="10">
        <f>ATAN2(D101, E101+$B$4)</f>
        <v/>
      </c>
      <c r="H101" s="10">
        <f>-$B$3*$B$5*SIN(C101)</f>
        <v/>
      </c>
      <c r="I101" s="10">
        <f>$B$3*$B$5*COS(C101)</f>
        <v/>
      </c>
      <c r="J101" s="10">
        <f>H101*COS(G101) + I101*SIN(G101)</f>
        <v/>
      </c>
      <c r="K101" s="10">
        <f>(-H101*SIN(G101) + I101*COS(G101))/F101</f>
        <v/>
      </c>
      <c r="L101" s="11">
        <f>2*K101*J101</f>
        <v/>
      </c>
      <c r="M101" s="10">
        <f>-K101^2*F101</f>
        <v/>
      </c>
    </row>
    <row r="102">
      <c r="A102" s="12" t="n">
        <v>91</v>
      </c>
      <c r="B102" s="13">
        <f>A102*$B$6</f>
        <v/>
      </c>
      <c r="C102" s="14">
        <f>$B$5*B102</f>
        <v/>
      </c>
      <c r="D102" s="14">
        <f>$B$3*COS(C102)</f>
        <v/>
      </c>
      <c r="E102" s="14">
        <f>$B$3*SIN(C102)</f>
        <v/>
      </c>
      <c r="F102" s="14">
        <f>SQRT(D102^2 + (E102+$B$4)^2)</f>
        <v/>
      </c>
      <c r="G102" s="14">
        <f>ATAN2(D102, E102+$B$4)</f>
        <v/>
      </c>
      <c r="H102" s="14">
        <f>-$B$3*$B$5*SIN(C102)</f>
        <v/>
      </c>
      <c r="I102" s="14">
        <f>$B$3*$B$5*COS(C102)</f>
        <v/>
      </c>
      <c r="J102" s="14">
        <f>H102*COS(G102) + I102*SIN(G102)</f>
        <v/>
      </c>
      <c r="K102" s="14">
        <f>(-H102*SIN(G102) + I102*COS(G102))/F102</f>
        <v/>
      </c>
      <c r="L102" s="15">
        <f>2*K102*J102</f>
        <v/>
      </c>
      <c r="M102" s="14">
        <f>-K102^2*F102</f>
        <v/>
      </c>
    </row>
    <row r="103">
      <c r="A103" s="8" t="n">
        <v>92</v>
      </c>
      <c r="B103" s="9">
        <f>A103*$B$6</f>
        <v/>
      </c>
      <c r="C103" s="10">
        <f>$B$5*B103</f>
        <v/>
      </c>
      <c r="D103" s="10">
        <f>$B$3*COS(C103)</f>
        <v/>
      </c>
      <c r="E103" s="10">
        <f>$B$3*SIN(C103)</f>
        <v/>
      </c>
      <c r="F103" s="10">
        <f>SQRT(D103^2 + (E103+$B$4)^2)</f>
        <v/>
      </c>
      <c r="G103" s="10">
        <f>ATAN2(D103, E103+$B$4)</f>
        <v/>
      </c>
      <c r="H103" s="10">
        <f>-$B$3*$B$5*SIN(C103)</f>
        <v/>
      </c>
      <c r="I103" s="10">
        <f>$B$3*$B$5*COS(C103)</f>
        <v/>
      </c>
      <c r="J103" s="10">
        <f>H103*COS(G103) + I103*SIN(G103)</f>
        <v/>
      </c>
      <c r="K103" s="10">
        <f>(-H103*SIN(G103) + I103*COS(G103))/F103</f>
        <v/>
      </c>
      <c r="L103" s="11">
        <f>2*K103*J103</f>
        <v/>
      </c>
      <c r="M103" s="10">
        <f>-K103^2*F103</f>
        <v/>
      </c>
    </row>
    <row r="104">
      <c r="A104" s="12" t="n">
        <v>93</v>
      </c>
      <c r="B104" s="13">
        <f>A104*$B$6</f>
        <v/>
      </c>
      <c r="C104" s="14">
        <f>$B$5*B104</f>
        <v/>
      </c>
      <c r="D104" s="14">
        <f>$B$3*COS(C104)</f>
        <v/>
      </c>
      <c r="E104" s="14">
        <f>$B$3*SIN(C104)</f>
        <v/>
      </c>
      <c r="F104" s="14">
        <f>SQRT(D104^2 + (E104+$B$4)^2)</f>
        <v/>
      </c>
      <c r="G104" s="14">
        <f>ATAN2(D104, E104+$B$4)</f>
        <v/>
      </c>
      <c r="H104" s="14">
        <f>-$B$3*$B$5*SIN(C104)</f>
        <v/>
      </c>
      <c r="I104" s="14">
        <f>$B$3*$B$5*COS(C104)</f>
        <v/>
      </c>
      <c r="J104" s="14">
        <f>H104*COS(G104) + I104*SIN(G104)</f>
        <v/>
      </c>
      <c r="K104" s="14">
        <f>(-H104*SIN(G104) + I104*COS(G104))/F104</f>
        <v/>
      </c>
      <c r="L104" s="15">
        <f>2*K104*J104</f>
        <v/>
      </c>
      <c r="M104" s="14">
        <f>-K104^2*F104</f>
        <v/>
      </c>
    </row>
    <row r="105">
      <c r="A105" s="8" t="n">
        <v>94</v>
      </c>
      <c r="B105" s="9">
        <f>A105*$B$6</f>
        <v/>
      </c>
      <c r="C105" s="10">
        <f>$B$5*B105</f>
        <v/>
      </c>
      <c r="D105" s="10">
        <f>$B$3*COS(C105)</f>
        <v/>
      </c>
      <c r="E105" s="10">
        <f>$B$3*SIN(C105)</f>
        <v/>
      </c>
      <c r="F105" s="10">
        <f>SQRT(D105^2 + (E105+$B$4)^2)</f>
        <v/>
      </c>
      <c r="G105" s="10">
        <f>ATAN2(D105, E105+$B$4)</f>
        <v/>
      </c>
      <c r="H105" s="10">
        <f>-$B$3*$B$5*SIN(C105)</f>
        <v/>
      </c>
      <c r="I105" s="10">
        <f>$B$3*$B$5*COS(C105)</f>
        <v/>
      </c>
      <c r="J105" s="10">
        <f>H105*COS(G105) + I105*SIN(G105)</f>
        <v/>
      </c>
      <c r="K105" s="10">
        <f>(-H105*SIN(G105) + I105*COS(G105))/F105</f>
        <v/>
      </c>
      <c r="L105" s="11">
        <f>2*K105*J105</f>
        <v/>
      </c>
      <c r="M105" s="10">
        <f>-K105^2*F105</f>
        <v/>
      </c>
    </row>
    <row r="106">
      <c r="A106" s="12" t="n">
        <v>95</v>
      </c>
      <c r="B106" s="13">
        <f>A106*$B$6</f>
        <v/>
      </c>
      <c r="C106" s="14">
        <f>$B$5*B106</f>
        <v/>
      </c>
      <c r="D106" s="14">
        <f>$B$3*COS(C106)</f>
        <v/>
      </c>
      <c r="E106" s="14">
        <f>$B$3*SIN(C106)</f>
        <v/>
      </c>
      <c r="F106" s="14">
        <f>SQRT(D106^2 + (E106+$B$4)^2)</f>
        <v/>
      </c>
      <c r="G106" s="14">
        <f>ATAN2(D106, E106+$B$4)</f>
        <v/>
      </c>
      <c r="H106" s="14">
        <f>-$B$3*$B$5*SIN(C106)</f>
        <v/>
      </c>
      <c r="I106" s="14">
        <f>$B$3*$B$5*COS(C106)</f>
        <v/>
      </c>
      <c r="J106" s="14">
        <f>H106*COS(G106) + I106*SIN(G106)</f>
        <v/>
      </c>
      <c r="K106" s="14">
        <f>(-H106*SIN(G106) + I106*COS(G106))/F106</f>
        <v/>
      </c>
      <c r="L106" s="15">
        <f>2*K106*J106</f>
        <v/>
      </c>
      <c r="M106" s="14">
        <f>-K106^2*F106</f>
        <v/>
      </c>
    </row>
    <row r="107">
      <c r="A107" s="8" t="n">
        <v>96</v>
      </c>
      <c r="B107" s="9">
        <f>A107*$B$6</f>
        <v/>
      </c>
      <c r="C107" s="10">
        <f>$B$5*B107</f>
        <v/>
      </c>
      <c r="D107" s="10">
        <f>$B$3*COS(C107)</f>
        <v/>
      </c>
      <c r="E107" s="10">
        <f>$B$3*SIN(C107)</f>
        <v/>
      </c>
      <c r="F107" s="10">
        <f>SQRT(D107^2 + (E107+$B$4)^2)</f>
        <v/>
      </c>
      <c r="G107" s="10">
        <f>ATAN2(D107, E107+$B$4)</f>
        <v/>
      </c>
      <c r="H107" s="10">
        <f>-$B$3*$B$5*SIN(C107)</f>
        <v/>
      </c>
      <c r="I107" s="10">
        <f>$B$3*$B$5*COS(C107)</f>
        <v/>
      </c>
      <c r="J107" s="10">
        <f>H107*COS(G107) + I107*SIN(G107)</f>
        <v/>
      </c>
      <c r="K107" s="10">
        <f>(-H107*SIN(G107) + I107*COS(G107))/F107</f>
        <v/>
      </c>
      <c r="L107" s="11">
        <f>2*K107*J107</f>
        <v/>
      </c>
      <c r="M107" s="10">
        <f>-K107^2*F107</f>
        <v/>
      </c>
    </row>
    <row r="108">
      <c r="A108" s="12" t="n">
        <v>97</v>
      </c>
      <c r="B108" s="13">
        <f>A108*$B$6</f>
        <v/>
      </c>
      <c r="C108" s="14">
        <f>$B$5*B108</f>
        <v/>
      </c>
      <c r="D108" s="14">
        <f>$B$3*COS(C108)</f>
        <v/>
      </c>
      <c r="E108" s="14">
        <f>$B$3*SIN(C108)</f>
        <v/>
      </c>
      <c r="F108" s="14">
        <f>SQRT(D108^2 + (E108+$B$4)^2)</f>
        <v/>
      </c>
      <c r="G108" s="14">
        <f>ATAN2(D108, E108+$B$4)</f>
        <v/>
      </c>
      <c r="H108" s="14">
        <f>-$B$3*$B$5*SIN(C108)</f>
        <v/>
      </c>
      <c r="I108" s="14">
        <f>$B$3*$B$5*COS(C108)</f>
        <v/>
      </c>
      <c r="J108" s="14">
        <f>H108*COS(G108) + I108*SIN(G108)</f>
        <v/>
      </c>
      <c r="K108" s="14">
        <f>(-H108*SIN(G108) + I108*COS(G108))/F108</f>
        <v/>
      </c>
      <c r="L108" s="15">
        <f>2*K108*J108</f>
        <v/>
      </c>
      <c r="M108" s="14">
        <f>-K108^2*F108</f>
        <v/>
      </c>
    </row>
    <row r="109">
      <c r="A109" s="8" t="n">
        <v>98</v>
      </c>
      <c r="B109" s="9">
        <f>A109*$B$6</f>
        <v/>
      </c>
      <c r="C109" s="10">
        <f>$B$5*B109</f>
        <v/>
      </c>
      <c r="D109" s="10">
        <f>$B$3*COS(C109)</f>
        <v/>
      </c>
      <c r="E109" s="10">
        <f>$B$3*SIN(C109)</f>
        <v/>
      </c>
      <c r="F109" s="10">
        <f>SQRT(D109^2 + (E109+$B$4)^2)</f>
        <v/>
      </c>
      <c r="G109" s="10">
        <f>ATAN2(D109, E109+$B$4)</f>
        <v/>
      </c>
      <c r="H109" s="10">
        <f>-$B$3*$B$5*SIN(C109)</f>
        <v/>
      </c>
      <c r="I109" s="10">
        <f>$B$3*$B$5*COS(C109)</f>
        <v/>
      </c>
      <c r="J109" s="10">
        <f>H109*COS(G109) + I109*SIN(G109)</f>
        <v/>
      </c>
      <c r="K109" s="10">
        <f>(-H109*SIN(G109) + I109*COS(G109))/F109</f>
        <v/>
      </c>
      <c r="L109" s="11">
        <f>2*K109*J109</f>
        <v/>
      </c>
      <c r="M109" s="10">
        <f>-K109^2*F109</f>
        <v/>
      </c>
    </row>
    <row r="110">
      <c r="A110" s="12" t="n">
        <v>99</v>
      </c>
      <c r="B110" s="13">
        <f>A110*$B$6</f>
        <v/>
      </c>
      <c r="C110" s="14">
        <f>$B$5*B110</f>
        <v/>
      </c>
      <c r="D110" s="14">
        <f>$B$3*COS(C110)</f>
        <v/>
      </c>
      <c r="E110" s="14">
        <f>$B$3*SIN(C110)</f>
        <v/>
      </c>
      <c r="F110" s="14">
        <f>SQRT(D110^2 + (E110+$B$4)^2)</f>
        <v/>
      </c>
      <c r="G110" s="14">
        <f>ATAN2(D110, E110+$B$4)</f>
        <v/>
      </c>
      <c r="H110" s="14">
        <f>-$B$3*$B$5*SIN(C110)</f>
        <v/>
      </c>
      <c r="I110" s="14">
        <f>$B$3*$B$5*COS(C110)</f>
        <v/>
      </c>
      <c r="J110" s="14">
        <f>H110*COS(G110) + I110*SIN(G110)</f>
        <v/>
      </c>
      <c r="K110" s="14">
        <f>(-H110*SIN(G110) + I110*COS(G110))/F110</f>
        <v/>
      </c>
      <c r="L110" s="15">
        <f>2*K110*J110</f>
        <v/>
      </c>
      <c r="M110" s="14">
        <f>-K110^2*F110</f>
        <v/>
      </c>
    </row>
    <row r="111">
      <c r="A111" s="8" t="n">
        <v>100</v>
      </c>
      <c r="B111" s="9">
        <f>A111*$B$6</f>
        <v/>
      </c>
      <c r="C111" s="10">
        <f>$B$5*B111</f>
        <v/>
      </c>
      <c r="D111" s="10">
        <f>$B$3*COS(C111)</f>
        <v/>
      </c>
      <c r="E111" s="10">
        <f>$B$3*SIN(C111)</f>
        <v/>
      </c>
      <c r="F111" s="10">
        <f>SQRT(D111^2 + (E111+$B$4)^2)</f>
        <v/>
      </c>
      <c r="G111" s="10">
        <f>ATAN2(D111, E111+$B$4)</f>
        <v/>
      </c>
      <c r="H111" s="10">
        <f>-$B$3*$B$5*SIN(C111)</f>
        <v/>
      </c>
      <c r="I111" s="10">
        <f>$B$3*$B$5*COS(C111)</f>
        <v/>
      </c>
      <c r="J111" s="10">
        <f>H111*COS(G111) + I111*SIN(G111)</f>
        <v/>
      </c>
      <c r="K111" s="10">
        <f>(-H111*SIN(G111) + I111*COS(G111))/F111</f>
        <v/>
      </c>
      <c r="L111" s="11">
        <f>2*K111*J111</f>
        <v/>
      </c>
      <c r="M111" s="10">
        <f>-K111^2*F111</f>
        <v/>
      </c>
    </row>
    <row r="112">
      <c r="A112" s="12" t="n">
        <v>101</v>
      </c>
      <c r="B112" s="13">
        <f>A112*$B$6</f>
        <v/>
      </c>
      <c r="C112" s="14">
        <f>$B$5*B112</f>
        <v/>
      </c>
      <c r="D112" s="14">
        <f>$B$3*COS(C112)</f>
        <v/>
      </c>
      <c r="E112" s="14">
        <f>$B$3*SIN(C112)</f>
        <v/>
      </c>
      <c r="F112" s="14">
        <f>SQRT(D112^2 + (E112+$B$4)^2)</f>
        <v/>
      </c>
      <c r="G112" s="14">
        <f>ATAN2(D112, E112+$B$4)</f>
        <v/>
      </c>
      <c r="H112" s="14">
        <f>-$B$3*$B$5*SIN(C112)</f>
        <v/>
      </c>
      <c r="I112" s="14">
        <f>$B$3*$B$5*COS(C112)</f>
        <v/>
      </c>
      <c r="J112" s="14">
        <f>H112*COS(G112) + I112*SIN(G112)</f>
        <v/>
      </c>
      <c r="K112" s="14">
        <f>(-H112*SIN(G112) + I112*COS(G112))/F112</f>
        <v/>
      </c>
      <c r="L112" s="15">
        <f>2*K112*J112</f>
        <v/>
      </c>
      <c r="M112" s="14">
        <f>-K112^2*F112</f>
        <v/>
      </c>
    </row>
    <row r="113">
      <c r="A113" s="8" t="n">
        <v>102</v>
      </c>
      <c r="B113" s="9">
        <f>A113*$B$6</f>
        <v/>
      </c>
      <c r="C113" s="10">
        <f>$B$5*B113</f>
        <v/>
      </c>
      <c r="D113" s="10">
        <f>$B$3*COS(C113)</f>
        <v/>
      </c>
      <c r="E113" s="10">
        <f>$B$3*SIN(C113)</f>
        <v/>
      </c>
      <c r="F113" s="10">
        <f>SQRT(D113^2 + (E113+$B$4)^2)</f>
        <v/>
      </c>
      <c r="G113" s="10">
        <f>ATAN2(D113, E113+$B$4)</f>
        <v/>
      </c>
      <c r="H113" s="10">
        <f>-$B$3*$B$5*SIN(C113)</f>
        <v/>
      </c>
      <c r="I113" s="10">
        <f>$B$3*$B$5*COS(C113)</f>
        <v/>
      </c>
      <c r="J113" s="10">
        <f>H113*COS(G113) + I113*SIN(G113)</f>
        <v/>
      </c>
      <c r="K113" s="10">
        <f>(-H113*SIN(G113) + I113*COS(G113))/F113</f>
        <v/>
      </c>
      <c r="L113" s="11">
        <f>2*K113*J113</f>
        <v/>
      </c>
      <c r="M113" s="10">
        <f>-K113^2*F113</f>
        <v/>
      </c>
    </row>
    <row r="114">
      <c r="A114" s="12" t="n">
        <v>103</v>
      </c>
      <c r="B114" s="13">
        <f>A114*$B$6</f>
        <v/>
      </c>
      <c r="C114" s="14">
        <f>$B$5*B114</f>
        <v/>
      </c>
      <c r="D114" s="14">
        <f>$B$3*COS(C114)</f>
        <v/>
      </c>
      <c r="E114" s="14">
        <f>$B$3*SIN(C114)</f>
        <v/>
      </c>
      <c r="F114" s="14">
        <f>SQRT(D114^2 + (E114+$B$4)^2)</f>
        <v/>
      </c>
      <c r="G114" s="14">
        <f>ATAN2(D114, E114+$B$4)</f>
        <v/>
      </c>
      <c r="H114" s="14">
        <f>-$B$3*$B$5*SIN(C114)</f>
        <v/>
      </c>
      <c r="I114" s="14">
        <f>$B$3*$B$5*COS(C114)</f>
        <v/>
      </c>
      <c r="J114" s="14">
        <f>H114*COS(G114) + I114*SIN(G114)</f>
        <v/>
      </c>
      <c r="K114" s="14">
        <f>(-H114*SIN(G114) + I114*COS(G114))/F114</f>
        <v/>
      </c>
      <c r="L114" s="15">
        <f>2*K114*J114</f>
        <v/>
      </c>
      <c r="M114" s="14">
        <f>-K114^2*F114</f>
        <v/>
      </c>
    </row>
    <row r="115">
      <c r="A115" s="8" t="n">
        <v>104</v>
      </c>
      <c r="B115" s="9">
        <f>A115*$B$6</f>
        <v/>
      </c>
      <c r="C115" s="10">
        <f>$B$5*B115</f>
        <v/>
      </c>
      <c r="D115" s="10">
        <f>$B$3*COS(C115)</f>
        <v/>
      </c>
      <c r="E115" s="10">
        <f>$B$3*SIN(C115)</f>
        <v/>
      </c>
      <c r="F115" s="10">
        <f>SQRT(D115^2 + (E115+$B$4)^2)</f>
        <v/>
      </c>
      <c r="G115" s="10">
        <f>ATAN2(D115, E115+$B$4)</f>
        <v/>
      </c>
      <c r="H115" s="10">
        <f>-$B$3*$B$5*SIN(C115)</f>
        <v/>
      </c>
      <c r="I115" s="10">
        <f>$B$3*$B$5*COS(C115)</f>
        <v/>
      </c>
      <c r="J115" s="10">
        <f>H115*COS(G115) + I115*SIN(G115)</f>
        <v/>
      </c>
      <c r="K115" s="10">
        <f>(-H115*SIN(G115) + I115*COS(G115))/F115</f>
        <v/>
      </c>
      <c r="L115" s="11">
        <f>2*K115*J115</f>
        <v/>
      </c>
      <c r="M115" s="10">
        <f>-K115^2*F115</f>
        <v/>
      </c>
    </row>
    <row r="116">
      <c r="A116" s="12" t="n">
        <v>105</v>
      </c>
      <c r="B116" s="13">
        <f>A116*$B$6</f>
        <v/>
      </c>
      <c r="C116" s="14">
        <f>$B$5*B116</f>
        <v/>
      </c>
      <c r="D116" s="14">
        <f>$B$3*COS(C116)</f>
        <v/>
      </c>
      <c r="E116" s="14">
        <f>$B$3*SIN(C116)</f>
        <v/>
      </c>
      <c r="F116" s="14">
        <f>SQRT(D116^2 + (E116+$B$4)^2)</f>
        <v/>
      </c>
      <c r="G116" s="14">
        <f>ATAN2(D116, E116+$B$4)</f>
        <v/>
      </c>
      <c r="H116" s="14">
        <f>-$B$3*$B$5*SIN(C116)</f>
        <v/>
      </c>
      <c r="I116" s="14">
        <f>$B$3*$B$5*COS(C116)</f>
        <v/>
      </c>
      <c r="J116" s="14">
        <f>H116*COS(G116) + I116*SIN(G116)</f>
        <v/>
      </c>
      <c r="K116" s="14">
        <f>(-H116*SIN(G116) + I116*COS(G116))/F116</f>
        <v/>
      </c>
      <c r="L116" s="15">
        <f>2*K116*J116</f>
        <v/>
      </c>
      <c r="M116" s="14">
        <f>-K116^2*F116</f>
        <v/>
      </c>
    </row>
    <row r="117">
      <c r="A117" s="8" t="n">
        <v>106</v>
      </c>
      <c r="B117" s="9">
        <f>A117*$B$6</f>
        <v/>
      </c>
      <c r="C117" s="10">
        <f>$B$5*B117</f>
        <v/>
      </c>
      <c r="D117" s="10">
        <f>$B$3*COS(C117)</f>
        <v/>
      </c>
      <c r="E117" s="10">
        <f>$B$3*SIN(C117)</f>
        <v/>
      </c>
      <c r="F117" s="10">
        <f>SQRT(D117^2 + (E117+$B$4)^2)</f>
        <v/>
      </c>
      <c r="G117" s="10">
        <f>ATAN2(D117, E117+$B$4)</f>
        <v/>
      </c>
      <c r="H117" s="10">
        <f>-$B$3*$B$5*SIN(C117)</f>
        <v/>
      </c>
      <c r="I117" s="10">
        <f>$B$3*$B$5*COS(C117)</f>
        <v/>
      </c>
      <c r="J117" s="10">
        <f>H117*COS(G117) + I117*SIN(G117)</f>
        <v/>
      </c>
      <c r="K117" s="10">
        <f>(-H117*SIN(G117) + I117*COS(G117))/F117</f>
        <v/>
      </c>
      <c r="L117" s="11">
        <f>2*K117*J117</f>
        <v/>
      </c>
      <c r="M117" s="10">
        <f>-K117^2*F117</f>
        <v/>
      </c>
    </row>
    <row r="118">
      <c r="A118" s="12" t="n">
        <v>107</v>
      </c>
      <c r="B118" s="13">
        <f>A118*$B$6</f>
        <v/>
      </c>
      <c r="C118" s="14">
        <f>$B$5*B118</f>
        <v/>
      </c>
      <c r="D118" s="14">
        <f>$B$3*COS(C118)</f>
        <v/>
      </c>
      <c r="E118" s="14">
        <f>$B$3*SIN(C118)</f>
        <v/>
      </c>
      <c r="F118" s="14">
        <f>SQRT(D118^2 + (E118+$B$4)^2)</f>
        <v/>
      </c>
      <c r="G118" s="14">
        <f>ATAN2(D118, E118+$B$4)</f>
        <v/>
      </c>
      <c r="H118" s="14">
        <f>-$B$3*$B$5*SIN(C118)</f>
        <v/>
      </c>
      <c r="I118" s="14">
        <f>$B$3*$B$5*COS(C118)</f>
        <v/>
      </c>
      <c r="J118" s="14">
        <f>H118*COS(G118) + I118*SIN(G118)</f>
        <v/>
      </c>
      <c r="K118" s="14">
        <f>(-H118*SIN(G118) + I118*COS(G118))/F118</f>
        <v/>
      </c>
      <c r="L118" s="15">
        <f>2*K118*J118</f>
        <v/>
      </c>
      <c r="M118" s="14">
        <f>-K118^2*F118</f>
        <v/>
      </c>
    </row>
    <row r="119">
      <c r="A119" s="8" t="n">
        <v>108</v>
      </c>
      <c r="B119" s="9">
        <f>A119*$B$6</f>
        <v/>
      </c>
      <c r="C119" s="10">
        <f>$B$5*B119</f>
        <v/>
      </c>
      <c r="D119" s="10">
        <f>$B$3*COS(C119)</f>
        <v/>
      </c>
      <c r="E119" s="10">
        <f>$B$3*SIN(C119)</f>
        <v/>
      </c>
      <c r="F119" s="10">
        <f>SQRT(D119^2 + (E119+$B$4)^2)</f>
        <v/>
      </c>
      <c r="G119" s="10">
        <f>ATAN2(D119, E119+$B$4)</f>
        <v/>
      </c>
      <c r="H119" s="10">
        <f>-$B$3*$B$5*SIN(C119)</f>
        <v/>
      </c>
      <c r="I119" s="10">
        <f>$B$3*$B$5*COS(C119)</f>
        <v/>
      </c>
      <c r="J119" s="10">
        <f>H119*COS(G119) + I119*SIN(G119)</f>
        <v/>
      </c>
      <c r="K119" s="10">
        <f>(-H119*SIN(G119) + I119*COS(G119))/F119</f>
        <v/>
      </c>
      <c r="L119" s="11">
        <f>2*K119*J119</f>
        <v/>
      </c>
      <c r="M119" s="10">
        <f>-K119^2*F119</f>
        <v/>
      </c>
    </row>
    <row r="120">
      <c r="A120" s="12" t="n">
        <v>109</v>
      </c>
      <c r="B120" s="13">
        <f>A120*$B$6</f>
        <v/>
      </c>
      <c r="C120" s="14">
        <f>$B$5*B120</f>
        <v/>
      </c>
      <c r="D120" s="14">
        <f>$B$3*COS(C120)</f>
        <v/>
      </c>
      <c r="E120" s="14">
        <f>$B$3*SIN(C120)</f>
        <v/>
      </c>
      <c r="F120" s="14">
        <f>SQRT(D120^2 + (E120+$B$4)^2)</f>
        <v/>
      </c>
      <c r="G120" s="14">
        <f>ATAN2(D120, E120+$B$4)</f>
        <v/>
      </c>
      <c r="H120" s="14">
        <f>-$B$3*$B$5*SIN(C120)</f>
        <v/>
      </c>
      <c r="I120" s="14">
        <f>$B$3*$B$5*COS(C120)</f>
        <v/>
      </c>
      <c r="J120" s="14">
        <f>H120*COS(G120) + I120*SIN(G120)</f>
        <v/>
      </c>
      <c r="K120" s="14">
        <f>(-H120*SIN(G120) + I120*COS(G120))/F120</f>
        <v/>
      </c>
      <c r="L120" s="15">
        <f>2*K120*J120</f>
        <v/>
      </c>
      <c r="M120" s="14">
        <f>-K120^2*F120</f>
        <v/>
      </c>
    </row>
    <row r="121">
      <c r="A121" s="8" t="n">
        <v>110</v>
      </c>
      <c r="B121" s="9">
        <f>A121*$B$6</f>
        <v/>
      </c>
      <c r="C121" s="10">
        <f>$B$5*B121</f>
        <v/>
      </c>
      <c r="D121" s="10">
        <f>$B$3*COS(C121)</f>
        <v/>
      </c>
      <c r="E121" s="10">
        <f>$B$3*SIN(C121)</f>
        <v/>
      </c>
      <c r="F121" s="10">
        <f>SQRT(D121^2 + (E121+$B$4)^2)</f>
        <v/>
      </c>
      <c r="G121" s="10">
        <f>ATAN2(D121, E121+$B$4)</f>
        <v/>
      </c>
      <c r="H121" s="10">
        <f>-$B$3*$B$5*SIN(C121)</f>
        <v/>
      </c>
      <c r="I121" s="10">
        <f>$B$3*$B$5*COS(C121)</f>
        <v/>
      </c>
      <c r="J121" s="10">
        <f>H121*COS(G121) + I121*SIN(G121)</f>
        <v/>
      </c>
      <c r="K121" s="10">
        <f>(-H121*SIN(G121) + I121*COS(G121))/F121</f>
        <v/>
      </c>
      <c r="L121" s="11">
        <f>2*K121*J121</f>
        <v/>
      </c>
      <c r="M121" s="10">
        <f>-K121^2*F121</f>
        <v/>
      </c>
    </row>
    <row r="122">
      <c r="A122" s="12" t="n">
        <v>111</v>
      </c>
      <c r="B122" s="13">
        <f>A122*$B$6</f>
        <v/>
      </c>
      <c r="C122" s="14">
        <f>$B$5*B122</f>
        <v/>
      </c>
      <c r="D122" s="14">
        <f>$B$3*COS(C122)</f>
        <v/>
      </c>
      <c r="E122" s="14">
        <f>$B$3*SIN(C122)</f>
        <v/>
      </c>
      <c r="F122" s="14">
        <f>SQRT(D122^2 + (E122+$B$4)^2)</f>
        <v/>
      </c>
      <c r="G122" s="14">
        <f>ATAN2(D122, E122+$B$4)</f>
        <v/>
      </c>
      <c r="H122" s="14">
        <f>-$B$3*$B$5*SIN(C122)</f>
        <v/>
      </c>
      <c r="I122" s="14">
        <f>$B$3*$B$5*COS(C122)</f>
        <v/>
      </c>
      <c r="J122" s="14">
        <f>H122*COS(G122) + I122*SIN(G122)</f>
        <v/>
      </c>
      <c r="K122" s="14">
        <f>(-H122*SIN(G122) + I122*COS(G122))/F122</f>
        <v/>
      </c>
      <c r="L122" s="15">
        <f>2*K122*J122</f>
        <v/>
      </c>
      <c r="M122" s="14">
        <f>-K122^2*F122</f>
        <v/>
      </c>
    </row>
    <row r="123">
      <c r="A123" s="8" t="n">
        <v>112</v>
      </c>
      <c r="B123" s="9">
        <f>A123*$B$6</f>
        <v/>
      </c>
      <c r="C123" s="10">
        <f>$B$5*B123</f>
        <v/>
      </c>
      <c r="D123" s="10">
        <f>$B$3*COS(C123)</f>
        <v/>
      </c>
      <c r="E123" s="10">
        <f>$B$3*SIN(C123)</f>
        <v/>
      </c>
      <c r="F123" s="10">
        <f>SQRT(D123^2 + (E123+$B$4)^2)</f>
        <v/>
      </c>
      <c r="G123" s="10">
        <f>ATAN2(D123, E123+$B$4)</f>
        <v/>
      </c>
      <c r="H123" s="10">
        <f>-$B$3*$B$5*SIN(C123)</f>
        <v/>
      </c>
      <c r="I123" s="10">
        <f>$B$3*$B$5*COS(C123)</f>
        <v/>
      </c>
      <c r="J123" s="10">
        <f>H123*COS(G123) + I123*SIN(G123)</f>
        <v/>
      </c>
      <c r="K123" s="10">
        <f>(-H123*SIN(G123) + I123*COS(G123))/F123</f>
        <v/>
      </c>
      <c r="L123" s="11">
        <f>2*K123*J123</f>
        <v/>
      </c>
      <c r="M123" s="10">
        <f>-K123^2*F123</f>
        <v/>
      </c>
    </row>
    <row r="124">
      <c r="A124" s="12" t="n">
        <v>113</v>
      </c>
      <c r="B124" s="13">
        <f>A124*$B$6</f>
        <v/>
      </c>
      <c r="C124" s="14">
        <f>$B$5*B124</f>
        <v/>
      </c>
      <c r="D124" s="14">
        <f>$B$3*COS(C124)</f>
        <v/>
      </c>
      <c r="E124" s="14">
        <f>$B$3*SIN(C124)</f>
        <v/>
      </c>
      <c r="F124" s="14">
        <f>SQRT(D124^2 + (E124+$B$4)^2)</f>
        <v/>
      </c>
      <c r="G124" s="14">
        <f>ATAN2(D124, E124+$B$4)</f>
        <v/>
      </c>
      <c r="H124" s="14">
        <f>-$B$3*$B$5*SIN(C124)</f>
        <v/>
      </c>
      <c r="I124" s="14">
        <f>$B$3*$B$5*COS(C124)</f>
        <v/>
      </c>
      <c r="J124" s="14">
        <f>H124*COS(G124) + I124*SIN(G124)</f>
        <v/>
      </c>
      <c r="K124" s="14">
        <f>(-H124*SIN(G124) + I124*COS(G124))/F124</f>
        <v/>
      </c>
      <c r="L124" s="15">
        <f>2*K124*J124</f>
        <v/>
      </c>
      <c r="M124" s="14">
        <f>-K124^2*F124</f>
        <v/>
      </c>
    </row>
    <row r="125">
      <c r="A125" s="8" t="n">
        <v>114</v>
      </c>
      <c r="B125" s="9">
        <f>A125*$B$6</f>
        <v/>
      </c>
      <c r="C125" s="10">
        <f>$B$5*B125</f>
        <v/>
      </c>
      <c r="D125" s="10">
        <f>$B$3*COS(C125)</f>
        <v/>
      </c>
      <c r="E125" s="10">
        <f>$B$3*SIN(C125)</f>
        <v/>
      </c>
      <c r="F125" s="10">
        <f>SQRT(D125^2 + (E125+$B$4)^2)</f>
        <v/>
      </c>
      <c r="G125" s="10">
        <f>ATAN2(D125, E125+$B$4)</f>
        <v/>
      </c>
      <c r="H125" s="10">
        <f>-$B$3*$B$5*SIN(C125)</f>
        <v/>
      </c>
      <c r="I125" s="10">
        <f>$B$3*$B$5*COS(C125)</f>
        <v/>
      </c>
      <c r="J125" s="10">
        <f>H125*COS(G125) + I125*SIN(G125)</f>
        <v/>
      </c>
      <c r="K125" s="10">
        <f>(-H125*SIN(G125) + I125*COS(G125))/F125</f>
        <v/>
      </c>
      <c r="L125" s="11">
        <f>2*K125*J125</f>
        <v/>
      </c>
      <c r="M125" s="10">
        <f>-K125^2*F125</f>
        <v/>
      </c>
    </row>
    <row r="126">
      <c r="A126" s="12" t="n">
        <v>115</v>
      </c>
      <c r="B126" s="13">
        <f>A126*$B$6</f>
        <v/>
      </c>
      <c r="C126" s="14">
        <f>$B$5*B126</f>
        <v/>
      </c>
      <c r="D126" s="14">
        <f>$B$3*COS(C126)</f>
        <v/>
      </c>
      <c r="E126" s="14">
        <f>$B$3*SIN(C126)</f>
        <v/>
      </c>
      <c r="F126" s="14">
        <f>SQRT(D126^2 + (E126+$B$4)^2)</f>
        <v/>
      </c>
      <c r="G126" s="14">
        <f>ATAN2(D126, E126+$B$4)</f>
        <v/>
      </c>
      <c r="H126" s="14">
        <f>-$B$3*$B$5*SIN(C126)</f>
        <v/>
      </c>
      <c r="I126" s="14">
        <f>$B$3*$B$5*COS(C126)</f>
        <v/>
      </c>
      <c r="J126" s="14">
        <f>H126*COS(G126) + I126*SIN(G126)</f>
        <v/>
      </c>
      <c r="K126" s="14">
        <f>(-H126*SIN(G126) + I126*COS(G126))/F126</f>
        <v/>
      </c>
      <c r="L126" s="15">
        <f>2*K126*J126</f>
        <v/>
      </c>
      <c r="M126" s="14">
        <f>-K126^2*F126</f>
        <v/>
      </c>
    </row>
    <row r="127">
      <c r="A127" s="8" t="n">
        <v>116</v>
      </c>
      <c r="B127" s="9">
        <f>A127*$B$6</f>
        <v/>
      </c>
      <c r="C127" s="10">
        <f>$B$5*B127</f>
        <v/>
      </c>
      <c r="D127" s="10">
        <f>$B$3*COS(C127)</f>
        <v/>
      </c>
      <c r="E127" s="10">
        <f>$B$3*SIN(C127)</f>
        <v/>
      </c>
      <c r="F127" s="10">
        <f>SQRT(D127^2 + (E127+$B$4)^2)</f>
        <v/>
      </c>
      <c r="G127" s="10">
        <f>ATAN2(D127, E127+$B$4)</f>
        <v/>
      </c>
      <c r="H127" s="10">
        <f>-$B$3*$B$5*SIN(C127)</f>
        <v/>
      </c>
      <c r="I127" s="10">
        <f>$B$3*$B$5*COS(C127)</f>
        <v/>
      </c>
      <c r="J127" s="10">
        <f>H127*COS(G127) + I127*SIN(G127)</f>
        <v/>
      </c>
      <c r="K127" s="10">
        <f>(-H127*SIN(G127) + I127*COS(G127))/F127</f>
        <v/>
      </c>
      <c r="L127" s="11">
        <f>2*K127*J127</f>
        <v/>
      </c>
      <c r="M127" s="10">
        <f>-K127^2*F127</f>
        <v/>
      </c>
    </row>
    <row r="128">
      <c r="A128" s="12" t="n">
        <v>117</v>
      </c>
      <c r="B128" s="13">
        <f>A128*$B$6</f>
        <v/>
      </c>
      <c r="C128" s="14">
        <f>$B$5*B128</f>
        <v/>
      </c>
      <c r="D128" s="14">
        <f>$B$3*COS(C128)</f>
        <v/>
      </c>
      <c r="E128" s="14">
        <f>$B$3*SIN(C128)</f>
        <v/>
      </c>
      <c r="F128" s="14">
        <f>SQRT(D128^2 + (E128+$B$4)^2)</f>
        <v/>
      </c>
      <c r="G128" s="14">
        <f>ATAN2(D128, E128+$B$4)</f>
        <v/>
      </c>
      <c r="H128" s="14">
        <f>-$B$3*$B$5*SIN(C128)</f>
        <v/>
      </c>
      <c r="I128" s="14">
        <f>$B$3*$B$5*COS(C128)</f>
        <v/>
      </c>
      <c r="J128" s="14">
        <f>H128*COS(G128) + I128*SIN(G128)</f>
        <v/>
      </c>
      <c r="K128" s="14">
        <f>(-H128*SIN(G128) + I128*COS(G128))/F128</f>
        <v/>
      </c>
      <c r="L128" s="15">
        <f>2*K128*J128</f>
        <v/>
      </c>
      <c r="M128" s="14">
        <f>-K128^2*F128</f>
        <v/>
      </c>
    </row>
    <row r="129">
      <c r="A129" s="8" t="n">
        <v>118</v>
      </c>
      <c r="B129" s="9">
        <f>A129*$B$6</f>
        <v/>
      </c>
      <c r="C129" s="10">
        <f>$B$5*B129</f>
        <v/>
      </c>
      <c r="D129" s="10">
        <f>$B$3*COS(C129)</f>
        <v/>
      </c>
      <c r="E129" s="10">
        <f>$B$3*SIN(C129)</f>
        <v/>
      </c>
      <c r="F129" s="10">
        <f>SQRT(D129^2 + (E129+$B$4)^2)</f>
        <v/>
      </c>
      <c r="G129" s="10">
        <f>ATAN2(D129, E129+$B$4)</f>
        <v/>
      </c>
      <c r="H129" s="10">
        <f>-$B$3*$B$5*SIN(C129)</f>
        <v/>
      </c>
      <c r="I129" s="10">
        <f>$B$3*$B$5*COS(C129)</f>
        <v/>
      </c>
      <c r="J129" s="10">
        <f>H129*COS(G129) + I129*SIN(G129)</f>
        <v/>
      </c>
      <c r="K129" s="10">
        <f>(-H129*SIN(G129) + I129*COS(G129))/F129</f>
        <v/>
      </c>
      <c r="L129" s="11">
        <f>2*K129*J129</f>
        <v/>
      </c>
      <c r="M129" s="10">
        <f>-K129^2*F129</f>
        <v/>
      </c>
    </row>
    <row r="130">
      <c r="A130" s="12" t="n">
        <v>119</v>
      </c>
      <c r="B130" s="13">
        <f>A130*$B$6</f>
        <v/>
      </c>
      <c r="C130" s="14">
        <f>$B$5*B130</f>
        <v/>
      </c>
      <c r="D130" s="14">
        <f>$B$3*COS(C130)</f>
        <v/>
      </c>
      <c r="E130" s="14">
        <f>$B$3*SIN(C130)</f>
        <v/>
      </c>
      <c r="F130" s="14">
        <f>SQRT(D130^2 + (E130+$B$4)^2)</f>
        <v/>
      </c>
      <c r="G130" s="14">
        <f>ATAN2(D130, E130+$B$4)</f>
        <v/>
      </c>
      <c r="H130" s="14">
        <f>-$B$3*$B$5*SIN(C130)</f>
        <v/>
      </c>
      <c r="I130" s="14">
        <f>$B$3*$B$5*COS(C130)</f>
        <v/>
      </c>
      <c r="J130" s="14">
        <f>H130*COS(G130) + I130*SIN(G130)</f>
        <v/>
      </c>
      <c r="K130" s="14">
        <f>(-H130*SIN(G130) + I130*COS(G130))/F130</f>
        <v/>
      </c>
      <c r="L130" s="15">
        <f>2*K130*J130</f>
        <v/>
      </c>
      <c r="M130" s="14">
        <f>-K130^2*F130</f>
        <v/>
      </c>
    </row>
    <row r="131">
      <c r="A131" s="8" t="n">
        <v>120</v>
      </c>
      <c r="B131" s="9">
        <f>A131*$B$6</f>
        <v/>
      </c>
      <c r="C131" s="10">
        <f>$B$5*B131</f>
        <v/>
      </c>
      <c r="D131" s="10">
        <f>$B$3*COS(C131)</f>
        <v/>
      </c>
      <c r="E131" s="10">
        <f>$B$3*SIN(C131)</f>
        <v/>
      </c>
      <c r="F131" s="10">
        <f>SQRT(D131^2 + (E131+$B$4)^2)</f>
        <v/>
      </c>
      <c r="G131" s="10">
        <f>ATAN2(D131, E131+$B$4)</f>
        <v/>
      </c>
      <c r="H131" s="10">
        <f>-$B$3*$B$5*SIN(C131)</f>
        <v/>
      </c>
      <c r="I131" s="10">
        <f>$B$3*$B$5*COS(C131)</f>
        <v/>
      </c>
      <c r="J131" s="10">
        <f>H131*COS(G131) + I131*SIN(G131)</f>
        <v/>
      </c>
      <c r="K131" s="10">
        <f>(-H131*SIN(G131) + I131*COS(G131))/F131</f>
        <v/>
      </c>
      <c r="L131" s="11">
        <f>2*K131*J131</f>
        <v/>
      </c>
      <c r="M131" s="10">
        <f>-K131^2*F131</f>
        <v/>
      </c>
    </row>
    <row r="132">
      <c r="A132" s="12" t="n">
        <v>121</v>
      </c>
      <c r="B132" s="13">
        <f>A132*$B$6</f>
        <v/>
      </c>
      <c r="C132" s="14">
        <f>$B$5*B132</f>
        <v/>
      </c>
      <c r="D132" s="14">
        <f>$B$3*COS(C132)</f>
        <v/>
      </c>
      <c r="E132" s="14">
        <f>$B$3*SIN(C132)</f>
        <v/>
      </c>
      <c r="F132" s="14">
        <f>SQRT(D132^2 + (E132+$B$4)^2)</f>
        <v/>
      </c>
      <c r="G132" s="14">
        <f>ATAN2(D132, E132+$B$4)</f>
        <v/>
      </c>
      <c r="H132" s="14">
        <f>-$B$3*$B$5*SIN(C132)</f>
        <v/>
      </c>
      <c r="I132" s="14">
        <f>$B$3*$B$5*COS(C132)</f>
        <v/>
      </c>
      <c r="J132" s="14">
        <f>H132*COS(G132) + I132*SIN(G132)</f>
        <v/>
      </c>
      <c r="K132" s="14">
        <f>(-H132*SIN(G132) + I132*COS(G132))/F132</f>
        <v/>
      </c>
      <c r="L132" s="15">
        <f>2*K132*J132</f>
        <v/>
      </c>
      <c r="M132" s="14">
        <f>-K132^2*F132</f>
        <v/>
      </c>
    </row>
    <row r="133">
      <c r="A133" s="8" t="n">
        <v>122</v>
      </c>
      <c r="B133" s="9">
        <f>A133*$B$6</f>
        <v/>
      </c>
      <c r="C133" s="10">
        <f>$B$5*B133</f>
        <v/>
      </c>
      <c r="D133" s="10">
        <f>$B$3*COS(C133)</f>
        <v/>
      </c>
      <c r="E133" s="10">
        <f>$B$3*SIN(C133)</f>
        <v/>
      </c>
      <c r="F133" s="10">
        <f>SQRT(D133^2 + (E133+$B$4)^2)</f>
        <v/>
      </c>
      <c r="G133" s="10">
        <f>ATAN2(D133, E133+$B$4)</f>
        <v/>
      </c>
      <c r="H133" s="10">
        <f>-$B$3*$B$5*SIN(C133)</f>
        <v/>
      </c>
      <c r="I133" s="10">
        <f>$B$3*$B$5*COS(C133)</f>
        <v/>
      </c>
      <c r="J133" s="10">
        <f>H133*COS(G133) + I133*SIN(G133)</f>
        <v/>
      </c>
      <c r="K133" s="10">
        <f>(-H133*SIN(G133) + I133*COS(G133))/F133</f>
        <v/>
      </c>
      <c r="L133" s="11">
        <f>2*K133*J133</f>
        <v/>
      </c>
      <c r="M133" s="10">
        <f>-K133^2*F133</f>
        <v/>
      </c>
    </row>
    <row r="134">
      <c r="A134" s="12" t="n">
        <v>123</v>
      </c>
      <c r="B134" s="13">
        <f>A134*$B$6</f>
        <v/>
      </c>
      <c r="C134" s="14">
        <f>$B$5*B134</f>
        <v/>
      </c>
      <c r="D134" s="14">
        <f>$B$3*COS(C134)</f>
        <v/>
      </c>
      <c r="E134" s="14">
        <f>$B$3*SIN(C134)</f>
        <v/>
      </c>
      <c r="F134" s="14">
        <f>SQRT(D134^2 + (E134+$B$4)^2)</f>
        <v/>
      </c>
      <c r="G134" s="14">
        <f>ATAN2(D134, E134+$B$4)</f>
        <v/>
      </c>
      <c r="H134" s="14">
        <f>-$B$3*$B$5*SIN(C134)</f>
        <v/>
      </c>
      <c r="I134" s="14">
        <f>$B$3*$B$5*COS(C134)</f>
        <v/>
      </c>
      <c r="J134" s="14">
        <f>H134*COS(G134) + I134*SIN(G134)</f>
        <v/>
      </c>
      <c r="K134" s="14">
        <f>(-H134*SIN(G134) + I134*COS(G134))/F134</f>
        <v/>
      </c>
      <c r="L134" s="15">
        <f>2*K134*J134</f>
        <v/>
      </c>
      <c r="M134" s="14">
        <f>-K134^2*F134</f>
        <v/>
      </c>
    </row>
    <row r="135">
      <c r="A135" s="8" t="n">
        <v>124</v>
      </c>
      <c r="B135" s="9">
        <f>A135*$B$6</f>
        <v/>
      </c>
      <c r="C135" s="10">
        <f>$B$5*B135</f>
        <v/>
      </c>
      <c r="D135" s="10">
        <f>$B$3*COS(C135)</f>
        <v/>
      </c>
      <c r="E135" s="10">
        <f>$B$3*SIN(C135)</f>
        <v/>
      </c>
      <c r="F135" s="10">
        <f>SQRT(D135^2 + (E135+$B$4)^2)</f>
        <v/>
      </c>
      <c r="G135" s="10">
        <f>ATAN2(D135, E135+$B$4)</f>
        <v/>
      </c>
      <c r="H135" s="10">
        <f>-$B$3*$B$5*SIN(C135)</f>
        <v/>
      </c>
      <c r="I135" s="10">
        <f>$B$3*$B$5*COS(C135)</f>
        <v/>
      </c>
      <c r="J135" s="10">
        <f>H135*COS(G135) + I135*SIN(G135)</f>
        <v/>
      </c>
      <c r="K135" s="10">
        <f>(-H135*SIN(G135) + I135*COS(G135))/F135</f>
        <v/>
      </c>
      <c r="L135" s="11">
        <f>2*K135*J135</f>
        <v/>
      </c>
      <c r="M135" s="10">
        <f>-K135^2*F135</f>
        <v/>
      </c>
    </row>
    <row r="136">
      <c r="A136" s="12" t="n">
        <v>125</v>
      </c>
      <c r="B136" s="13">
        <f>A136*$B$6</f>
        <v/>
      </c>
      <c r="C136" s="14">
        <f>$B$5*B136</f>
        <v/>
      </c>
      <c r="D136" s="14">
        <f>$B$3*COS(C136)</f>
        <v/>
      </c>
      <c r="E136" s="14">
        <f>$B$3*SIN(C136)</f>
        <v/>
      </c>
      <c r="F136" s="14">
        <f>SQRT(D136^2 + (E136+$B$4)^2)</f>
        <v/>
      </c>
      <c r="G136" s="14">
        <f>ATAN2(D136, E136+$B$4)</f>
        <v/>
      </c>
      <c r="H136" s="14">
        <f>-$B$3*$B$5*SIN(C136)</f>
        <v/>
      </c>
      <c r="I136" s="14">
        <f>$B$3*$B$5*COS(C136)</f>
        <v/>
      </c>
      <c r="J136" s="14">
        <f>H136*COS(G136) + I136*SIN(G136)</f>
        <v/>
      </c>
      <c r="K136" s="14">
        <f>(-H136*SIN(G136) + I136*COS(G136))/F136</f>
        <v/>
      </c>
      <c r="L136" s="15">
        <f>2*K136*J136</f>
        <v/>
      </c>
      <c r="M136" s="14">
        <f>-K136^2*F136</f>
        <v/>
      </c>
    </row>
    <row r="137">
      <c r="A137" s="8" t="n">
        <v>126</v>
      </c>
      <c r="B137" s="9">
        <f>A137*$B$6</f>
        <v/>
      </c>
      <c r="C137" s="10">
        <f>$B$5*B137</f>
        <v/>
      </c>
      <c r="D137" s="10">
        <f>$B$3*COS(C137)</f>
        <v/>
      </c>
      <c r="E137" s="10">
        <f>$B$3*SIN(C137)</f>
        <v/>
      </c>
      <c r="F137" s="10">
        <f>SQRT(D137^2 + (E137+$B$4)^2)</f>
        <v/>
      </c>
      <c r="G137" s="10">
        <f>ATAN2(D137, E137+$B$4)</f>
        <v/>
      </c>
      <c r="H137" s="10">
        <f>-$B$3*$B$5*SIN(C137)</f>
        <v/>
      </c>
      <c r="I137" s="10">
        <f>$B$3*$B$5*COS(C137)</f>
        <v/>
      </c>
      <c r="J137" s="10">
        <f>H137*COS(G137) + I137*SIN(G137)</f>
        <v/>
      </c>
      <c r="K137" s="10">
        <f>(-H137*SIN(G137) + I137*COS(G137))/F137</f>
        <v/>
      </c>
      <c r="L137" s="11">
        <f>2*K137*J137</f>
        <v/>
      </c>
      <c r="M137" s="10">
        <f>-K137^2*F137</f>
        <v/>
      </c>
    </row>
    <row r="138">
      <c r="A138" s="12" t="n">
        <v>127</v>
      </c>
      <c r="B138" s="13">
        <f>A138*$B$6</f>
        <v/>
      </c>
      <c r="C138" s="14">
        <f>$B$5*B138</f>
        <v/>
      </c>
      <c r="D138" s="14">
        <f>$B$3*COS(C138)</f>
        <v/>
      </c>
      <c r="E138" s="14">
        <f>$B$3*SIN(C138)</f>
        <v/>
      </c>
      <c r="F138" s="14">
        <f>SQRT(D138^2 + (E138+$B$4)^2)</f>
        <v/>
      </c>
      <c r="G138" s="14">
        <f>ATAN2(D138, E138+$B$4)</f>
        <v/>
      </c>
      <c r="H138" s="14">
        <f>-$B$3*$B$5*SIN(C138)</f>
        <v/>
      </c>
      <c r="I138" s="14">
        <f>$B$3*$B$5*COS(C138)</f>
        <v/>
      </c>
      <c r="J138" s="14">
        <f>H138*COS(G138) + I138*SIN(G138)</f>
        <v/>
      </c>
      <c r="K138" s="14">
        <f>(-H138*SIN(G138) + I138*COS(G138))/F138</f>
        <v/>
      </c>
      <c r="L138" s="15">
        <f>2*K138*J138</f>
        <v/>
      </c>
      <c r="M138" s="14">
        <f>-K138^2*F138</f>
        <v/>
      </c>
    </row>
    <row r="139">
      <c r="A139" s="8" t="n">
        <v>128</v>
      </c>
      <c r="B139" s="9">
        <f>A139*$B$6</f>
        <v/>
      </c>
      <c r="C139" s="10">
        <f>$B$5*B139</f>
        <v/>
      </c>
      <c r="D139" s="10">
        <f>$B$3*COS(C139)</f>
        <v/>
      </c>
      <c r="E139" s="10">
        <f>$B$3*SIN(C139)</f>
        <v/>
      </c>
      <c r="F139" s="10">
        <f>SQRT(D139^2 + (E139+$B$4)^2)</f>
        <v/>
      </c>
      <c r="G139" s="10">
        <f>ATAN2(D139, E139+$B$4)</f>
        <v/>
      </c>
      <c r="H139" s="10">
        <f>-$B$3*$B$5*SIN(C139)</f>
        <v/>
      </c>
      <c r="I139" s="10">
        <f>$B$3*$B$5*COS(C139)</f>
        <v/>
      </c>
      <c r="J139" s="10">
        <f>H139*COS(G139) + I139*SIN(G139)</f>
        <v/>
      </c>
      <c r="K139" s="10">
        <f>(-H139*SIN(G139) + I139*COS(G139))/F139</f>
        <v/>
      </c>
      <c r="L139" s="11">
        <f>2*K139*J139</f>
        <v/>
      </c>
      <c r="M139" s="10">
        <f>-K139^2*F139</f>
        <v/>
      </c>
    </row>
    <row r="140">
      <c r="A140" s="12" t="n">
        <v>129</v>
      </c>
      <c r="B140" s="13">
        <f>A140*$B$6</f>
        <v/>
      </c>
      <c r="C140" s="14">
        <f>$B$5*B140</f>
        <v/>
      </c>
      <c r="D140" s="14">
        <f>$B$3*COS(C140)</f>
        <v/>
      </c>
      <c r="E140" s="14">
        <f>$B$3*SIN(C140)</f>
        <v/>
      </c>
      <c r="F140" s="14">
        <f>SQRT(D140^2 + (E140+$B$4)^2)</f>
        <v/>
      </c>
      <c r="G140" s="14">
        <f>ATAN2(D140, E140+$B$4)</f>
        <v/>
      </c>
      <c r="H140" s="14">
        <f>-$B$3*$B$5*SIN(C140)</f>
        <v/>
      </c>
      <c r="I140" s="14">
        <f>$B$3*$B$5*COS(C140)</f>
        <v/>
      </c>
      <c r="J140" s="14">
        <f>H140*COS(G140) + I140*SIN(G140)</f>
        <v/>
      </c>
      <c r="K140" s="14">
        <f>(-H140*SIN(G140) + I140*COS(G140))/F140</f>
        <v/>
      </c>
      <c r="L140" s="15">
        <f>2*K140*J140</f>
        <v/>
      </c>
      <c r="M140" s="14">
        <f>-K140^2*F140</f>
        <v/>
      </c>
    </row>
    <row r="141">
      <c r="A141" s="8" t="n">
        <v>130</v>
      </c>
      <c r="B141" s="9">
        <f>A141*$B$6</f>
        <v/>
      </c>
      <c r="C141" s="10">
        <f>$B$5*B141</f>
        <v/>
      </c>
      <c r="D141" s="10">
        <f>$B$3*COS(C141)</f>
        <v/>
      </c>
      <c r="E141" s="10">
        <f>$B$3*SIN(C141)</f>
        <v/>
      </c>
      <c r="F141" s="10">
        <f>SQRT(D141^2 + (E141+$B$4)^2)</f>
        <v/>
      </c>
      <c r="G141" s="10">
        <f>ATAN2(D141, E141+$B$4)</f>
        <v/>
      </c>
      <c r="H141" s="10">
        <f>-$B$3*$B$5*SIN(C141)</f>
        <v/>
      </c>
      <c r="I141" s="10">
        <f>$B$3*$B$5*COS(C141)</f>
        <v/>
      </c>
      <c r="J141" s="10">
        <f>H141*COS(G141) + I141*SIN(G141)</f>
        <v/>
      </c>
      <c r="K141" s="10">
        <f>(-H141*SIN(G141) + I141*COS(G141))/F141</f>
        <v/>
      </c>
      <c r="L141" s="11">
        <f>2*K141*J141</f>
        <v/>
      </c>
      <c r="M141" s="10">
        <f>-K141^2*F141</f>
        <v/>
      </c>
    </row>
    <row r="142">
      <c r="A142" s="12" t="n">
        <v>131</v>
      </c>
      <c r="B142" s="13">
        <f>A142*$B$6</f>
        <v/>
      </c>
      <c r="C142" s="14">
        <f>$B$5*B142</f>
        <v/>
      </c>
      <c r="D142" s="14">
        <f>$B$3*COS(C142)</f>
        <v/>
      </c>
      <c r="E142" s="14">
        <f>$B$3*SIN(C142)</f>
        <v/>
      </c>
      <c r="F142" s="14">
        <f>SQRT(D142^2 + (E142+$B$4)^2)</f>
        <v/>
      </c>
      <c r="G142" s="14">
        <f>ATAN2(D142, E142+$B$4)</f>
        <v/>
      </c>
      <c r="H142" s="14">
        <f>-$B$3*$B$5*SIN(C142)</f>
        <v/>
      </c>
      <c r="I142" s="14">
        <f>$B$3*$B$5*COS(C142)</f>
        <v/>
      </c>
      <c r="J142" s="14">
        <f>H142*COS(G142) + I142*SIN(G142)</f>
        <v/>
      </c>
      <c r="K142" s="14">
        <f>(-H142*SIN(G142) + I142*COS(G142))/F142</f>
        <v/>
      </c>
      <c r="L142" s="15">
        <f>2*K142*J142</f>
        <v/>
      </c>
      <c r="M142" s="14">
        <f>-K142^2*F142</f>
        <v/>
      </c>
    </row>
    <row r="143">
      <c r="A143" s="8" t="n">
        <v>132</v>
      </c>
      <c r="B143" s="9">
        <f>A143*$B$6</f>
        <v/>
      </c>
      <c r="C143" s="10">
        <f>$B$5*B143</f>
        <v/>
      </c>
      <c r="D143" s="10">
        <f>$B$3*COS(C143)</f>
        <v/>
      </c>
      <c r="E143" s="10">
        <f>$B$3*SIN(C143)</f>
        <v/>
      </c>
      <c r="F143" s="10">
        <f>SQRT(D143^2 + (E143+$B$4)^2)</f>
        <v/>
      </c>
      <c r="G143" s="10">
        <f>ATAN2(D143, E143+$B$4)</f>
        <v/>
      </c>
      <c r="H143" s="10">
        <f>-$B$3*$B$5*SIN(C143)</f>
        <v/>
      </c>
      <c r="I143" s="10">
        <f>$B$3*$B$5*COS(C143)</f>
        <v/>
      </c>
      <c r="J143" s="10">
        <f>H143*COS(G143) + I143*SIN(G143)</f>
        <v/>
      </c>
      <c r="K143" s="10">
        <f>(-H143*SIN(G143) + I143*COS(G143))/F143</f>
        <v/>
      </c>
      <c r="L143" s="11">
        <f>2*K143*J143</f>
        <v/>
      </c>
      <c r="M143" s="10">
        <f>-K143^2*F143</f>
        <v/>
      </c>
    </row>
    <row r="144">
      <c r="A144" s="12" t="n">
        <v>133</v>
      </c>
      <c r="B144" s="13">
        <f>A144*$B$6</f>
        <v/>
      </c>
      <c r="C144" s="14">
        <f>$B$5*B144</f>
        <v/>
      </c>
      <c r="D144" s="14">
        <f>$B$3*COS(C144)</f>
        <v/>
      </c>
      <c r="E144" s="14">
        <f>$B$3*SIN(C144)</f>
        <v/>
      </c>
      <c r="F144" s="14">
        <f>SQRT(D144^2 + (E144+$B$4)^2)</f>
        <v/>
      </c>
      <c r="G144" s="14">
        <f>ATAN2(D144, E144+$B$4)</f>
        <v/>
      </c>
      <c r="H144" s="14">
        <f>-$B$3*$B$5*SIN(C144)</f>
        <v/>
      </c>
      <c r="I144" s="14">
        <f>$B$3*$B$5*COS(C144)</f>
        <v/>
      </c>
      <c r="J144" s="14">
        <f>H144*COS(G144) + I144*SIN(G144)</f>
        <v/>
      </c>
      <c r="K144" s="14">
        <f>(-H144*SIN(G144) + I144*COS(G144))/F144</f>
        <v/>
      </c>
      <c r="L144" s="15">
        <f>2*K144*J144</f>
        <v/>
      </c>
      <c r="M144" s="14">
        <f>-K144^2*F144</f>
        <v/>
      </c>
    </row>
    <row r="145">
      <c r="A145" s="8" t="n">
        <v>134</v>
      </c>
      <c r="B145" s="9">
        <f>A145*$B$6</f>
        <v/>
      </c>
      <c r="C145" s="10">
        <f>$B$5*B145</f>
        <v/>
      </c>
      <c r="D145" s="10">
        <f>$B$3*COS(C145)</f>
        <v/>
      </c>
      <c r="E145" s="10">
        <f>$B$3*SIN(C145)</f>
        <v/>
      </c>
      <c r="F145" s="10">
        <f>SQRT(D145^2 + (E145+$B$4)^2)</f>
        <v/>
      </c>
      <c r="G145" s="10">
        <f>ATAN2(D145, E145+$B$4)</f>
        <v/>
      </c>
      <c r="H145" s="10">
        <f>-$B$3*$B$5*SIN(C145)</f>
        <v/>
      </c>
      <c r="I145" s="10">
        <f>$B$3*$B$5*COS(C145)</f>
        <v/>
      </c>
      <c r="J145" s="10">
        <f>H145*COS(G145) + I145*SIN(G145)</f>
        <v/>
      </c>
      <c r="K145" s="10">
        <f>(-H145*SIN(G145) + I145*COS(G145))/F145</f>
        <v/>
      </c>
      <c r="L145" s="11">
        <f>2*K145*J145</f>
        <v/>
      </c>
      <c r="M145" s="10">
        <f>-K145^2*F145</f>
        <v/>
      </c>
    </row>
    <row r="146">
      <c r="A146" s="12" t="n">
        <v>135</v>
      </c>
      <c r="B146" s="13">
        <f>A146*$B$6</f>
        <v/>
      </c>
      <c r="C146" s="14">
        <f>$B$5*B146</f>
        <v/>
      </c>
      <c r="D146" s="14">
        <f>$B$3*COS(C146)</f>
        <v/>
      </c>
      <c r="E146" s="14">
        <f>$B$3*SIN(C146)</f>
        <v/>
      </c>
      <c r="F146" s="14">
        <f>SQRT(D146^2 + (E146+$B$4)^2)</f>
        <v/>
      </c>
      <c r="G146" s="14">
        <f>ATAN2(D146, E146+$B$4)</f>
        <v/>
      </c>
      <c r="H146" s="14">
        <f>-$B$3*$B$5*SIN(C146)</f>
        <v/>
      </c>
      <c r="I146" s="14">
        <f>$B$3*$B$5*COS(C146)</f>
        <v/>
      </c>
      <c r="J146" s="14">
        <f>H146*COS(G146) + I146*SIN(G146)</f>
        <v/>
      </c>
      <c r="K146" s="14">
        <f>(-H146*SIN(G146) + I146*COS(G146))/F146</f>
        <v/>
      </c>
      <c r="L146" s="15">
        <f>2*K146*J146</f>
        <v/>
      </c>
      <c r="M146" s="14">
        <f>-K146^2*F146</f>
        <v/>
      </c>
    </row>
    <row r="147">
      <c r="A147" s="8" t="n">
        <v>136</v>
      </c>
      <c r="B147" s="9">
        <f>A147*$B$6</f>
        <v/>
      </c>
      <c r="C147" s="10">
        <f>$B$5*B147</f>
        <v/>
      </c>
      <c r="D147" s="10">
        <f>$B$3*COS(C147)</f>
        <v/>
      </c>
      <c r="E147" s="10">
        <f>$B$3*SIN(C147)</f>
        <v/>
      </c>
      <c r="F147" s="10">
        <f>SQRT(D147^2 + (E147+$B$4)^2)</f>
        <v/>
      </c>
      <c r="G147" s="10">
        <f>ATAN2(D147, E147+$B$4)</f>
        <v/>
      </c>
      <c r="H147" s="10">
        <f>-$B$3*$B$5*SIN(C147)</f>
        <v/>
      </c>
      <c r="I147" s="10">
        <f>$B$3*$B$5*COS(C147)</f>
        <v/>
      </c>
      <c r="J147" s="10">
        <f>H147*COS(G147) + I147*SIN(G147)</f>
        <v/>
      </c>
      <c r="K147" s="10">
        <f>(-H147*SIN(G147) + I147*COS(G147))/F147</f>
        <v/>
      </c>
      <c r="L147" s="11">
        <f>2*K147*J147</f>
        <v/>
      </c>
      <c r="M147" s="10">
        <f>-K147^2*F147</f>
        <v/>
      </c>
    </row>
    <row r="148">
      <c r="A148" s="12" t="n">
        <v>137</v>
      </c>
      <c r="B148" s="13">
        <f>A148*$B$6</f>
        <v/>
      </c>
      <c r="C148" s="14">
        <f>$B$5*B148</f>
        <v/>
      </c>
      <c r="D148" s="14">
        <f>$B$3*COS(C148)</f>
        <v/>
      </c>
      <c r="E148" s="14">
        <f>$B$3*SIN(C148)</f>
        <v/>
      </c>
      <c r="F148" s="14">
        <f>SQRT(D148^2 + (E148+$B$4)^2)</f>
        <v/>
      </c>
      <c r="G148" s="14">
        <f>ATAN2(D148, E148+$B$4)</f>
        <v/>
      </c>
      <c r="H148" s="14">
        <f>-$B$3*$B$5*SIN(C148)</f>
        <v/>
      </c>
      <c r="I148" s="14">
        <f>$B$3*$B$5*COS(C148)</f>
        <v/>
      </c>
      <c r="J148" s="14">
        <f>H148*COS(G148) + I148*SIN(G148)</f>
        <v/>
      </c>
      <c r="K148" s="14">
        <f>(-H148*SIN(G148) + I148*COS(G148))/F148</f>
        <v/>
      </c>
      <c r="L148" s="15">
        <f>2*K148*J148</f>
        <v/>
      </c>
      <c r="M148" s="14">
        <f>-K148^2*F148</f>
        <v/>
      </c>
    </row>
    <row r="149">
      <c r="A149" s="8" t="n">
        <v>138</v>
      </c>
      <c r="B149" s="9">
        <f>A149*$B$6</f>
        <v/>
      </c>
      <c r="C149" s="10">
        <f>$B$5*B149</f>
        <v/>
      </c>
      <c r="D149" s="10">
        <f>$B$3*COS(C149)</f>
        <v/>
      </c>
      <c r="E149" s="10">
        <f>$B$3*SIN(C149)</f>
        <v/>
      </c>
      <c r="F149" s="10">
        <f>SQRT(D149^2 + (E149+$B$4)^2)</f>
        <v/>
      </c>
      <c r="G149" s="10">
        <f>ATAN2(D149, E149+$B$4)</f>
        <v/>
      </c>
      <c r="H149" s="10">
        <f>-$B$3*$B$5*SIN(C149)</f>
        <v/>
      </c>
      <c r="I149" s="10">
        <f>$B$3*$B$5*COS(C149)</f>
        <v/>
      </c>
      <c r="J149" s="10">
        <f>H149*COS(G149) + I149*SIN(G149)</f>
        <v/>
      </c>
      <c r="K149" s="10">
        <f>(-H149*SIN(G149) + I149*COS(G149))/F149</f>
        <v/>
      </c>
      <c r="L149" s="11">
        <f>2*K149*J149</f>
        <v/>
      </c>
      <c r="M149" s="10">
        <f>-K149^2*F149</f>
        <v/>
      </c>
    </row>
    <row r="150">
      <c r="A150" s="12" t="n">
        <v>139</v>
      </c>
      <c r="B150" s="13">
        <f>A150*$B$6</f>
        <v/>
      </c>
      <c r="C150" s="14">
        <f>$B$5*B150</f>
        <v/>
      </c>
      <c r="D150" s="14">
        <f>$B$3*COS(C150)</f>
        <v/>
      </c>
      <c r="E150" s="14">
        <f>$B$3*SIN(C150)</f>
        <v/>
      </c>
      <c r="F150" s="14">
        <f>SQRT(D150^2 + (E150+$B$4)^2)</f>
        <v/>
      </c>
      <c r="G150" s="14">
        <f>ATAN2(D150, E150+$B$4)</f>
        <v/>
      </c>
      <c r="H150" s="14">
        <f>-$B$3*$B$5*SIN(C150)</f>
        <v/>
      </c>
      <c r="I150" s="14">
        <f>$B$3*$B$5*COS(C150)</f>
        <v/>
      </c>
      <c r="J150" s="14">
        <f>H150*COS(G150) + I150*SIN(G150)</f>
        <v/>
      </c>
      <c r="K150" s="14">
        <f>(-H150*SIN(G150) + I150*COS(G150))/F150</f>
        <v/>
      </c>
      <c r="L150" s="15">
        <f>2*K150*J150</f>
        <v/>
      </c>
      <c r="M150" s="14">
        <f>-K150^2*F150</f>
        <v/>
      </c>
    </row>
    <row r="151">
      <c r="A151" s="8" t="n">
        <v>140</v>
      </c>
      <c r="B151" s="9">
        <f>A151*$B$6</f>
        <v/>
      </c>
      <c r="C151" s="10">
        <f>$B$5*B151</f>
        <v/>
      </c>
      <c r="D151" s="10">
        <f>$B$3*COS(C151)</f>
        <v/>
      </c>
      <c r="E151" s="10">
        <f>$B$3*SIN(C151)</f>
        <v/>
      </c>
      <c r="F151" s="10">
        <f>SQRT(D151^2 + (E151+$B$4)^2)</f>
        <v/>
      </c>
      <c r="G151" s="10">
        <f>ATAN2(D151, E151+$B$4)</f>
        <v/>
      </c>
      <c r="H151" s="10">
        <f>-$B$3*$B$5*SIN(C151)</f>
        <v/>
      </c>
      <c r="I151" s="10">
        <f>$B$3*$B$5*COS(C151)</f>
        <v/>
      </c>
      <c r="J151" s="10">
        <f>H151*COS(G151) + I151*SIN(G151)</f>
        <v/>
      </c>
      <c r="K151" s="10">
        <f>(-H151*SIN(G151) + I151*COS(G151))/F151</f>
        <v/>
      </c>
      <c r="L151" s="11">
        <f>2*K151*J151</f>
        <v/>
      </c>
      <c r="M151" s="10">
        <f>-K151^2*F151</f>
        <v/>
      </c>
    </row>
    <row r="152">
      <c r="A152" s="12" t="n">
        <v>141</v>
      </c>
      <c r="B152" s="13">
        <f>A152*$B$6</f>
        <v/>
      </c>
      <c r="C152" s="14">
        <f>$B$5*B152</f>
        <v/>
      </c>
      <c r="D152" s="14">
        <f>$B$3*COS(C152)</f>
        <v/>
      </c>
      <c r="E152" s="14">
        <f>$B$3*SIN(C152)</f>
        <v/>
      </c>
      <c r="F152" s="14">
        <f>SQRT(D152^2 + (E152+$B$4)^2)</f>
        <v/>
      </c>
      <c r="G152" s="14">
        <f>ATAN2(D152, E152+$B$4)</f>
        <v/>
      </c>
      <c r="H152" s="14">
        <f>-$B$3*$B$5*SIN(C152)</f>
        <v/>
      </c>
      <c r="I152" s="14">
        <f>$B$3*$B$5*COS(C152)</f>
        <v/>
      </c>
      <c r="J152" s="14">
        <f>H152*COS(G152) + I152*SIN(G152)</f>
        <v/>
      </c>
      <c r="K152" s="14">
        <f>(-H152*SIN(G152) + I152*COS(G152))/F152</f>
        <v/>
      </c>
      <c r="L152" s="15">
        <f>2*K152*J152</f>
        <v/>
      </c>
      <c r="M152" s="14">
        <f>-K152^2*F152</f>
        <v/>
      </c>
    </row>
    <row r="153">
      <c r="A153" s="8" t="n">
        <v>142</v>
      </c>
      <c r="B153" s="9">
        <f>A153*$B$6</f>
        <v/>
      </c>
      <c r="C153" s="10">
        <f>$B$5*B153</f>
        <v/>
      </c>
      <c r="D153" s="10">
        <f>$B$3*COS(C153)</f>
        <v/>
      </c>
      <c r="E153" s="10">
        <f>$B$3*SIN(C153)</f>
        <v/>
      </c>
      <c r="F153" s="10">
        <f>SQRT(D153^2 + (E153+$B$4)^2)</f>
        <v/>
      </c>
      <c r="G153" s="10">
        <f>ATAN2(D153, E153+$B$4)</f>
        <v/>
      </c>
      <c r="H153" s="10">
        <f>-$B$3*$B$5*SIN(C153)</f>
        <v/>
      </c>
      <c r="I153" s="10">
        <f>$B$3*$B$5*COS(C153)</f>
        <v/>
      </c>
      <c r="J153" s="10">
        <f>H153*COS(G153) + I153*SIN(G153)</f>
        <v/>
      </c>
      <c r="K153" s="10">
        <f>(-H153*SIN(G153) + I153*COS(G153))/F153</f>
        <v/>
      </c>
      <c r="L153" s="11">
        <f>2*K153*J153</f>
        <v/>
      </c>
      <c r="M153" s="10">
        <f>-K153^2*F153</f>
        <v/>
      </c>
    </row>
    <row r="154">
      <c r="A154" s="12" t="n">
        <v>143</v>
      </c>
      <c r="B154" s="13">
        <f>A154*$B$6</f>
        <v/>
      </c>
      <c r="C154" s="14">
        <f>$B$5*B154</f>
        <v/>
      </c>
      <c r="D154" s="14">
        <f>$B$3*COS(C154)</f>
        <v/>
      </c>
      <c r="E154" s="14">
        <f>$B$3*SIN(C154)</f>
        <v/>
      </c>
      <c r="F154" s="14">
        <f>SQRT(D154^2 + (E154+$B$4)^2)</f>
        <v/>
      </c>
      <c r="G154" s="14">
        <f>ATAN2(D154, E154+$B$4)</f>
        <v/>
      </c>
      <c r="H154" s="14">
        <f>-$B$3*$B$5*SIN(C154)</f>
        <v/>
      </c>
      <c r="I154" s="14">
        <f>$B$3*$B$5*COS(C154)</f>
        <v/>
      </c>
      <c r="J154" s="14">
        <f>H154*COS(G154) + I154*SIN(G154)</f>
        <v/>
      </c>
      <c r="K154" s="14">
        <f>(-H154*SIN(G154) + I154*COS(G154))/F154</f>
        <v/>
      </c>
      <c r="L154" s="15">
        <f>2*K154*J154</f>
        <v/>
      </c>
      <c r="M154" s="14">
        <f>-K154^2*F154</f>
        <v/>
      </c>
    </row>
    <row r="155">
      <c r="A155" s="8" t="n">
        <v>144</v>
      </c>
      <c r="B155" s="9">
        <f>A155*$B$6</f>
        <v/>
      </c>
      <c r="C155" s="10">
        <f>$B$5*B155</f>
        <v/>
      </c>
      <c r="D155" s="10">
        <f>$B$3*COS(C155)</f>
        <v/>
      </c>
      <c r="E155" s="10">
        <f>$B$3*SIN(C155)</f>
        <v/>
      </c>
      <c r="F155" s="10">
        <f>SQRT(D155^2 + (E155+$B$4)^2)</f>
        <v/>
      </c>
      <c r="G155" s="10">
        <f>ATAN2(D155, E155+$B$4)</f>
        <v/>
      </c>
      <c r="H155" s="10">
        <f>-$B$3*$B$5*SIN(C155)</f>
        <v/>
      </c>
      <c r="I155" s="10">
        <f>$B$3*$B$5*COS(C155)</f>
        <v/>
      </c>
      <c r="J155" s="10">
        <f>H155*COS(G155) + I155*SIN(G155)</f>
        <v/>
      </c>
      <c r="K155" s="10">
        <f>(-H155*SIN(G155) + I155*COS(G155))/F155</f>
        <v/>
      </c>
      <c r="L155" s="11">
        <f>2*K155*J155</f>
        <v/>
      </c>
      <c r="M155" s="10">
        <f>-K155^2*F155</f>
        <v/>
      </c>
    </row>
    <row r="156">
      <c r="A156" s="12" t="n">
        <v>145</v>
      </c>
      <c r="B156" s="13">
        <f>A156*$B$6</f>
        <v/>
      </c>
      <c r="C156" s="14">
        <f>$B$5*B156</f>
        <v/>
      </c>
      <c r="D156" s="14">
        <f>$B$3*COS(C156)</f>
        <v/>
      </c>
      <c r="E156" s="14">
        <f>$B$3*SIN(C156)</f>
        <v/>
      </c>
      <c r="F156" s="14">
        <f>SQRT(D156^2 + (E156+$B$4)^2)</f>
        <v/>
      </c>
      <c r="G156" s="14">
        <f>ATAN2(D156, E156+$B$4)</f>
        <v/>
      </c>
      <c r="H156" s="14">
        <f>-$B$3*$B$5*SIN(C156)</f>
        <v/>
      </c>
      <c r="I156" s="14">
        <f>$B$3*$B$5*COS(C156)</f>
        <v/>
      </c>
      <c r="J156" s="14">
        <f>H156*COS(G156) + I156*SIN(G156)</f>
        <v/>
      </c>
      <c r="K156" s="14">
        <f>(-H156*SIN(G156) + I156*COS(G156))/F156</f>
        <v/>
      </c>
      <c r="L156" s="15">
        <f>2*K156*J156</f>
        <v/>
      </c>
      <c r="M156" s="14">
        <f>-K156^2*F156</f>
        <v/>
      </c>
    </row>
    <row r="157">
      <c r="A157" s="8" t="n">
        <v>146</v>
      </c>
      <c r="B157" s="9">
        <f>A157*$B$6</f>
        <v/>
      </c>
      <c r="C157" s="10">
        <f>$B$5*B157</f>
        <v/>
      </c>
      <c r="D157" s="10">
        <f>$B$3*COS(C157)</f>
        <v/>
      </c>
      <c r="E157" s="10">
        <f>$B$3*SIN(C157)</f>
        <v/>
      </c>
      <c r="F157" s="10">
        <f>SQRT(D157^2 + (E157+$B$4)^2)</f>
        <v/>
      </c>
      <c r="G157" s="10">
        <f>ATAN2(D157, E157+$B$4)</f>
        <v/>
      </c>
      <c r="H157" s="10">
        <f>-$B$3*$B$5*SIN(C157)</f>
        <v/>
      </c>
      <c r="I157" s="10">
        <f>$B$3*$B$5*COS(C157)</f>
        <v/>
      </c>
      <c r="J157" s="10">
        <f>H157*COS(G157) + I157*SIN(G157)</f>
        <v/>
      </c>
      <c r="K157" s="10">
        <f>(-H157*SIN(G157) + I157*COS(G157))/F157</f>
        <v/>
      </c>
      <c r="L157" s="11">
        <f>2*K157*J157</f>
        <v/>
      </c>
      <c r="M157" s="10">
        <f>-K157^2*F157</f>
        <v/>
      </c>
    </row>
    <row r="158">
      <c r="A158" s="12" t="n">
        <v>147</v>
      </c>
      <c r="B158" s="13">
        <f>A158*$B$6</f>
        <v/>
      </c>
      <c r="C158" s="14">
        <f>$B$5*B158</f>
        <v/>
      </c>
      <c r="D158" s="14">
        <f>$B$3*COS(C158)</f>
        <v/>
      </c>
      <c r="E158" s="14">
        <f>$B$3*SIN(C158)</f>
        <v/>
      </c>
      <c r="F158" s="14">
        <f>SQRT(D158^2 + (E158+$B$4)^2)</f>
        <v/>
      </c>
      <c r="G158" s="14">
        <f>ATAN2(D158, E158+$B$4)</f>
        <v/>
      </c>
      <c r="H158" s="14">
        <f>-$B$3*$B$5*SIN(C158)</f>
        <v/>
      </c>
      <c r="I158" s="14">
        <f>$B$3*$B$5*COS(C158)</f>
        <v/>
      </c>
      <c r="J158" s="14">
        <f>H158*COS(G158) + I158*SIN(G158)</f>
        <v/>
      </c>
      <c r="K158" s="14">
        <f>(-H158*SIN(G158) + I158*COS(G158))/F158</f>
        <v/>
      </c>
      <c r="L158" s="15">
        <f>2*K158*J158</f>
        <v/>
      </c>
      <c r="M158" s="14">
        <f>-K158^2*F158</f>
        <v/>
      </c>
    </row>
    <row r="159">
      <c r="A159" s="8" t="n">
        <v>148</v>
      </c>
      <c r="B159" s="9">
        <f>A159*$B$6</f>
        <v/>
      </c>
      <c r="C159" s="10">
        <f>$B$5*B159</f>
        <v/>
      </c>
      <c r="D159" s="10">
        <f>$B$3*COS(C159)</f>
        <v/>
      </c>
      <c r="E159" s="10">
        <f>$B$3*SIN(C159)</f>
        <v/>
      </c>
      <c r="F159" s="10">
        <f>SQRT(D159^2 + (E159+$B$4)^2)</f>
        <v/>
      </c>
      <c r="G159" s="10">
        <f>ATAN2(D159, E159+$B$4)</f>
        <v/>
      </c>
      <c r="H159" s="10">
        <f>-$B$3*$B$5*SIN(C159)</f>
        <v/>
      </c>
      <c r="I159" s="10">
        <f>$B$3*$B$5*COS(C159)</f>
        <v/>
      </c>
      <c r="J159" s="10">
        <f>H159*COS(G159) + I159*SIN(G159)</f>
        <v/>
      </c>
      <c r="K159" s="10">
        <f>(-H159*SIN(G159) + I159*COS(G159))/F159</f>
        <v/>
      </c>
      <c r="L159" s="11">
        <f>2*K159*J159</f>
        <v/>
      </c>
      <c r="M159" s="10">
        <f>-K159^2*F159</f>
        <v/>
      </c>
    </row>
    <row r="160">
      <c r="A160" s="12" t="n">
        <v>149</v>
      </c>
      <c r="B160" s="13">
        <f>A160*$B$6</f>
        <v/>
      </c>
      <c r="C160" s="14">
        <f>$B$5*B160</f>
        <v/>
      </c>
      <c r="D160" s="14">
        <f>$B$3*COS(C160)</f>
        <v/>
      </c>
      <c r="E160" s="14">
        <f>$B$3*SIN(C160)</f>
        <v/>
      </c>
      <c r="F160" s="14">
        <f>SQRT(D160^2 + (E160+$B$4)^2)</f>
        <v/>
      </c>
      <c r="G160" s="14">
        <f>ATAN2(D160, E160+$B$4)</f>
        <v/>
      </c>
      <c r="H160" s="14">
        <f>-$B$3*$B$5*SIN(C160)</f>
        <v/>
      </c>
      <c r="I160" s="14">
        <f>$B$3*$B$5*COS(C160)</f>
        <v/>
      </c>
      <c r="J160" s="14">
        <f>H160*COS(G160) + I160*SIN(G160)</f>
        <v/>
      </c>
      <c r="K160" s="14">
        <f>(-H160*SIN(G160) + I160*COS(G160))/F160</f>
        <v/>
      </c>
      <c r="L160" s="15">
        <f>2*K160*J160</f>
        <v/>
      </c>
      <c r="M160" s="14">
        <f>-K160^2*F160</f>
        <v/>
      </c>
    </row>
    <row r="161">
      <c r="A161" s="8" t="n">
        <v>150</v>
      </c>
      <c r="B161" s="9">
        <f>A161*$B$6</f>
        <v/>
      </c>
      <c r="C161" s="10">
        <f>$B$5*B161</f>
        <v/>
      </c>
      <c r="D161" s="10">
        <f>$B$3*COS(C161)</f>
        <v/>
      </c>
      <c r="E161" s="10">
        <f>$B$3*SIN(C161)</f>
        <v/>
      </c>
      <c r="F161" s="10">
        <f>SQRT(D161^2 + (E161+$B$4)^2)</f>
        <v/>
      </c>
      <c r="G161" s="10">
        <f>ATAN2(D161, E161+$B$4)</f>
        <v/>
      </c>
      <c r="H161" s="10">
        <f>-$B$3*$B$5*SIN(C161)</f>
        <v/>
      </c>
      <c r="I161" s="10">
        <f>$B$3*$B$5*COS(C161)</f>
        <v/>
      </c>
      <c r="J161" s="10">
        <f>H161*COS(G161) + I161*SIN(G161)</f>
        <v/>
      </c>
      <c r="K161" s="10">
        <f>(-H161*SIN(G161) + I161*COS(G161))/F161</f>
        <v/>
      </c>
      <c r="L161" s="11">
        <f>2*K161*J161</f>
        <v/>
      </c>
      <c r="M161" s="10">
        <f>-K161^2*F161</f>
        <v/>
      </c>
    </row>
    <row r="162">
      <c r="A162" s="12" t="n">
        <v>151</v>
      </c>
      <c r="B162" s="13">
        <f>A162*$B$6</f>
        <v/>
      </c>
      <c r="C162" s="14">
        <f>$B$5*B162</f>
        <v/>
      </c>
      <c r="D162" s="14">
        <f>$B$3*COS(C162)</f>
        <v/>
      </c>
      <c r="E162" s="14">
        <f>$B$3*SIN(C162)</f>
        <v/>
      </c>
      <c r="F162" s="14">
        <f>SQRT(D162^2 + (E162+$B$4)^2)</f>
        <v/>
      </c>
      <c r="G162" s="14">
        <f>ATAN2(D162, E162+$B$4)</f>
        <v/>
      </c>
      <c r="H162" s="14">
        <f>-$B$3*$B$5*SIN(C162)</f>
        <v/>
      </c>
      <c r="I162" s="14">
        <f>$B$3*$B$5*COS(C162)</f>
        <v/>
      </c>
      <c r="J162" s="14">
        <f>H162*COS(G162) + I162*SIN(G162)</f>
        <v/>
      </c>
      <c r="K162" s="14">
        <f>(-H162*SIN(G162) + I162*COS(G162))/F162</f>
        <v/>
      </c>
      <c r="L162" s="15">
        <f>2*K162*J162</f>
        <v/>
      </c>
      <c r="M162" s="14">
        <f>-K162^2*F162</f>
        <v/>
      </c>
    </row>
    <row r="163">
      <c r="A163" s="8" t="n">
        <v>152</v>
      </c>
      <c r="B163" s="9">
        <f>A163*$B$6</f>
        <v/>
      </c>
      <c r="C163" s="10">
        <f>$B$5*B163</f>
        <v/>
      </c>
      <c r="D163" s="10">
        <f>$B$3*COS(C163)</f>
        <v/>
      </c>
      <c r="E163" s="10">
        <f>$B$3*SIN(C163)</f>
        <v/>
      </c>
      <c r="F163" s="10">
        <f>SQRT(D163^2 + (E163+$B$4)^2)</f>
        <v/>
      </c>
      <c r="G163" s="10">
        <f>ATAN2(D163, E163+$B$4)</f>
        <v/>
      </c>
      <c r="H163" s="10">
        <f>-$B$3*$B$5*SIN(C163)</f>
        <v/>
      </c>
      <c r="I163" s="10">
        <f>$B$3*$B$5*COS(C163)</f>
        <v/>
      </c>
      <c r="J163" s="10">
        <f>H163*COS(G163) + I163*SIN(G163)</f>
        <v/>
      </c>
      <c r="K163" s="10">
        <f>(-H163*SIN(G163) + I163*COS(G163))/F163</f>
        <v/>
      </c>
      <c r="L163" s="11">
        <f>2*K163*J163</f>
        <v/>
      </c>
      <c r="M163" s="10">
        <f>-K163^2*F163</f>
        <v/>
      </c>
    </row>
    <row r="164">
      <c r="A164" s="12" t="n">
        <v>153</v>
      </c>
      <c r="B164" s="13">
        <f>A164*$B$6</f>
        <v/>
      </c>
      <c r="C164" s="14">
        <f>$B$5*B164</f>
        <v/>
      </c>
      <c r="D164" s="14">
        <f>$B$3*COS(C164)</f>
        <v/>
      </c>
      <c r="E164" s="14">
        <f>$B$3*SIN(C164)</f>
        <v/>
      </c>
      <c r="F164" s="14">
        <f>SQRT(D164^2 + (E164+$B$4)^2)</f>
        <v/>
      </c>
      <c r="G164" s="14">
        <f>ATAN2(D164, E164+$B$4)</f>
        <v/>
      </c>
      <c r="H164" s="14">
        <f>-$B$3*$B$5*SIN(C164)</f>
        <v/>
      </c>
      <c r="I164" s="14">
        <f>$B$3*$B$5*COS(C164)</f>
        <v/>
      </c>
      <c r="J164" s="14">
        <f>H164*COS(G164) + I164*SIN(G164)</f>
        <v/>
      </c>
      <c r="K164" s="14">
        <f>(-H164*SIN(G164) + I164*COS(G164))/F164</f>
        <v/>
      </c>
      <c r="L164" s="15">
        <f>2*K164*J164</f>
        <v/>
      </c>
      <c r="M164" s="14">
        <f>-K164^2*F164</f>
        <v/>
      </c>
    </row>
    <row r="165">
      <c r="A165" s="8" t="n">
        <v>154</v>
      </c>
      <c r="B165" s="9">
        <f>A165*$B$6</f>
        <v/>
      </c>
      <c r="C165" s="10">
        <f>$B$5*B165</f>
        <v/>
      </c>
      <c r="D165" s="10">
        <f>$B$3*COS(C165)</f>
        <v/>
      </c>
      <c r="E165" s="10">
        <f>$B$3*SIN(C165)</f>
        <v/>
      </c>
      <c r="F165" s="10">
        <f>SQRT(D165^2 + (E165+$B$4)^2)</f>
        <v/>
      </c>
      <c r="G165" s="10">
        <f>ATAN2(D165, E165+$B$4)</f>
        <v/>
      </c>
      <c r="H165" s="10">
        <f>-$B$3*$B$5*SIN(C165)</f>
        <v/>
      </c>
      <c r="I165" s="10">
        <f>$B$3*$B$5*COS(C165)</f>
        <v/>
      </c>
      <c r="J165" s="10">
        <f>H165*COS(G165) + I165*SIN(G165)</f>
        <v/>
      </c>
      <c r="K165" s="10">
        <f>(-H165*SIN(G165) + I165*COS(G165))/F165</f>
        <v/>
      </c>
      <c r="L165" s="11">
        <f>2*K165*J165</f>
        <v/>
      </c>
      <c r="M165" s="10">
        <f>-K165^2*F165</f>
        <v/>
      </c>
    </row>
    <row r="166">
      <c r="A166" s="12" t="n">
        <v>155</v>
      </c>
      <c r="B166" s="13">
        <f>A166*$B$6</f>
        <v/>
      </c>
      <c r="C166" s="14">
        <f>$B$5*B166</f>
        <v/>
      </c>
      <c r="D166" s="14">
        <f>$B$3*COS(C166)</f>
        <v/>
      </c>
      <c r="E166" s="14">
        <f>$B$3*SIN(C166)</f>
        <v/>
      </c>
      <c r="F166" s="14">
        <f>SQRT(D166^2 + (E166+$B$4)^2)</f>
        <v/>
      </c>
      <c r="G166" s="14">
        <f>ATAN2(D166, E166+$B$4)</f>
        <v/>
      </c>
      <c r="H166" s="14">
        <f>-$B$3*$B$5*SIN(C166)</f>
        <v/>
      </c>
      <c r="I166" s="14">
        <f>$B$3*$B$5*COS(C166)</f>
        <v/>
      </c>
      <c r="J166" s="14">
        <f>H166*COS(G166) + I166*SIN(G166)</f>
        <v/>
      </c>
      <c r="K166" s="14">
        <f>(-H166*SIN(G166) + I166*COS(G166))/F166</f>
        <v/>
      </c>
      <c r="L166" s="15">
        <f>2*K166*J166</f>
        <v/>
      </c>
      <c r="M166" s="14">
        <f>-K166^2*F166</f>
        <v/>
      </c>
    </row>
    <row r="167">
      <c r="A167" s="8" t="n">
        <v>156</v>
      </c>
      <c r="B167" s="9">
        <f>A167*$B$6</f>
        <v/>
      </c>
      <c r="C167" s="10">
        <f>$B$5*B167</f>
        <v/>
      </c>
      <c r="D167" s="10">
        <f>$B$3*COS(C167)</f>
        <v/>
      </c>
      <c r="E167" s="10">
        <f>$B$3*SIN(C167)</f>
        <v/>
      </c>
      <c r="F167" s="10">
        <f>SQRT(D167^2 + (E167+$B$4)^2)</f>
        <v/>
      </c>
      <c r="G167" s="10">
        <f>ATAN2(D167, E167+$B$4)</f>
        <v/>
      </c>
      <c r="H167" s="10">
        <f>-$B$3*$B$5*SIN(C167)</f>
        <v/>
      </c>
      <c r="I167" s="10">
        <f>$B$3*$B$5*COS(C167)</f>
        <v/>
      </c>
      <c r="J167" s="10">
        <f>H167*COS(G167) + I167*SIN(G167)</f>
        <v/>
      </c>
      <c r="K167" s="10">
        <f>(-H167*SIN(G167) + I167*COS(G167))/F167</f>
        <v/>
      </c>
      <c r="L167" s="11">
        <f>2*K167*J167</f>
        <v/>
      </c>
      <c r="M167" s="10">
        <f>-K167^2*F167</f>
        <v/>
      </c>
    </row>
    <row r="168">
      <c r="A168" s="12" t="n">
        <v>157</v>
      </c>
      <c r="B168" s="13">
        <f>A168*$B$6</f>
        <v/>
      </c>
      <c r="C168" s="14">
        <f>$B$5*B168</f>
        <v/>
      </c>
      <c r="D168" s="14">
        <f>$B$3*COS(C168)</f>
        <v/>
      </c>
      <c r="E168" s="14">
        <f>$B$3*SIN(C168)</f>
        <v/>
      </c>
      <c r="F168" s="14">
        <f>SQRT(D168^2 + (E168+$B$4)^2)</f>
        <v/>
      </c>
      <c r="G168" s="14">
        <f>ATAN2(D168, E168+$B$4)</f>
        <v/>
      </c>
      <c r="H168" s="14">
        <f>-$B$3*$B$5*SIN(C168)</f>
        <v/>
      </c>
      <c r="I168" s="14">
        <f>$B$3*$B$5*COS(C168)</f>
        <v/>
      </c>
      <c r="J168" s="14">
        <f>H168*COS(G168) + I168*SIN(G168)</f>
        <v/>
      </c>
      <c r="K168" s="14">
        <f>(-H168*SIN(G168) + I168*COS(G168))/F168</f>
        <v/>
      </c>
      <c r="L168" s="15">
        <f>2*K168*J168</f>
        <v/>
      </c>
      <c r="M168" s="14">
        <f>-K168^2*F168</f>
        <v/>
      </c>
    </row>
    <row r="169">
      <c r="A169" s="8" t="n">
        <v>158</v>
      </c>
      <c r="B169" s="9">
        <f>A169*$B$6</f>
        <v/>
      </c>
      <c r="C169" s="10">
        <f>$B$5*B169</f>
        <v/>
      </c>
      <c r="D169" s="10">
        <f>$B$3*COS(C169)</f>
        <v/>
      </c>
      <c r="E169" s="10">
        <f>$B$3*SIN(C169)</f>
        <v/>
      </c>
      <c r="F169" s="10">
        <f>SQRT(D169^2 + (E169+$B$4)^2)</f>
        <v/>
      </c>
      <c r="G169" s="10">
        <f>ATAN2(D169, E169+$B$4)</f>
        <v/>
      </c>
      <c r="H169" s="10">
        <f>-$B$3*$B$5*SIN(C169)</f>
        <v/>
      </c>
      <c r="I169" s="10">
        <f>$B$3*$B$5*COS(C169)</f>
        <v/>
      </c>
      <c r="J169" s="10">
        <f>H169*COS(G169) + I169*SIN(G169)</f>
        <v/>
      </c>
      <c r="K169" s="10">
        <f>(-H169*SIN(G169) + I169*COS(G169))/F169</f>
        <v/>
      </c>
      <c r="L169" s="11">
        <f>2*K169*J169</f>
        <v/>
      </c>
      <c r="M169" s="10">
        <f>-K169^2*F169</f>
        <v/>
      </c>
    </row>
    <row r="170">
      <c r="A170" s="12" t="n">
        <v>159</v>
      </c>
      <c r="B170" s="13">
        <f>A170*$B$6</f>
        <v/>
      </c>
      <c r="C170" s="14">
        <f>$B$5*B170</f>
        <v/>
      </c>
      <c r="D170" s="14">
        <f>$B$3*COS(C170)</f>
        <v/>
      </c>
      <c r="E170" s="14">
        <f>$B$3*SIN(C170)</f>
        <v/>
      </c>
      <c r="F170" s="14">
        <f>SQRT(D170^2 + (E170+$B$4)^2)</f>
        <v/>
      </c>
      <c r="G170" s="14">
        <f>ATAN2(D170, E170+$B$4)</f>
        <v/>
      </c>
      <c r="H170" s="14">
        <f>-$B$3*$B$5*SIN(C170)</f>
        <v/>
      </c>
      <c r="I170" s="14">
        <f>$B$3*$B$5*COS(C170)</f>
        <v/>
      </c>
      <c r="J170" s="14">
        <f>H170*COS(G170) + I170*SIN(G170)</f>
        <v/>
      </c>
      <c r="K170" s="14">
        <f>(-H170*SIN(G170) + I170*COS(G170))/F170</f>
        <v/>
      </c>
      <c r="L170" s="15">
        <f>2*K170*J170</f>
        <v/>
      </c>
      <c r="M170" s="14">
        <f>-K170^2*F170</f>
        <v/>
      </c>
    </row>
    <row r="171">
      <c r="A171" s="8" t="n">
        <v>160</v>
      </c>
      <c r="B171" s="9">
        <f>A171*$B$6</f>
        <v/>
      </c>
      <c r="C171" s="10">
        <f>$B$5*B171</f>
        <v/>
      </c>
      <c r="D171" s="10">
        <f>$B$3*COS(C171)</f>
        <v/>
      </c>
      <c r="E171" s="10">
        <f>$B$3*SIN(C171)</f>
        <v/>
      </c>
      <c r="F171" s="10">
        <f>SQRT(D171^2 + (E171+$B$4)^2)</f>
        <v/>
      </c>
      <c r="G171" s="10">
        <f>ATAN2(D171, E171+$B$4)</f>
        <v/>
      </c>
      <c r="H171" s="10">
        <f>-$B$3*$B$5*SIN(C171)</f>
        <v/>
      </c>
      <c r="I171" s="10">
        <f>$B$3*$B$5*COS(C171)</f>
        <v/>
      </c>
      <c r="J171" s="10">
        <f>H171*COS(G171) + I171*SIN(G171)</f>
        <v/>
      </c>
      <c r="K171" s="10">
        <f>(-H171*SIN(G171) + I171*COS(G171))/F171</f>
        <v/>
      </c>
      <c r="L171" s="11">
        <f>2*K171*J171</f>
        <v/>
      </c>
      <c r="M171" s="10">
        <f>-K171^2*F171</f>
        <v/>
      </c>
    </row>
    <row r="172">
      <c r="A172" s="12" t="n">
        <v>161</v>
      </c>
      <c r="B172" s="13">
        <f>A172*$B$6</f>
        <v/>
      </c>
      <c r="C172" s="14">
        <f>$B$5*B172</f>
        <v/>
      </c>
      <c r="D172" s="14">
        <f>$B$3*COS(C172)</f>
        <v/>
      </c>
      <c r="E172" s="14">
        <f>$B$3*SIN(C172)</f>
        <v/>
      </c>
      <c r="F172" s="14">
        <f>SQRT(D172^2 + (E172+$B$4)^2)</f>
        <v/>
      </c>
      <c r="G172" s="14">
        <f>ATAN2(D172, E172+$B$4)</f>
        <v/>
      </c>
      <c r="H172" s="14">
        <f>-$B$3*$B$5*SIN(C172)</f>
        <v/>
      </c>
      <c r="I172" s="14">
        <f>$B$3*$B$5*COS(C172)</f>
        <v/>
      </c>
      <c r="J172" s="14">
        <f>H172*COS(G172) + I172*SIN(G172)</f>
        <v/>
      </c>
      <c r="K172" s="14">
        <f>(-H172*SIN(G172) + I172*COS(G172))/F172</f>
        <v/>
      </c>
      <c r="L172" s="15">
        <f>2*K172*J172</f>
        <v/>
      </c>
      <c r="M172" s="14">
        <f>-K172^2*F172</f>
        <v/>
      </c>
    </row>
    <row r="173">
      <c r="A173" s="8" t="n">
        <v>162</v>
      </c>
      <c r="B173" s="9">
        <f>A173*$B$6</f>
        <v/>
      </c>
      <c r="C173" s="10">
        <f>$B$5*B173</f>
        <v/>
      </c>
      <c r="D173" s="10">
        <f>$B$3*COS(C173)</f>
        <v/>
      </c>
      <c r="E173" s="10">
        <f>$B$3*SIN(C173)</f>
        <v/>
      </c>
      <c r="F173" s="10">
        <f>SQRT(D173^2 + (E173+$B$4)^2)</f>
        <v/>
      </c>
      <c r="G173" s="10">
        <f>ATAN2(D173, E173+$B$4)</f>
        <v/>
      </c>
      <c r="H173" s="10">
        <f>-$B$3*$B$5*SIN(C173)</f>
        <v/>
      </c>
      <c r="I173" s="10">
        <f>$B$3*$B$5*COS(C173)</f>
        <v/>
      </c>
      <c r="J173" s="10">
        <f>H173*COS(G173) + I173*SIN(G173)</f>
        <v/>
      </c>
      <c r="K173" s="10">
        <f>(-H173*SIN(G173) + I173*COS(G173))/F173</f>
        <v/>
      </c>
      <c r="L173" s="11">
        <f>2*K173*J173</f>
        <v/>
      </c>
      <c r="M173" s="10">
        <f>-K173^2*F173</f>
        <v/>
      </c>
    </row>
    <row r="174">
      <c r="A174" s="12" t="n">
        <v>163</v>
      </c>
      <c r="B174" s="13">
        <f>A174*$B$6</f>
        <v/>
      </c>
      <c r="C174" s="14">
        <f>$B$5*B174</f>
        <v/>
      </c>
      <c r="D174" s="14">
        <f>$B$3*COS(C174)</f>
        <v/>
      </c>
      <c r="E174" s="14">
        <f>$B$3*SIN(C174)</f>
        <v/>
      </c>
      <c r="F174" s="14">
        <f>SQRT(D174^2 + (E174+$B$4)^2)</f>
        <v/>
      </c>
      <c r="G174" s="14">
        <f>ATAN2(D174, E174+$B$4)</f>
        <v/>
      </c>
      <c r="H174" s="14">
        <f>-$B$3*$B$5*SIN(C174)</f>
        <v/>
      </c>
      <c r="I174" s="14">
        <f>$B$3*$B$5*COS(C174)</f>
        <v/>
      </c>
      <c r="J174" s="14">
        <f>H174*COS(G174) + I174*SIN(G174)</f>
        <v/>
      </c>
      <c r="K174" s="14">
        <f>(-H174*SIN(G174) + I174*COS(G174))/F174</f>
        <v/>
      </c>
      <c r="L174" s="15">
        <f>2*K174*J174</f>
        <v/>
      </c>
      <c r="M174" s="14">
        <f>-K174^2*F174</f>
        <v/>
      </c>
    </row>
    <row r="175">
      <c r="A175" s="8" t="n">
        <v>164</v>
      </c>
      <c r="B175" s="9">
        <f>A175*$B$6</f>
        <v/>
      </c>
      <c r="C175" s="10">
        <f>$B$5*B175</f>
        <v/>
      </c>
      <c r="D175" s="10">
        <f>$B$3*COS(C175)</f>
        <v/>
      </c>
      <c r="E175" s="10">
        <f>$B$3*SIN(C175)</f>
        <v/>
      </c>
      <c r="F175" s="10">
        <f>SQRT(D175^2 + (E175+$B$4)^2)</f>
        <v/>
      </c>
      <c r="G175" s="10">
        <f>ATAN2(D175, E175+$B$4)</f>
        <v/>
      </c>
      <c r="H175" s="10">
        <f>-$B$3*$B$5*SIN(C175)</f>
        <v/>
      </c>
      <c r="I175" s="10">
        <f>$B$3*$B$5*COS(C175)</f>
        <v/>
      </c>
      <c r="J175" s="10">
        <f>H175*COS(G175) + I175*SIN(G175)</f>
        <v/>
      </c>
      <c r="K175" s="10">
        <f>(-H175*SIN(G175) + I175*COS(G175))/F175</f>
        <v/>
      </c>
      <c r="L175" s="11">
        <f>2*K175*J175</f>
        <v/>
      </c>
      <c r="M175" s="10">
        <f>-K175^2*F175</f>
        <v/>
      </c>
    </row>
    <row r="176">
      <c r="A176" s="12" t="n">
        <v>165</v>
      </c>
      <c r="B176" s="13">
        <f>A176*$B$6</f>
        <v/>
      </c>
      <c r="C176" s="14">
        <f>$B$5*B176</f>
        <v/>
      </c>
      <c r="D176" s="14">
        <f>$B$3*COS(C176)</f>
        <v/>
      </c>
      <c r="E176" s="14">
        <f>$B$3*SIN(C176)</f>
        <v/>
      </c>
      <c r="F176" s="14">
        <f>SQRT(D176^2 + (E176+$B$4)^2)</f>
        <v/>
      </c>
      <c r="G176" s="14">
        <f>ATAN2(D176, E176+$B$4)</f>
        <v/>
      </c>
      <c r="H176" s="14">
        <f>-$B$3*$B$5*SIN(C176)</f>
        <v/>
      </c>
      <c r="I176" s="14">
        <f>$B$3*$B$5*COS(C176)</f>
        <v/>
      </c>
      <c r="J176" s="14">
        <f>H176*COS(G176) + I176*SIN(G176)</f>
        <v/>
      </c>
      <c r="K176" s="14">
        <f>(-H176*SIN(G176) + I176*COS(G176))/F176</f>
        <v/>
      </c>
      <c r="L176" s="15">
        <f>2*K176*J176</f>
        <v/>
      </c>
      <c r="M176" s="14">
        <f>-K176^2*F176</f>
        <v/>
      </c>
    </row>
    <row r="177">
      <c r="A177" s="8" t="n">
        <v>166</v>
      </c>
      <c r="B177" s="9">
        <f>A177*$B$6</f>
        <v/>
      </c>
      <c r="C177" s="10">
        <f>$B$5*B177</f>
        <v/>
      </c>
      <c r="D177" s="10">
        <f>$B$3*COS(C177)</f>
        <v/>
      </c>
      <c r="E177" s="10">
        <f>$B$3*SIN(C177)</f>
        <v/>
      </c>
      <c r="F177" s="10">
        <f>SQRT(D177^2 + (E177+$B$4)^2)</f>
        <v/>
      </c>
      <c r="G177" s="10">
        <f>ATAN2(D177, E177+$B$4)</f>
        <v/>
      </c>
      <c r="H177" s="10">
        <f>-$B$3*$B$5*SIN(C177)</f>
        <v/>
      </c>
      <c r="I177" s="10">
        <f>$B$3*$B$5*COS(C177)</f>
        <v/>
      </c>
      <c r="J177" s="10">
        <f>H177*COS(G177) + I177*SIN(G177)</f>
        <v/>
      </c>
      <c r="K177" s="10">
        <f>(-H177*SIN(G177) + I177*COS(G177))/F177</f>
        <v/>
      </c>
      <c r="L177" s="11">
        <f>2*K177*J177</f>
        <v/>
      </c>
      <c r="M177" s="10">
        <f>-K177^2*F177</f>
        <v/>
      </c>
    </row>
    <row r="178">
      <c r="A178" s="12" t="n">
        <v>167</v>
      </c>
      <c r="B178" s="13">
        <f>A178*$B$6</f>
        <v/>
      </c>
      <c r="C178" s="14">
        <f>$B$5*B178</f>
        <v/>
      </c>
      <c r="D178" s="14">
        <f>$B$3*COS(C178)</f>
        <v/>
      </c>
      <c r="E178" s="14">
        <f>$B$3*SIN(C178)</f>
        <v/>
      </c>
      <c r="F178" s="14">
        <f>SQRT(D178^2 + (E178+$B$4)^2)</f>
        <v/>
      </c>
      <c r="G178" s="14">
        <f>ATAN2(D178, E178+$B$4)</f>
        <v/>
      </c>
      <c r="H178" s="14">
        <f>-$B$3*$B$5*SIN(C178)</f>
        <v/>
      </c>
      <c r="I178" s="14">
        <f>$B$3*$B$5*COS(C178)</f>
        <v/>
      </c>
      <c r="J178" s="14">
        <f>H178*COS(G178) + I178*SIN(G178)</f>
        <v/>
      </c>
      <c r="K178" s="14">
        <f>(-H178*SIN(G178) + I178*COS(G178))/F178</f>
        <v/>
      </c>
      <c r="L178" s="15">
        <f>2*K178*J178</f>
        <v/>
      </c>
      <c r="M178" s="14">
        <f>-K178^2*F178</f>
        <v/>
      </c>
    </row>
    <row r="179">
      <c r="A179" s="8" t="n">
        <v>168</v>
      </c>
      <c r="B179" s="9">
        <f>A179*$B$6</f>
        <v/>
      </c>
      <c r="C179" s="10">
        <f>$B$5*B179</f>
        <v/>
      </c>
      <c r="D179" s="10">
        <f>$B$3*COS(C179)</f>
        <v/>
      </c>
      <c r="E179" s="10">
        <f>$B$3*SIN(C179)</f>
        <v/>
      </c>
      <c r="F179" s="10">
        <f>SQRT(D179^2 + (E179+$B$4)^2)</f>
        <v/>
      </c>
      <c r="G179" s="10">
        <f>ATAN2(D179, E179+$B$4)</f>
        <v/>
      </c>
      <c r="H179" s="10">
        <f>-$B$3*$B$5*SIN(C179)</f>
        <v/>
      </c>
      <c r="I179" s="10">
        <f>$B$3*$B$5*COS(C179)</f>
        <v/>
      </c>
      <c r="J179" s="10">
        <f>H179*COS(G179) + I179*SIN(G179)</f>
        <v/>
      </c>
      <c r="K179" s="10">
        <f>(-H179*SIN(G179) + I179*COS(G179))/F179</f>
        <v/>
      </c>
      <c r="L179" s="11">
        <f>2*K179*J179</f>
        <v/>
      </c>
      <c r="M179" s="10">
        <f>-K179^2*F179</f>
        <v/>
      </c>
    </row>
    <row r="180">
      <c r="A180" s="12" t="n">
        <v>169</v>
      </c>
      <c r="B180" s="13">
        <f>A180*$B$6</f>
        <v/>
      </c>
      <c r="C180" s="14">
        <f>$B$5*B180</f>
        <v/>
      </c>
      <c r="D180" s="14">
        <f>$B$3*COS(C180)</f>
        <v/>
      </c>
      <c r="E180" s="14">
        <f>$B$3*SIN(C180)</f>
        <v/>
      </c>
      <c r="F180" s="14">
        <f>SQRT(D180^2 + (E180+$B$4)^2)</f>
        <v/>
      </c>
      <c r="G180" s="14">
        <f>ATAN2(D180, E180+$B$4)</f>
        <v/>
      </c>
      <c r="H180" s="14">
        <f>-$B$3*$B$5*SIN(C180)</f>
        <v/>
      </c>
      <c r="I180" s="14">
        <f>$B$3*$B$5*COS(C180)</f>
        <v/>
      </c>
      <c r="J180" s="14">
        <f>H180*COS(G180) + I180*SIN(G180)</f>
        <v/>
      </c>
      <c r="K180" s="14">
        <f>(-H180*SIN(G180) + I180*COS(G180))/F180</f>
        <v/>
      </c>
      <c r="L180" s="15">
        <f>2*K180*J180</f>
        <v/>
      </c>
      <c r="M180" s="14">
        <f>-K180^2*F180</f>
        <v/>
      </c>
    </row>
    <row r="181">
      <c r="A181" s="8" t="n">
        <v>170</v>
      </c>
      <c r="B181" s="9">
        <f>A181*$B$6</f>
        <v/>
      </c>
      <c r="C181" s="10">
        <f>$B$5*B181</f>
        <v/>
      </c>
      <c r="D181" s="10">
        <f>$B$3*COS(C181)</f>
        <v/>
      </c>
      <c r="E181" s="10">
        <f>$B$3*SIN(C181)</f>
        <v/>
      </c>
      <c r="F181" s="10">
        <f>SQRT(D181^2 + (E181+$B$4)^2)</f>
        <v/>
      </c>
      <c r="G181" s="10">
        <f>ATAN2(D181, E181+$B$4)</f>
        <v/>
      </c>
      <c r="H181" s="10">
        <f>-$B$3*$B$5*SIN(C181)</f>
        <v/>
      </c>
      <c r="I181" s="10">
        <f>$B$3*$B$5*COS(C181)</f>
        <v/>
      </c>
      <c r="J181" s="10">
        <f>H181*COS(G181) + I181*SIN(G181)</f>
        <v/>
      </c>
      <c r="K181" s="10">
        <f>(-H181*SIN(G181) + I181*COS(G181))/F181</f>
        <v/>
      </c>
      <c r="L181" s="11">
        <f>2*K181*J181</f>
        <v/>
      </c>
      <c r="M181" s="10">
        <f>-K181^2*F181</f>
        <v/>
      </c>
    </row>
    <row r="182">
      <c r="A182" s="12" t="n">
        <v>171</v>
      </c>
      <c r="B182" s="13">
        <f>A182*$B$6</f>
        <v/>
      </c>
      <c r="C182" s="14">
        <f>$B$5*B182</f>
        <v/>
      </c>
      <c r="D182" s="14">
        <f>$B$3*COS(C182)</f>
        <v/>
      </c>
      <c r="E182" s="14">
        <f>$B$3*SIN(C182)</f>
        <v/>
      </c>
      <c r="F182" s="14">
        <f>SQRT(D182^2 + (E182+$B$4)^2)</f>
        <v/>
      </c>
      <c r="G182" s="14">
        <f>ATAN2(D182, E182+$B$4)</f>
        <v/>
      </c>
      <c r="H182" s="14">
        <f>-$B$3*$B$5*SIN(C182)</f>
        <v/>
      </c>
      <c r="I182" s="14">
        <f>$B$3*$B$5*COS(C182)</f>
        <v/>
      </c>
      <c r="J182" s="14">
        <f>H182*COS(G182) + I182*SIN(G182)</f>
        <v/>
      </c>
      <c r="K182" s="14">
        <f>(-H182*SIN(G182) + I182*COS(G182))/F182</f>
        <v/>
      </c>
      <c r="L182" s="15">
        <f>2*K182*J182</f>
        <v/>
      </c>
      <c r="M182" s="14">
        <f>-K182^2*F182</f>
        <v/>
      </c>
    </row>
    <row r="183">
      <c r="A183" s="8" t="n">
        <v>172</v>
      </c>
      <c r="B183" s="9">
        <f>A183*$B$6</f>
        <v/>
      </c>
      <c r="C183" s="10">
        <f>$B$5*B183</f>
        <v/>
      </c>
      <c r="D183" s="10">
        <f>$B$3*COS(C183)</f>
        <v/>
      </c>
      <c r="E183" s="10">
        <f>$B$3*SIN(C183)</f>
        <v/>
      </c>
      <c r="F183" s="10">
        <f>SQRT(D183^2 + (E183+$B$4)^2)</f>
        <v/>
      </c>
      <c r="G183" s="10">
        <f>ATAN2(D183, E183+$B$4)</f>
        <v/>
      </c>
      <c r="H183" s="10">
        <f>-$B$3*$B$5*SIN(C183)</f>
        <v/>
      </c>
      <c r="I183" s="10">
        <f>$B$3*$B$5*COS(C183)</f>
        <v/>
      </c>
      <c r="J183" s="10">
        <f>H183*COS(G183) + I183*SIN(G183)</f>
        <v/>
      </c>
      <c r="K183" s="10">
        <f>(-H183*SIN(G183) + I183*COS(G183))/F183</f>
        <v/>
      </c>
      <c r="L183" s="11">
        <f>2*K183*J183</f>
        <v/>
      </c>
      <c r="M183" s="10">
        <f>-K183^2*F183</f>
        <v/>
      </c>
    </row>
    <row r="184">
      <c r="A184" s="12" t="n">
        <v>173</v>
      </c>
      <c r="B184" s="13">
        <f>A184*$B$6</f>
        <v/>
      </c>
      <c r="C184" s="14">
        <f>$B$5*B184</f>
        <v/>
      </c>
      <c r="D184" s="14">
        <f>$B$3*COS(C184)</f>
        <v/>
      </c>
      <c r="E184" s="14">
        <f>$B$3*SIN(C184)</f>
        <v/>
      </c>
      <c r="F184" s="14">
        <f>SQRT(D184^2 + (E184+$B$4)^2)</f>
        <v/>
      </c>
      <c r="G184" s="14">
        <f>ATAN2(D184, E184+$B$4)</f>
        <v/>
      </c>
      <c r="H184" s="14">
        <f>-$B$3*$B$5*SIN(C184)</f>
        <v/>
      </c>
      <c r="I184" s="14">
        <f>$B$3*$B$5*COS(C184)</f>
        <v/>
      </c>
      <c r="J184" s="14">
        <f>H184*COS(G184) + I184*SIN(G184)</f>
        <v/>
      </c>
      <c r="K184" s="14">
        <f>(-H184*SIN(G184) + I184*COS(G184))/F184</f>
        <v/>
      </c>
      <c r="L184" s="15">
        <f>2*K184*J184</f>
        <v/>
      </c>
      <c r="M184" s="14">
        <f>-K184^2*F184</f>
        <v/>
      </c>
    </row>
    <row r="185">
      <c r="A185" s="8" t="n">
        <v>174</v>
      </c>
      <c r="B185" s="9">
        <f>A185*$B$6</f>
        <v/>
      </c>
      <c r="C185" s="10">
        <f>$B$5*B185</f>
        <v/>
      </c>
      <c r="D185" s="10">
        <f>$B$3*COS(C185)</f>
        <v/>
      </c>
      <c r="E185" s="10">
        <f>$B$3*SIN(C185)</f>
        <v/>
      </c>
      <c r="F185" s="10">
        <f>SQRT(D185^2 + (E185+$B$4)^2)</f>
        <v/>
      </c>
      <c r="G185" s="10">
        <f>ATAN2(D185, E185+$B$4)</f>
        <v/>
      </c>
      <c r="H185" s="10">
        <f>-$B$3*$B$5*SIN(C185)</f>
        <v/>
      </c>
      <c r="I185" s="10">
        <f>$B$3*$B$5*COS(C185)</f>
        <v/>
      </c>
      <c r="J185" s="10">
        <f>H185*COS(G185) + I185*SIN(G185)</f>
        <v/>
      </c>
      <c r="K185" s="10">
        <f>(-H185*SIN(G185) + I185*COS(G185))/F185</f>
        <v/>
      </c>
      <c r="L185" s="11">
        <f>2*K185*J185</f>
        <v/>
      </c>
      <c r="M185" s="10">
        <f>-K185^2*F185</f>
        <v/>
      </c>
    </row>
    <row r="186">
      <c r="A186" s="12" t="n">
        <v>175</v>
      </c>
      <c r="B186" s="13">
        <f>A186*$B$6</f>
        <v/>
      </c>
      <c r="C186" s="14">
        <f>$B$5*B186</f>
        <v/>
      </c>
      <c r="D186" s="14">
        <f>$B$3*COS(C186)</f>
        <v/>
      </c>
      <c r="E186" s="14">
        <f>$B$3*SIN(C186)</f>
        <v/>
      </c>
      <c r="F186" s="14">
        <f>SQRT(D186^2 + (E186+$B$4)^2)</f>
        <v/>
      </c>
      <c r="G186" s="14">
        <f>ATAN2(D186, E186+$B$4)</f>
        <v/>
      </c>
      <c r="H186" s="14">
        <f>-$B$3*$B$5*SIN(C186)</f>
        <v/>
      </c>
      <c r="I186" s="14">
        <f>$B$3*$B$5*COS(C186)</f>
        <v/>
      </c>
      <c r="J186" s="14">
        <f>H186*COS(G186) + I186*SIN(G186)</f>
        <v/>
      </c>
      <c r="K186" s="14">
        <f>(-H186*SIN(G186) + I186*COS(G186))/F186</f>
        <v/>
      </c>
      <c r="L186" s="15">
        <f>2*K186*J186</f>
        <v/>
      </c>
      <c r="M186" s="14">
        <f>-K186^2*F186</f>
        <v/>
      </c>
    </row>
    <row r="187">
      <c r="A187" s="8" t="n">
        <v>176</v>
      </c>
      <c r="B187" s="9">
        <f>A187*$B$6</f>
        <v/>
      </c>
      <c r="C187" s="10">
        <f>$B$5*B187</f>
        <v/>
      </c>
      <c r="D187" s="10">
        <f>$B$3*COS(C187)</f>
        <v/>
      </c>
      <c r="E187" s="10">
        <f>$B$3*SIN(C187)</f>
        <v/>
      </c>
      <c r="F187" s="10">
        <f>SQRT(D187^2 + (E187+$B$4)^2)</f>
        <v/>
      </c>
      <c r="G187" s="10">
        <f>ATAN2(D187, E187+$B$4)</f>
        <v/>
      </c>
      <c r="H187" s="10">
        <f>-$B$3*$B$5*SIN(C187)</f>
        <v/>
      </c>
      <c r="I187" s="10">
        <f>$B$3*$B$5*COS(C187)</f>
        <v/>
      </c>
      <c r="J187" s="10">
        <f>H187*COS(G187) + I187*SIN(G187)</f>
        <v/>
      </c>
      <c r="K187" s="10">
        <f>(-H187*SIN(G187) + I187*COS(G187))/F187</f>
        <v/>
      </c>
      <c r="L187" s="11">
        <f>2*K187*J187</f>
        <v/>
      </c>
      <c r="M187" s="10">
        <f>-K187^2*F187</f>
        <v/>
      </c>
    </row>
    <row r="188">
      <c r="A188" s="12" t="n">
        <v>177</v>
      </c>
      <c r="B188" s="13">
        <f>A188*$B$6</f>
        <v/>
      </c>
      <c r="C188" s="14">
        <f>$B$5*B188</f>
        <v/>
      </c>
      <c r="D188" s="14">
        <f>$B$3*COS(C188)</f>
        <v/>
      </c>
      <c r="E188" s="14">
        <f>$B$3*SIN(C188)</f>
        <v/>
      </c>
      <c r="F188" s="14">
        <f>SQRT(D188^2 + (E188+$B$4)^2)</f>
        <v/>
      </c>
      <c r="G188" s="14">
        <f>ATAN2(D188, E188+$B$4)</f>
        <v/>
      </c>
      <c r="H188" s="14">
        <f>-$B$3*$B$5*SIN(C188)</f>
        <v/>
      </c>
      <c r="I188" s="14">
        <f>$B$3*$B$5*COS(C188)</f>
        <v/>
      </c>
      <c r="J188" s="14">
        <f>H188*COS(G188) + I188*SIN(G188)</f>
        <v/>
      </c>
      <c r="K188" s="14">
        <f>(-H188*SIN(G188) + I188*COS(G188))/F188</f>
        <v/>
      </c>
      <c r="L188" s="15">
        <f>2*K188*J188</f>
        <v/>
      </c>
      <c r="M188" s="14">
        <f>-K188^2*F188</f>
        <v/>
      </c>
    </row>
    <row r="189">
      <c r="A189" s="8" t="n">
        <v>178</v>
      </c>
      <c r="B189" s="9">
        <f>A189*$B$6</f>
        <v/>
      </c>
      <c r="C189" s="10">
        <f>$B$5*B189</f>
        <v/>
      </c>
      <c r="D189" s="10">
        <f>$B$3*COS(C189)</f>
        <v/>
      </c>
      <c r="E189" s="10">
        <f>$B$3*SIN(C189)</f>
        <v/>
      </c>
      <c r="F189" s="10">
        <f>SQRT(D189^2 + (E189+$B$4)^2)</f>
        <v/>
      </c>
      <c r="G189" s="10">
        <f>ATAN2(D189, E189+$B$4)</f>
        <v/>
      </c>
      <c r="H189" s="10">
        <f>-$B$3*$B$5*SIN(C189)</f>
        <v/>
      </c>
      <c r="I189" s="10">
        <f>$B$3*$B$5*COS(C189)</f>
        <v/>
      </c>
      <c r="J189" s="10">
        <f>H189*COS(G189) + I189*SIN(G189)</f>
        <v/>
      </c>
      <c r="K189" s="10">
        <f>(-H189*SIN(G189) + I189*COS(G189))/F189</f>
        <v/>
      </c>
      <c r="L189" s="11">
        <f>2*K189*J189</f>
        <v/>
      </c>
      <c r="M189" s="10">
        <f>-K189^2*F189</f>
        <v/>
      </c>
    </row>
    <row r="190">
      <c r="A190" s="12" t="n">
        <v>179</v>
      </c>
      <c r="B190" s="13">
        <f>A190*$B$6</f>
        <v/>
      </c>
      <c r="C190" s="14">
        <f>$B$5*B190</f>
        <v/>
      </c>
      <c r="D190" s="14">
        <f>$B$3*COS(C190)</f>
        <v/>
      </c>
      <c r="E190" s="14">
        <f>$B$3*SIN(C190)</f>
        <v/>
      </c>
      <c r="F190" s="14">
        <f>SQRT(D190^2 + (E190+$B$4)^2)</f>
        <v/>
      </c>
      <c r="G190" s="14">
        <f>ATAN2(D190, E190+$B$4)</f>
        <v/>
      </c>
      <c r="H190" s="14">
        <f>-$B$3*$B$5*SIN(C190)</f>
        <v/>
      </c>
      <c r="I190" s="14">
        <f>$B$3*$B$5*COS(C190)</f>
        <v/>
      </c>
      <c r="J190" s="14">
        <f>H190*COS(G190) + I190*SIN(G190)</f>
        <v/>
      </c>
      <c r="K190" s="14">
        <f>(-H190*SIN(G190) + I190*COS(G190))/F190</f>
        <v/>
      </c>
      <c r="L190" s="15">
        <f>2*K190*J190</f>
        <v/>
      </c>
      <c r="M190" s="14">
        <f>-K190^2*F190</f>
        <v/>
      </c>
    </row>
    <row r="191">
      <c r="A191" s="8" t="n">
        <v>180</v>
      </c>
      <c r="B191" s="9">
        <f>A191*$B$6</f>
        <v/>
      </c>
      <c r="C191" s="10">
        <f>$B$5*B191</f>
        <v/>
      </c>
      <c r="D191" s="10">
        <f>$B$3*COS(C191)</f>
        <v/>
      </c>
      <c r="E191" s="10">
        <f>$B$3*SIN(C191)</f>
        <v/>
      </c>
      <c r="F191" s="10">
        <f>SQRT(D191^2 + (E191+$B$4)^2)</f>
        <v/>
      </c>
      <c r="G191" s="10">
        <f>ATAN2(D191, E191+$B$4)</f>
        <v/>
      </c>
      <c r="H191" s="10">
        <f>-$B$3*$B$5*SIN(C191)</f>
        <v/>
      </c>
      <c r="I191" s="10">
        <f>$B$3*$B$5*COS(C191)</f>
        <v/>
      </c>
      <c r="J191" s="10">
        <f>H191*COS(G191) + I191*SIN(G191)</f>
        <v/>
      </c>
      <c r="K191" s="10">
        <f>(-H191*SIN(G191) + I191*COS(G191))/F191</f>
        <v/>
      </c>
      <c r="L191" s="11">
        <f>2*K191*J191</f>
        <v/>
      </c>
      <c r="M191" s="10">
        <f>-K191^2*F191</f>
        <v/>
      </c>
    </row>
    <row r="192">
      <c r="A192" s="12" t="n">
        <v>181</v>
      </c>
      <c r="B192" s="13">
        <f>A192*$B$6</f>
        <v/>
      </c>
      <c r="C192" s="14">
        <f>$B$5*B192</f>
        <v/>
      </c>
      <c r="D192" s="14">
        <f>$B$3*COS(C192)</f>
        <v/>
      </c>
      <c r="E192" s="14">
        <f>$B$3*SIN(C192)</f>
        <v/>
      </c>
      <c r="F192" s="14">
        <f>SQRT(D192^2 + (E192+$B$4)^2)</f>
        <v/>
      </c>
      <c r="G192" s="14">
        <f>ATAN2(D192, E192+$B$4)</f>
        <v/>
      </c>
      <c r="H192" s="14">
        <f>-$B$3*$B$5*SIN(C192)</f>
        <v/>
      </c>
      <c r="I192" s="14">
        <f>$B$3*$B$5*COS(C192)</f>
        <v/>
      </c>
      <c r="J192" s="14">
        <f>H192*COS(G192) + I192*SIN(G192)</f>
        <v/>
      </c>
      <c r="K192" s="14">
        <f>(-H192*SIN(G192) + I192*COS(G192))/F192</f>
        <v/>
      </c>
      <c r="L192" s="15">
        <f>2*K192*J192</f>
        <v/>
      </c>
      <c r="M192" s="14">
        <f>-K192^2*F192</f>
        <v/>
      </c>
    </row>
    <row r="193">
      <c r="A193" s="8" t="n">
        <v>182</v>
      </c>
      <c r="B193" s="9">
        <f>A193*$B$6</f>
        <v/>
      </c>
      <c r="C193" s="10">
        <f>$B$5*B193</f>
        <v/>
      </c>
      <c r="D193" s="10">
        <f>$B$3*COS(C193)</f>
        <v/>
      </c>
      <c r="E193" s="10">
        <f>$B$3*SIN(C193)</f>
        <v/>
      </c>
      <c r="F193" s="10">
        <f>SQRT(D193^2 + (E193+$B$4)^2)</f>
        <v/>
      </c>
      <c r="G193" s="10">
        <f>ATAN2(D193, E193+$B$4)</f>
        <v/>
      </c>
      <c r="H193" s="10">
        <f>-$B$3*$B$5*SIN(C193)</f>
        <v/>
      </c>
      <c r="I193" s="10">
        <f>$B$3*$B$5*COS(C193)</f>
        <v/>
      </c>
      <c r="J193" s="10">
        <f>H193*COS(G193) + I193*SIN(G193)</f>
        <v/>
      </c>
      <c r="K193" s="10">
        <f>(-H193*SIN(G193) + I193*COS(G193))/F193</f>
        <v/>
      </c>
      <c r="L193" s="11">
        <f>2*K193*J193</f>
        <v/>
      </c>
      <c r="M193" s="10">
        <f>-K193^2*F193</f>
        <v/>
      </c>
    </row>
    <row r="194">
      <c r="A194" s="12" t="n">
        <v>183</v>
      </c>
      <c r="B194" s="13">
        <f>A194*$B$6</f>
        <v/>
      </c>
      <c r="C194" s="14">
        <f>$B$5*B194</f>
        <v/>
      </c>
      <c r="D194" s="14">
        <f>$B$3*COS(C194)</f>
        <v/>
      </c>
      <c r="E194" s="14">
        <f>$B$3*SIN(C194)</f>
        <v/>
      </c>
      <c r="F194" s="14">
        <f>SQRT(D194^2 + (E194+$B$4)^2)</f>
        <v/>
      </c>
      <c r="G194" s="14">
        <f>ATAN2(D194, E194+$B$4)</f>
        <v/>
      </c>
      <c r="H194" s="14">
        <f>-$B$3*$B$5*SIN(C194)</f>
        <v/>
      </c>
      <c r="I194" s="14">
        <f>$B$3*$B$5*COS(C194)</f>
        <v/>
      </c>
      <c r="J194" s="14">
        <f>H194*COS(G194) + I194*SIN(G194)</f>
        <v/>
      </c>
      <c r="K194" s="14">
        <f>(-H194*SIN(G194) + I194*COS(G194))/F194</f>
        <v/>
      </c>
      <c r="L194" s="15">
        <f>2*K194*J194</f>
        <v/>
      </c>
      <c r="M194" s="14">
        <f>-K194^2*F194</f>
        <v/>
      </c>
    </row>
    <row r="195">
      <c r="A195" s="8" t="n">
        <v>184</v>
      </c>
      <c r="B195" s="9">
        <f>A195*$B$6</f>
        <v/>
      </c>
      <c r="C195" s="10">
        <f>$B$5*B195</f>
        <v/>
      </c>
      <c r="D195" s="10">
        <f>$B$3*COS(C195)</f>
        <v/>
      </c>
      <c r="E195" s="10">
        <f>$B$3*SIN(C195)</f>
        <v/>
      </c>
      <c r="F195" s="10">
        <f>SQRT(D195^2 + (E195+$B$4)^2)</f>
        <v/>
      </c>
      <c r="G195" s="10">
        <f>ATAN2(D195, E195+$B$4)</f>
        <v/>
      </c>
      <c r="H195" s="10">
        <f>-$B$3*$B$5*SIN(C195)</f>
        <v/>
      </c>
      <c r="I195" s="10">
        <f>$B$3*$B$5*COS(C195)</f>
        <v/>
      </c>
      <c r="J195" s="10">
        <f>H195*COS(G195) + I195*SIN(G195)</f>
        <v/>
      </c>
      <c r="K195" s="10">
        <f>(-H195*SIN(G195) + I195*COS(G195))/F195</f>
        <v/>
      </c>
      <c r="L195" s="11">
        <f>2*K195*J195</f>
        <v/>
      </c>
      <c r="M195" s="10">
        <f>-K195^2*F195</f>
        <v/>
      </c>
    </row>
    <row r="196">
      <c r="A196" s="12" t="n">
        <v>185</v>
      </c>
      <c r="B196" s="13">
        <f>A196*$B$6</f>
        <v/>
      </c>
      <c r="C196" s="14">
        <f>$B$5*B196</f>
        <v/>
      </c>
      <c r="D196" s="14">
        <f>$B$3*COS(C196)</f>
        <v/>
      </c>
      <c r="E196" s="14">
        <f>$B$3*SIN(C196)</f>
        <v/>
      </c>
      <c r="F196" s="14">
        <f>SQRT(D196^2 + (E196+$B$4)^2)</f>
        <v/>
      </c>
      <c r="G196" s="14">
        <f>ATAN2(D196, E196+$B$4)</f>
        <v/>
      </c>
      <c r="H196" s="14">
        <f>-$B$3*$B$5*SIN(C196)</f>
        <v/>
      </c>
      <c r="I196" s="14">
        <f>$B$3*$B$5*COS(C196)</f>
        <v/>
      </c>
      <c r="J196" s="14">
        <f>H196*COS(G196) + I196*SIN(G196)</f>
        <v/>
      </c>
      <c r="K196" s="14">
        <f>(-H196*SIN(G196) + I196*COS(G196))/F196</f>
        <v/>
      </c>
      <c r="L196" s="15">
        <f>2*K196*J196</f>
        <v/>
      </c>
      <c r="M196" s="14">
        <f>-K196^2*F196</f>
        <v/>
      </c>
    </row>
    <row r="197">
      <c r="A197" s="8" t="n">
        <v>186</v>
      </c>
      <c r="B197" s="9">
        <f>A197*$B$6</f>
        <v/>
      </c>
      <c r="C197" s="10">
        <f>$B$5*B197</f>
        <v/>
      </c>
      <c r="D197" s="10">
        <f>$B$3*COS(C197)</f>
        <v/>
      </c>
      <c r="E197" s="10">
        <f>$B$3*SIN(C197)</f>
        <v/>
      </c>
      <c r="F197" s="10">
        <f>SQRT(D197^2 + (E197+$B$4)^2)</f>
        <v/>
      </c>
      <c r="G197" s="10">
        <f>ATAN2(D197, E197+$B$4)</f>
        <v/>
      </c>
      <c r="H197" s="10">
        <f>-$B$3*$B$5*SIN(C197)</f>
        <v/>
      </c>
      <c r="I197" s="10">
        <f>$B$3*$B$5*COS(C197)</f>
        <v/>
      </c>
      <c r="J197" s="10">
        <f>H197*COS(G197) + I197*SIN(G197)</f>
        <v/>
      </c>
      <c r="K197" s="10">
        <f>(-H197*SIN(G197) + I197*COS(G197))/F197</f>
        <v/>
      </c>
      <c r="L197" s="11">
        <f>2*K197*J197</f>
        <v/>
      </c>
      <c r="M197" s="10">
        <f>-K197^2*F197</f>
        <v/>
      </c>
    </row>
    <row r="198">
      <c r="A198" s="12" t="n">
        <v>187</v>
      </c>
      <c r="B198" s="13">
        <f>A198*$B$6</f>
        <v/>
      </c>
      <c r="C198" s="14">
        <f>$B$5*B198</f>
        <v/>
      </c>
      <c r="D198" s="14">
        <f>$B$3*COS(C198)</f>
        <v/>
      </c>
      <c r="E198" s="14">
        <f>$B$3*SIN(C198)</f>
        <v/>
      </c>
      <c r="F198" s="14">
        <f>SQRT(D198^2 + (E198+$B$4)^2)</f>
        <v/>
      </c>
      <c r="G198" s="14">
        <f>ATAN2(D198, E198+$B$4)</f>
        <v/>
      </c>
      <c r="H198" s="14">
        <f>-$B$3*$B$5*SIN(C198)</f>
        <v/>
      </c>
      <c r="I198" s="14">
        <f>$B$3*$B$5*COS(C198)</f>
        <v/>
      </c>
      <c r="J198" s="14">
        <f>H198*COS(G198) + I198*SIN(G198)</f>
        <v/>
      </c>
      <c r="K198" s="14">
        <f>(-H198*SIN(G198) + I198*COS(G198))/F198</f>
        <v/>
      </c>
      <c r="L198" s="15">
        <f>2*K198*J198</f>
        <v/>
      </c>
      <c r="M198" s="14">
        <f>-K198^2*F198</f>
        <v/>
      </c>
    </row>
    <row r="199">
      <c r="A199" s="8" t="n">
        <v>188</v>
      </c>
      <c r="B199" s="9">
        <f>A199*$B$6</f>
        <v/>
      </c>
      <c r="C199" s="10">
        <f>$B$5*B199</f>
        <v/>
      </c>
      <c r="D199" s="10">
        <f>$B$3*COS(C199)</f>
        <v/>
      </c>
      <c r="E199" s="10">
        <f>$B$3*SIN(C199)</f>
        <v/>
      </c>
      <c r="F199" s="10">
        <f>SQRT(D199^2 + (E199+$B$4)^2)</f>
        <v/>
      </c>
      <c r="G199" s="10">
        <f>ATAN2(D199, E199+$B$4)</f>
        <v/>
      </c>
      <c r="H199" s="10">
        <f>-$B$3*$B$5*SIN(C199)</f>
        <v/>
      </c>
      <c r="I199" s="10">
        <f>$B$3*$B$5*COS(C199)</f>
        <v/>
      </c>
      <c r="J199" s="10">
        <f>H199*COS(G199) + I199*SIN(G199)</f>
        <v/>
      </c>
      <c r="K199" s="10">
        <f>(-H199*SIN(G199) + I199*COS(G199))/F199</f>
        <v/>
      </c>
      <c r="L199" s="11">
        <f>2*K199*J199</f>
        <v/>
      </c>
      <c r="M199" s="10">
        <f>-K199^2*F199</f>
        <v/>
      </c>
    </row>
    <row r="200">
      <c r="A200" s="12" t="n">
        <v>189</v>
      </c>
      <c r="B200" s="13">
        <f>A200*$B$6</f>
        <v/>
      </c>
      <c r="C200" s="14">
        <f>$B$5*B200</f>
        <v/>
      </c>
      <c r="D200" s="14">
        <f>$B$3*COS(C200)</f>
        <v/>
      </c>
      <c r="E200" s="14">
        <f>$B$3*SIN(C200)</f>
        <v/>
      </c>
      <c r="F200" s="14">
        <f>SQRT(D200^2 + (E200+$B$4)^2)</f>
        <v/>
      </c>
      <c r="G200" s="14">
        <f>ATAN2(D200, E200+$B$4)</f>
        <v/>
      </c>
      <c r="H200" s="14">
        <f>-$B$3*$B$5*SIN(C200)</f>
        <v/>
      </c>
      <c r="I200" s="14">
        <f>$B$3*$B$5*COS(C200)</f>
        <v/>
      </c>
      <c r="J200" s="14">
        <f>H200*COS(G200) + I200*SIN(G200)</f>
        <v/>
      </c>
      <c r="K200" s="14">
        <f>(-H200*SIN(G200) + I200*COS(G200))/F200</f>
        <v/>
      </c>
      <c r="L200" s="15">
        <f>2*K200*J200</f>
        <v/>
      </c>
      <c r="M200" s="14">
        <f>-K200^2*F200</f>
        <v/>
      </c>
    </row>
    <row r="201">
      <c r="A201" s="8" t="n">
        <v>190</v>
      </c>
      <c r="B201" s="9">
        <f>A201*$B$6</f>
        <v/>
      </c>
      <c r="C201" s="10">
        <f>$B$5*B201</f>
        <v/>
      </c>
      <c r="D201" s="10">
        <f>$B$3*COS(C201)</f>
        <v/>
      </c>
      <c r="E201" s="10">
        <f>$B$3*SIN(C201)</f>
        <v/>
      </c>
      <c r="F201" s="10">
        <f>SQRT(D201^2 + (E201+$B$4)^2)</f>
        <v/>
      </c>
      <c r="G201" s="10">
        <f>ATAN2(D201, E201+$B$4)</f>
        <v/>
      </c>
      <c r="H201" s="10">
        <f>-$B$3*$B$5*SIN(C201)</f>
        <v/>
      </c>
      <c r="I201" s="10">
        <f>$B$3*$B$5*COS(C201)</f>
        <v/>
      </c>
      <c r="J201" s="10">
        <f>H201*COS(G201) + I201*SIN(G201)</f>
        <v/>
      </c>
      <c r="K201" s="10">
        <f>(-H201*SIN(G201) + I201*COS(G201))/F201</f>
        <v/>
      </c>
      <c r="L201" s="11">
        <f>2*K201*J201</f>
        <v/>
      </c>
      <c r="M201" s="10">
        <f>-K201^2*F201</f>
        <v/>
      </c>
    </row>
    <row r="202">
      <c r="A202" s="12" t="n">
        <v>191</v>
      </c>
      <c r="B202" s="13">
        <f>A202*$B$6</f>
        <v/>
      </c>
      <c r="C202" s="14">
        <f>$B$5*B202</f>
        <v/>
      </c>
      <c r="D202" s="14">
        <f>$B$3*COS(C202)</f>
        <v/>
      </c>
      <c r="E202" s="14">
        <f>$B$3*SIN(C202)</f>
        <v/>
      </c>
      <c r="F202" s="14">
        <f>SQRT(D202^2 + (E202+$B$4)^2)</f>
        <v/>
      </c>
      <c r="G202" s="14">
        <f>ATAN2(D202, E202+$B$4)</f>
        <v/>
      </c>
      <c r="H202" s="14">
        <f>-$B$3*$B$5*SIN(C202)</f>
        <v/>
      </c>
      <c r="I202" s="14">
        <f>$B$3*$B$5*COS(C202)</f>
        <v/>
      </c>
      <c r="J202" s="14">
        <f>H202*COS(G202) + I202*SIN(G202)</f>
        <v/>
      </c>
      <c r="K202" s="14">
        <f>(-H202*SIN(G202) + I202*COS(G202))/F202</f>
        <v/>
      </c>
      <c r="L202" s="15">
        <f>2*K202*J202</f>
        <v/>
      </c>
      <c r="M202" s="14">
        <f>-K202^2*F202</f>
        <v/>
      </c>
    </row>
    <row r="203">
      <c r="A203" s="8" t="n">
        <v>192</v>
      </c>
      <c r="B203" s="9">
        <f>A203*$B$6</f>
        <v/>
      </c>
      <c r="C203" s="10">
        <f>$B$5*B203</f>
        <v/>
      </c>
      <c r="D203" s="10">
        <f>$B$3*COS(C203)</f>
        <v/>
      </c>
      <c r="E203" s="10">
        <f>$B$3*SIN(C203)</f>
        <v/>
      </c>
      <c r="F203" s="10">
        <f>SQRT(D203^2 + (E203+$B$4)^2)</f>
        <v/>
      </c>
      <c r="G203" s="10">
        <f>ATAN2(D203, E203+$B$4)</f>
        <v/>
      </c>
      <c r="H203" s="10">
        <f>-$B$3*$B$5*SIN(C203)</f>
        <v/>
      </c>
      <c r="I203" s="10">
        <f>$B$3*$B$5*COS(C203)</f>
        <v/>
      </c>
      <c r="J203" s="10">
        <f>H203*COS(G203) + I203*SIN(G203)</f>
        <v/>
      </c>
      <c r="K203" s="10">
        <f>(-H203*SIN(G203) + I203*COS(G203))/F203</f>
        <v/>
      </c>
      <c r="L203" s="11">
        <f>2*K203*J203</f>
        <v/>
      </c>
      <c r="M203" s="10">
        <f>-K203^2*F203</f>
        <v/>
      </c>
    </row>
    <row r="204">
      <c r="A204" s="12" t="n">
        <v>193</v>
      </c>
      <c r="B204" s="13">
        <f>A204*$B$6</f>
        <v/>
      </c>
      <c r="C204" s="14">
        <f>$B$5*B204</f>
        <v/>
      </c>
      <c r="D204" s="14">
        <f>$B$3*COS(C204)</f>
        <v/>
      </c>
      <c r="E204" s="14">
        <f>$B$3*SIN(C204)</f>
        <v/>
      </c>
      <c r="F204" s="14">
        <f>SQRT(D204^2 + (E204+$B$4)^2)</f>
        <v/>
      </c>
      <c r="G204" s="14">
        <f>ATAN2(D204, E204+$B$4)</f>
        <v/>
      </c>
      <c r="H204" s="14">
        <f>-$B$3*$B$5*SIN(C204)</f>
        <v/>
      </c>
      <c r="I204" s="14">
        <f>$B$3*$B$5*COS(C204)</f>
        <v/>
      </c>
      <c r="J204" s="14">
        <f>H204*COS(G204) + I204*SIN(G204)</f>
        <v/>
      </c>
      <c r="K204" s="14">
        <f>(-H204*SIN(G204) + I204*COS(G204))/F204</f>
        <v/>
      </c>
      <c r="L204" s="15">
        <f>2*K204*J204</f>
        <v/>
      </c>
      <c r="M204" s="14">
        <f>-K204^2*F204</f>
        <v/>
      </c>
    </row>
    <row r="205">
      <c r="A205" s="8" t="n">
        <v>194</v>
      </c>
      <c r="B205" s="9">
        <f>A205*$B$6</f>
        <v/>
      </c>
      <c r="C205" s="10">
        <f>$B$5*B205</f>
        <v/>
      </c>
      <c r="D205" s="10">
        <f>$B$3*COS(C205)</f>
        <v/>
      </c>
      <c r="E205" s="10">
        <f>$B$3*SIN(C205)</f>
        <v/>
      </c>
      <c r="F205" s="10">
        <f>SQRT(D205^2 + (E205+$B$4)^2)</f>
        <v/>
      </c>
      <c r="G205" s="10">
        <f>ATAN2(D205, E205+$B$4)</f>
        <v/>
      </c>
      <c r="H205" s="10">
        <f>-$B$3*$B$5*SIN(C205)</f>
        <v/>
      </c>
      <c r="I205" s="10">
        <f>$B$3*$B$5*COS(C205)</f>
        <v/>
      </c>
      <c r="J205" s="10">
        <f>H205*COS(G205) + I205*SIN(G205)</f>
        <v/>
      </c>
      <c r="K205" s="10">
        <f>(-H205*SIN(G205) + I205*COS(G205))/F205</f>
        <v/>
      </c>
      <c r="L205" s="11">
        <f>2*K205*J205</f>
        <v/>
      </c>
      <c r="M205" s="10">
        <f>-K205^2*F205</f>
        <v/>
      </c>
    </row>
    <row r="206">
      <c r="A206" s="12" t="n">
        <v>195</v>
      </c>
      <c r="B206" s="13">
        <f>A206*$B$6</f>
        <v/>
      </c>
      <c r="C206" s="14">
        <f>$B$5*B206</f>
        <v/>
      </c>
      <c r="D206" s="14">
        <f>$B$3*COS(C206)</f>
        <v/>
      </c>
      <c r="E206" s="14">
        <f>$B$3*SIN(C206)</f>
        <v/>
      </c>
      <c r="F206" s="14">
        <f>SQRT(D206^2 + (E206+$B$4)^2)</f>
        <v/>
      </c>
      <c r="G206" s="14">
        <f>ATAN2(D206, E206+$B$4)</f>
        <v/>
      </c>
      <c r="H206" s="14">
        <f>-$B$3*$B$5*SIN(C206)</f>
        <v/>
      </c>
      <c r="I206" s="14">
        <f>$B$3*$B$5*COS(C206)</f>
        <v/>
      </c>
      <c r="J206" s="14">
        <f>H206*COS(G206) + I206*SIN(G206)</f>
        <v/>
      </c>
      <c r="K206" s="14">
        <f>(-H206*SIN(G206) + I206*COS(G206))/F206</f>
        <v/>
      </c>
      <c r="L206" s="15">
        <f>2*K206*J206</f>
        <v/>
      </c>
      <c r="M206" s="14">
        <f>-K206^2*F206</f>
        <v/>
      </c>
    </row>
    <row r="207">
      <c r="A207" s="8" t="n">
        <v>196</v>
      </c>
      <c r="B207" s="9">
        <f>A207*$B$6</f>
        <v/>
      </c>
      <c r="C207" s="10">
        <f>$B$5*B207</f>
        <v/>
      </c>
      <c r="D207" s="10">
        <f>$B$3*COS(C207)</f>
        <v/>
      </c>
      <c r="E207" s="10">
        <f>$B$3*SIN(C207)</f>
        <v/>
      </c>
      <c r="F207" s="10">
        <f>SQRT(D207^2 + (E207+$B$4)^2)</f>
        <v/>
      </c>
      <c r="G207" s="10">
        <f>ATAN2(D207, E207+$B$4)</f>
        <v/>
      </c>
      <c r="H207" s="10">
        <f>-$B$3*$B$5*SIN(C207)</f>
        <v/>
      </c>
      <c r="I207" s="10">
        <f>$B$3*$B$5*COS(C207)</f>
        <v/>
      </c>
      <c r="J207" s="10">
        <f>H207*COS(G207) + I207*SIN(G207)</f>
        <v/>
      </c>
      <c r="K207" s="10">
        <f>(-H207*SIN(G207) + I207*COS(G207))/F207</f>
        <v/>
      </c>
      <c r="L207" s="11">
        <f>2*K207*J207</f>
        <v/>
      </c>
      <c r="M207" s="10">
        <f>-K207^2*F207</f>
        <v/>
      </c>
    </row>
    <row r="208">
      <c r="A208" s="12" t="n">
        <v>197</v>
      </c>
      <c r="B208" s="13">
        <f>A208*$B$6</f>
        <v/>
      </c>
      <c r="C208" s="14">
        <f>$B$5*B208</f>
        <v/>
      </c>
      <c r="D208" s="14">
        <f>$B$3*COS(C208)</f>
        <v/>
      </c>
      <c r="E208" s="14">
        <f>$B$3*SIN(C208)</f>
        <v/>
      </c>
      <c r="F208" s="14">
        <f>SQRT(D208^2 + (E208+$B$4)^2)</f>
        <v/>
      </c>
      <c r="G208" s="14">
        <f>ATAN2(D208, E208+$B$4)</f>
        <v/>
      </c>
      <c r="H208" s="14">
        <f>-$B$3*$B$5*SIN(C208)</f>
        <v/>
      </c>
      <c r="I208" s="14">
        <f>$B$3*$B$5*COS(C208)</f>
        <v/>
      </c>
      <c r="J208" s="14">
        <f>H208*COS(G208) + I208*SIN(G208)</f>
        <v/>
      </c>
      <c r="K208" s="14">
        <f>(-H208*SIN(G208) + I208*COS(G208))/F208</f>
        <v/>
      </c>
      <c r="L208" s="15">
        <f>2*K208*J208</f>
        <v/>
      </c>
      <c r="M208" s="14">
        <f>-K208^2*F208</f>
        <v/>
      </c>
    </row>
    <row r="209">
      <c r="A209" s="8" t="n">
        <v>198</v>
      </c>
      <c r="B209" s="9">
        <f>A209*$B$6</f>
        <v/>
      </c>
      <c r="C209" s="10">
        <f>$B$5*B209</f>
        <v/>
      </c>
      <c r="D209" s="10">
        <f>$B$3*COS(C209)</f>
        <v/>
      </c>
      <c r="E209" s="10">
        <f>$B$3*SIN(C209)</f>
        <v/>
      </c>
      <c r="F209" s="10">
        <f>SQRT(D209^2 + (E209+$B$4)^2)</f>
        <v/>
      </c>
      <c r="G209" s="10">
        <f>ATAN2(D209, E209+$B$4)</f>
        <v/>
      </c>
      <c r="H209" s="10">
        <f>-$B$3*$B$5*SIN(C209)</f>
        <v/>
      </c>
      <c r="I209" s="10">
        <f>$B$3*$B$5*COS(C209)</f>
        <v/>
      </c>
      <c r="J209" s="10">
        <f>H209*COS(G209) + I209*SIN(G209)</f>
        <v/>
      </c>
      <c r="K209" s="10">
        <f>(-H209*SIN(G209) + I209*COS(G209))/F209</f>
        <v/>
      </c>
      <c r="L209" s="11">
        <f>2*K209*J209</f>
        <v/>
      </c>
      <c r="M209" s="10">
        <f>-K209^2*F209</f>
        <v/>
      </c>
    </row>
    <row r="210">
      <c r="A210" s="12" t="n">
        <v>199</v>
      </c>
      <c r="B210" s="13">
        <f>A210*$B$6</f>
        <v/>
      </c>
      <c r="C210" s="14">
        <f>$B$5*B210</f>
        <v/>
      </c>
      <c r="D210" s="14">
        <f>$B$3*COS(C210)</f>
        <v/>
      </c>
      <c r="E210" s="14">
        <f>$B$3*SIN(C210)</f>
        <v/>
      </c>
      <c r="F210" s="14">
        <f>SQRT(D210^2 + (E210+$B$4)^2)</f>
        <v/>
      </c>
      <c r="G210" s="14">
        <f>ATAN2(D210, E210+$B$4)</f>
        <v/>
      </c>
      <c r="H210" s="14">
        <f>-$B$3*$B$5*SIN(C210)</f>
        <v/>
      </c>
      <c r="I210" s="14">
        <f>$B$3*$B$5*COS(C210)</f>
        <v/>
      </c>
      <c r="J210" s="14">
        <f>H210*COS(G210) + I210*SIN(G210)</f>
        <v/>
      </c>
      <c r="K210" s="14">
        <f>(-H210*SIN(G210) + I210*COS(G210))/F210</f>
        <v/>
      </c>
      <c r="L210" s="15">
        <f>2*K210*J210</f>
        <v/>
      </c>
      <c r="M210" s="14">
        <f>-K210^2*F210</f>
        <v/>
      </c>
    </row>
    <row r="211">
      <c r="A211" s="8" t="n">
        <v>200</v>
      </c>
      <c r="B211" s="9">
        <f>A211*$B$6</f>
        <v/>
      </c>
      <c r="C211" s="10">
        <f>$B$5*B211</f>
        <v/>
      </c>
      <c r="D211" s="10">
        <f>$B$3*COS(C211)</f>
        <v/>
      </c>
      <c r="E211" s="10">
        <f>$B$3*SIN(C211)</f>
        <v/>
      </c>
      <c r="F211" s="10">
        <f>SQRT(D211^2 + (E211+$B$4)^2)</f>
        <v/>
      </c>
      <c r="G211" s="10">
        <f>ATAN2(D211, E211+$B$4)</f>
        <v/>
      </c>
      <c r="H211" s="10">
        <f>-$B$3*$B$5*SIN(C211)</f>
        <v/>
      </c>
      <c r="I211" s="10">
        <f>$B$3*$B$5*COS(C211)</f>
        <v/>
      </c>
      <c r="J211" s="10">
        <f>H211*COS(G211) + I211*SIN(G211)</f>
        <v/>
      </c>
      <c r="K211" s="10">
        <f>(-H211*SIN(G211) + I211*COS(G211))/F211</f>
        <v/>
      </c>
      <c r="L211" s="11">
        <f>2*K211*J211</f>
        <v/>
      </c>
      <c r="M211" s="10">
        <f>-K211^2*F211</f>
        <v/>
      </c>
    </row>
    <row r="212">
      <c r="A212" s="12" t="n">
        <v>201</v>
      </c>
      <c r="B212" s="13">
        <f>A212*$B$6</f>
        <v/>
      </c>
      <c r="C212" s="14">
        <f>$B$5*B212</f>
        <v/>
      </c>
      <c r="D212" s="14">
        <f>$B$3*COS(C212)</f>
        <v/>
      </c>
      <c r="E212" s="14">
        <f>$B$3*SIN(C212)</f>
        <v/>
      </c>
      <c r="F212" s="14">
        <f>SQRT(D212^2 + (E212+$B$4)^2)</f>
        <v/>
      </c>
      <c r="G212" s="14">
        <f>ATAN2(D212, E212+$B$4)</f>
        <v/>
      </c>
      <c r="H212" s="14">
        <f>-$B$3*$B$5*SIN(C212)</f>
        <v/>
      </c>
      <c r="I212" s="14">
        <f>$B$3*$B$5*COS(C212)</f>
        <v/>
      </c>
      <c r="J212" s="14">
        <f>H212*COS(G212) + I212*SIN(G212)</f>
        <v/>
      </c>
      <c r="K212" s="14">
        <f>(-H212*SIN(G212) + I212*COS(G212))/F212</f>
        <v/>
      </c>
      <c r="L212" s="15">
        <f>2*K212*J212</f>
        <v/>
      </c>
      <c r="M212" s="14">
        <f>-K212^2*F212</f>
        <v/>
      </c>
    </row>
    <row r="213">
      <c r="A213" s="8" t="n">
        <v>202</v>
      </c>
      <c r="B213" s="9">
        <f>A213*$B$6</f>
        <v/>
      </c>
      <c r="C213" s="10">
        <f>$B$5*B213</f>
        <v/>
      </c>
      <c r="D213" s="10">
        <f>$B$3*COS(C213)</f>
        <v/>
      </c>
      <c r="E213" s="10">
        <f>$B$3*SIN(C213)</f>
        <v/>
      </c>
      <c r="F213" s="10">
        <f>SQRT(D213^2 + (E213+$B$4)^2)</f>
        <v/>
      </c>
      <c r="G213" s="10">
        <f>ATAN2(D213, E213+$B$4)</f>
        <v/>
      </c>
      <c r="H213" s="10">
        <f>-$B$3*$B$5*SIN(C213)</f>
        <v/>
      </c>
      <c r="I213" s="10">
        <f>$B$3*$B$5*COS(C213)</f>
        <v/>
      </c>
      <c r="J213" s="10">
        <f>H213*COS(G213) + I213*SIN(G213)</f>
        <v/>
      </c>
      <c r="K213" s="10">
        <f>(-H213*SIN(G213) + I213*COS(G213))/F213</f>
        <v/>
      </c>
      <c r="L213" s="11">
        <f>2*K213*J213</f>
        <v/>
      </c>
      <c r="M213" s="10">
        <f>-K213^2*F213</f>
        <v/>
      </c>
    </row>
    <row r="214">
      <c r="A214" s="12" t="n">
        <v>203</v>
      </c>
      <c r="B214" s="13">
        <f>A214*$B$6</f>
        <v/>
      </c>
      <c r="C214" s="14">
        <f>$B$5*B214</f>
        <v/>
      </c>
      <c r="D214" s="14">
        <f>$B$3*COS(C214)</f>
        <v/>
      </c>
      <c r="E214" s="14">
        <f>$B$3*SIN(C214)</f>
        <v/>
      </c>
      <c r="F214" s="14">
        <f>SQRT(D214^2 + (E214+$B$4)^2)</f>
        <v/>
      </c>
      <c r="G214" s="14">
        <f>ATAN2(D214, E214+$B$4)</f>
        <v/>
      </c>
      <c r="H214" s="14">
        <f>-$B$3*$B$5*SIN(C214)</f>
        <v/>
      </c>
      <c r="I214" s="14">
        <f>$B$3*$B$5*COS(C214)</f>
        <v/>
      </c>
      <c r="J214" s="14">
        <f>H214*COS(G214) + I214*SIN(G214)</f>
        <v/>
      </c>
      <c r="K214" s="14">
        <f>(-H214*SIN(G214) + I214*COS(G214))/F214</f>
        <v/>
      </c>
      <c r="L214" s="15">
        <f>2*K214*J214</f>
        <v/>
      </c>
      <c r="M214" s="14">
        <f>-K214^2*F214</f>
        <v/>
      </c>
    </row>
    <row r="215">
      <c r="A215" s="8" t="n">
        <v>204</v>
      </c>
      <c r="B215" s="9">
        <f>A215*$B$6</f>
        <v/>
      </c>
      <c r="C215" s="10">
        <f>$B$5*B215</f>
        <v/>
      </c>
      <c r="D215" s="10">
        <f>$B$3*COS(C215)</f>
        <v/>
      </c>
      <c r="E215" s="10">
        <f>$B$3*SIN(C215)</f>
        <v/>
      </c>
      <c r="F215" s="10">
        <f>SQRT(D215^2 + (E215+$B$4)^2)</f>
        <v/>
      </c>
      <c r="G215" s="10">
        <f>ATAN2(D215, E215+$B$4)</f>
        <v/>
      </c>
      <c r="H215" s="10">
        <f>-$B$3*$B$5*SIN(C215)</f>
        <v/>
      </c>
      <c r="I215" s="10">
        <f>$B$3*$B$5*COS(C215)</f>
        <v/>
      </c>
      <c r="J215" s="10">
        <f>H215*COS(G215) + I215*SIN(G215)</f>
        <v/>
      </c>
      <c r="K215" s="10">
        <f>(-H215*SIN(G215) + I215*COS(G215))/F215</f>
        <v/>
      </c>
      <c r="L215" s="11">
        <f>2*K215*J215</f>
        <v/>
      </c>
      <c r="M215" s="10">
        <f>-K215^2*F215</f>
        <v/>
      </c>
    </row>
    <row r="216">
      <c r="A216" s="12" t="n">
        <v>205</v>
      </c>
      <c r="B216" s="13">
        <f>A216*$B$6</f>
        <v/>
      </c>
      <c r="C216" s="14">
        <f>$B$5*B216</f>
        <v/>
      </c>
      <c r="D216" s="14">
        <f>$B$3*COS(C216)</f>
        <v/>
      </c>
      <c r="E216" s="14">
        <f>$B$3*SIN(C216)</f>
        <v/>
      </c>
      <c r="F216" s="14">
        <f>SQRT(D216^2 + (E216+$B$4)^2)</f>
        <v/>
      </c>
      <c r="G216" s="14">
        <f>ATAN2(D216, E216+$B$4)</f>
        <v/>
      </c>
      <c r="H216" s="14">
        <f>-$B$3*$B$5*SIN(C216)</f>
        <v/>
      </c>
      <c r="I216" s="14">
        <f>$B$3*$B$5*COS(C216)</f>
        <v/>
      </c>
      <c r="J216" s="14">
        <f>H216*COS(G216) + I216*SIN(G216)</f>
        <v/>
      </c>
      <c r="K216" s="14">
        <f>(-H216*SIN(G216) + I216*COS(G216))/F216</f>
        <v/>
      </c>
      <c r="L216" s="15">
        <f>2*K216*J216</f>
        <v/>
      </c>
      <c r="M216" s="14">
        <f>-K216^2*F216</f>
        <v/>
      </c>
    </row>
    <row r="217">
      <c r="A217" s="8" t="n">
        <v>206</v>
      </c>
      <c r="B217" s="9">
        <f>A217*$B$6</f>
        <v/>
      </c>
      <c r="C217" s="10">
        <f>$B$5*B217</f>
        <v/>
      </c>
      <c r="D217" s="10">
        <f>$B$3*COS(C217)</f>
        <v/>
      </c>
      <c r="E217" s="10">
        <f>$B$3*SIN(C217)</f>
        <v/>
      </c>
      <c r="F217" s="10">
        <f>SQRT(D217^2 + (E217+$B$4)^2)</f>
        <v/>
      </c>
      <c r="G217" s="10">
        <f>ATAN2(D217, E217+$B$4)</f>
        <v/>
      </c>
      <c r="H217" s="10">
        <f>-$B$3*$B$5*SIN(C217)</f>
        <v/>
      </c>
      <c r="I217" s="10">
        <f>$B$3*$B$5*COS(C217)</f>
        <v/>
      </c>
      <c r="J217" s="10">
        <f>H217*COS(G217) + I217*SIN(G217)</f>
        <v/>
      </c>
      <c r="K217" s="10">
        <f>(-H217*SIN(G217) + I217*COS(G217))/F217</f>
        <v/>
      </c>
      <c r="L217" s="11">
        <f>2*K217*J217</f>
        <v/>
      </c>
      <c r="M217" s="10">
        <f>-K217^2*F217</f>
        <v/>
      </c>
    </row>
    <row r="218">
      <c r="A218" s="12" t="n">
        <v>207</v>
      </c>
      <c r="B218" s="13">
        <f>A218*$B$6</f>
        <v/>
      </c>
      <c r="C218" s="14">
        <f>$B$5*B218</f>
        <v/>
      </c>
      <c r="D218" s="14">
        <f>$B$3*COS(C218)</f>
        <v/>
      </c>
      <c r="E218" s="14">
        <f>$B$3*SIN(C218)</f>
        <v/>
      </c>
      <c r="F218" s="14">
        <f>SQRT(D218^2 + (E218+$B$4)^2)</f>
        <v/>
      </c>
      <c r="G218" s="14">
        <f>ATAN2(D218, E218+$B$4)</f>
        <v/>
      </c>
      <c r="H218" s="14">
        <f>-$B$3*$B$5*SIN(C218)</f>
        <v/>
      </c>
      <c r="I218" s="14">
        <f>$B$3*$B$5*COS(C218)</f>
        <v/>
      </c>
      <c r="J218" s="14">
        <f>H218*COS(G218) + I218*SIN(G218)</f>
        <v/>
      </c>
      <c r="K218" s="14">
        <f>(-H218*SIN(G218) + I218*COS(G218))/F218</f>
        <v/>
      </c>
      <c r="L218" s="15">
        <f>2*K218*J218</f>
        <v/>
      </c>
      <c r="M218" s="14">
        <f>-K218^2*F218</f>
        <v/>
      </c>
    </row>
    <row r="219">
      <c r="A219" s="8" t="n">
        <v>208</v>
      </c>
      <c r="B219" s="9">
        <f>A219*$B$6</f>
        <v/>
      </c>
      <c r="C219" s="10">
        <f>$B$5*B219</f>
        <v/>
      </c>
      <c r="D219" s="10">
        <f>$B$3*COS(C219)</f>
        <v/>
      </c>
      <c r="E219" s="10">
        <f>$B$3*SIN(C219)</f>
        <v/>
      </c>
      <c r="F219" s="10">
        <f>SQRT(D219^2 + (E219+$B$4)^2)</f>
        <v/>
      </c>
      <c r="G219" s="10">
        <f>ATAN2(D219, E219+$B$4)</f>
        <v/>
      </c>
      <c r="H219" s="10">
        <f>-$B$3*$B$5*SIN(C219)</f>
        <v/>
      </c>
      <c r="I219" s="10">
        <f>$B$3*$B$5*COS(C219)</f>
        <v/>
      </c>
      <c r="J219" s="10">
        <f>H219*COS(G219) + I219*SIN(G219)</f>
        <v/>
      </c>
      <c r="K219" s="10">
        <f>(-H219*SIN(G219) + I219*COS(G219))/F219</f>
        <v/>
      </c>
      <c r="L219" s="11">
        <f>2*K219*J219</f>
        <v/>
      </c>
      <c r="M219" s="10">
        <f>-K219^2*F219</f>
        <v/>
      </c>
    </row>
    <row r="220">
      <c r="A220" s="12" t="n">
        <v>209</v>
      </c>
      <c r="B220" s="13">
        <f>A220*$B$6</f>
        <v/>
      </c>
      <c r="C220" s="14">
        <f>$B$5*B220</f>
        <v/>
      </c>
      <c r="D220" s="14">
        <f>$B$3*COS(C220)</f>
        <v/>
      </c>
      <c r="E220" s="14">
        <f>$B$3*SIN(C220)</f>
        <v/>
      </c>
      <c r="F220" s="14">
        <f>SQRT(D220^2 + (E220+$B$4)^2)</f>
        <v/>
      </c>
      <c r="G220" s="14">
        <f>ATAN2(D220, E220+$B$4)</f>
        <v/>
      </c>
      <c r="H220" s="14">
        <f>-$B$3*$B$5*SIN(C220)</f>
        <v/>
      </c>
      <c r="I220" s="14">
        <f>$B$3*$B$5*COS(C220)</f>
        <v/>
      </c>
      <c r="J220" s="14">
        <f>H220*COS(G220) + I220*SIN(G220)</f>
        <v/>
      </c>
      <c r="K220" s="14">
        <f>(-H220*SIN(G220) + I220*COS(G220))/F220</f>
        <v/>
      </c>
      <c r="L220" s="15">
        <f>2*K220*J220</f>
        <v/>
      </c>
      <c r="M220" s="14">
        <f>-K220^2*F220</f>
        <v/>
      </c>
    </row>
    <row r="221">
      <c r="A221" s="8" t="n">
        <v>210</v>
      </c>
      <c r="B221" s="9">
        <f>A221*$B$6</f>
        <v/>
      </c>
      <c r="C221" s="10">
        <f>$B$5*B221</f>
        <v/>
      </c>
      <c r="D221" s="10">
        <f>$B$3*COS(C221)</f>
        <v/>
      </c>
      <c r="E221" s="10">
        <f>$B$3*SIN(C221)</f>
        <v/>
      </c>
      <c r="F221" s="10">
        <f>SQRT(D221^2 + (E221+$B$4)^2)</f>
        <v/>
      </c>
      <c r="G221" s="10">
        <f>ATAN2(D221, E221+$B$4)</f>
        <v/>
      </c>
      <c r="H221" s="10">
        <f>-$B$3*$B$5*SIN(C221)</f>
        <v/>
      </c>
      <c r="I221" s="10">
        <f>$B$3*$B$5*COS(C221)</f>
        <v/>
      </c>
      <c r="J221" s="10">
        <f>H221*COS(G221) + I221*SIN(G221)</f>
        <v/>
      </c>
      <c r="K221" s="10">
        <f>(-H221*SIN(G221) + I221*COS(G221))/F221</f>
        <v/>
      </c>
      <c r="L221" s="11">
        <f>2*K221*J221</f>
        <v/>
      </c>
      <c r="M221" s="10">
        <f>-K221^2*F221</f>
        <v/>
      </c>
    </row>
    <row r="222">
      <c r="A222" s="12" t="n">
        <v>211</v>
      </c>
      <c r="B222" s="13">
        <f>A222*$B$6</f>
        <v/>
      </c>
      <c r="C222" s="14">
        <f>$B$5*B222</f>
        <v/>
      </c>
      <c r="D222" s="14">
        <f>$B$3*COS(C222)</f>
        <v/>
      </c>
      <c r="E222" s="14">
        <f>$B$3*SIN(C222)</f>
        <v/>
      </c>
      <c r="F222" s="14">
        <f>SQRT(D222^2 + (E222+$B$4)^2)</f>
        <v/>
      </c>
      <c r="G222" s="14">
        <f>ATAN2(D222, E222+$B$4)</f>
        <v/>
      </c>
      <c r="H222" s="14">
        <f>-$B$3*$B$5*SIN(C222)</f>
        <v/>
      </c>
      <c r="I222" s="14">
        <f>$B$3*$B$5*COS(C222)</f>
        <v/>
      </c>
      <c r="J222" s="14">
        <f>H222*COS(G222) + I222*SIN(G222)</f>
        <v/>
      </c>
      <c r="K222" s="14">
        <f>(-H222*SIN(G222) + I222*COS(G222))/F222</f>
        <v/>
      </c>
      <c r="L222" s="15">
        <f>2*K222*J222</f>
        <v/>
      </c>
      <c r="M222" s="14">
        <f>-K222^2*F222</f>
        <v/>
      </c>
    </row>
    <row r="223">
      <c r="A223" s="8" t="n">
        <v>212</v>
      </c>
      <c r="B223" s="9">
        <f>A223*$B$6</f>
        <v/>
      </c>
      <c r="C223" s="10">
        <f>$B$5*B223</f>
        <v/>
      </c>
      <c r="D223" s="10">
        <f>$B$3*COS(C223)</f>
        <v/>
      </c>
      <c r="E223" s="10">
        <f>$B$3*SIN(C223)</f>
        <v/>
      </c>
      <c r="F223" s="10">
        <f>SQRT(D223^2 + (E223+$B$4)^2)</f>
        <v/>
      </c>
      <c r="G223" s="10">
        <f>ATAN2(D223, E223+$B$4)</f>
        <v/>
      </c>
      <c r="H223" s="10">
        <f>-$B$3*$B$5*SIN(C223)</f>
        <v/>
      </c>
      <c r="I223" s="10">
        <f>$B$3*$B$5*COS(C223)</f>
        <v/>
      </c>
      <c r="J223" s="10">
        <f>H223*COS(G223) + I223*SIN(G223)</f>
        <v/>
      </c>
      <c r="K223" s="10">
        <f>(-H223*SIN(G223) + I223*COS(G223))/F223</f>
        <v/>
      </c>
      <c r="L223" s="11">
        <f>2*K223*J223</f>
        <v/>
      </c>
      <c r="M223" s="10">
        <f>-K223^2*F223</f>
        <v/>
      </c>
    </row>
    <row r="224">
      <c r="A224" s="12" t="n">
        <v>213</v>
      </c>
      <c r="B224" s="13">
        <f>A224*$B$6</f>
        <v/>
      </c>
      <c r="C224" s="14">
        <f>$B$5*B224</f>
        <v/>
      </c>
      <c r="D224" s="14">
        <f>$B$3*COS(C224)</f>
        <v/>
      </c>
      <c r="E224" s="14">
        <f>$B$3*SIN(C224)</f>
        <v/>
      </c>
      <c r="F224" s="14">
        <f>SQRT(D224^2 + (E224+$B$4)^2)</f>
        <v/>
      </c>
      <c r="G224" s="14">
        <f>ATAN2(D224, E224+$B$4)</f>
        <v/>
      </c>
      <c r="H224" s="14">
        <f>-$B$3*$B$5*SIN(C224)</f>
        <v/>
      </c>
      <c r="I224" s="14">
        <f>$B$3*$B$5*COS(C224)</f>
        <v/>
      </c>
      <c r="J224" s="14">
        <f>H224*COS(G224) + I224*SIN(G224)</f>
        <v/>
      </c>
      <c r="K224" s="14">
        <f>(-H224*SIN(G224) + I224*COS(G224))/F224</f>
        <v/>
      </c>
      <c r="L224" s="15">
        <f>2*K224*J224</f>
        <v/>
      </c>
      <c r="M224" s="14">
        <f>-K224^2*F224</f>
        <v/>
      </c>
    </row>
    <row r="225">
      <c r="A225" s="8" t="n">
        <v>214</v>
      </c>
      <c r="B225" s="9">
        <f>A225*$B$6</f>
        <v/>
      </c>
      <c r="C225" s="10">
        <f>$B$5*B225</f>
        <v/>
      </c>
      <c r="D225" s="10">
        <f>$B$3*COS(C225)</f>
        <v/>
      </c>
      <c r="E225" s="10">
        <f>$B$3*SIN(C225)</f>
        <v/>
      </c>
      <c r="F225" s="10">
        <f>SQRT(D225^2 + (E225+$B$4)^2)</f>
        <v/>
      </c>
      <c r="G225" s="10">
        <f>ATAN2(D225, E225+$B$4)</f>
        <v/>
      </c>
      <c r="H225" s="10">
        <f>-$B$3*$B$5*SIN(C225)</f>
        <v/>
      </c>
      <c r="I225" s="10">
        <f>$B$3*$B$5*COS(C225)</f>
        <v/>
      </c>
      <c r="J225" s="10">
        <f>H225*COS(G225) + I225*SIN(G225)</f>
        <v/>
      </c>
      <c r="K225" s="10">
        <f>(-H225*SIN(G225) + I225*COS(G225))/F225</f>
        <v/>
      </c>
      <c r="L225" s="11">
        <f>2*K225*J225</f>
        <v/>
      </c>
      <c r="M225" s="10">
        <f>-K225^2*F225</f>
        <v/>
      </c>
    </row>
    <row r="226">
      <c r="A226" s="12" t="n">
        <v>215</v>
      </c>
      <c r="B226" s="13">
        <f>A226*$B$6</f>
        <v/>
      </c>
      <c r="C226" s="14">
        <f>$B$5*B226</f>
        <v/>
      </c>
      <c r="D226" s="14">
        <f>$B$3*COS(C226)</f>
        <v/>
      </c>
      <c r="E226" s="14">
        <f>$B$3*SIN(C226)</f>
        <v/>
      </c>
      <c r="F226" s="14">
        <f>SQRT(D226^2 + (E226+$B$4)^2)</f>
        <v/>
      </c>
      <c r="G226" s="14">
        <f>ATAN2(D226, E226+$B$4)</f>
        <v/>
      </c>
      <c r="H226" s="14">
        <f>-$B$3*$B$5*SIN(C226)</f>
        <v/>
      </c>
      <c r="I226" s="14">
        <f>$B$3*$B$5*COS(C226)</f>
        <v/>
      </c>
      <c r="J226" s="14">
        <f>H226*COS(G226) + I226*SIN(G226)</f>
        <v/>
      </c>
      <c r="K226" s="14">
        <f>(-H226*SIN(G226) + I226*COS(G226))/F226</f>
        <v/>
      </c>
      <c r="L226" s="15">
        <f>2*K226*J226</f>
        <v/>
      </c>
      <c r="M226" s="14">
        <f>-K226^2*F226</f>
        <v/>
      </c>
    </row>
    <row r="227">
      <c r="A227" s="8" t="n">
        <v>216</v>
      </c>
      <c r="B227" s="9">
        <f>A227*$B$6</f>
        <v/>
      </c>
      <c r="C227" s="10">
        <f>$B$5*B227</f>
        <v/>
      </c>
      <c r="D227" s="10">
        <f>$B$3*COS(C227)</f>
        <v/>
      </c>
      <c r="E227" s="10">
        <f>$B$3*SIN(C227)</f>
        <v/>
      </c>
      <c r="F227" s="10">
        <f>SQRT(D227^2 + (E227+$B$4)^2)</f>
        <v/>
      </c>
      <c r="G227" s="10">
        <f>ATAN2(D227, E227+$B$4)</f>
        <v/>
      </c>
      <c r="H227" s="10">
        <f>-$B$3*$B$5*SIN(C227)</f>
        <v/>
      </c>
      <c r="I227" s="10">
        <f>$B$3*$B$5*COS(C227)</f>
        <v/>
      </c>
      <c r="J227" s="10">
        <f>H227*COS(G227) + I227*SIN(G227)</f>
        <v/>
      </c>
      <c r="K227" s="10">
        <f>(-H227*SIN(G227) + I227*COS(G227))/F227</f>
        <v/>
      </c>
      <c r="L227" s="11">
        <f>2*K227*J227</f>
        <v/>
      </c>
      <c r="M227" s="10">
        <f>-K227^2*F227</f>
        <v/>
      </c>
    </row>
    <row r="228">
      <c r="A228" s="12" t="n">
        <v>217</v>
      </c>
      <c r="B228" s="13">
        <f>A228*$B$6</f>
        <v/>
      </c>
      <c r="C228" s="14">
        <f>$B$5*B228</f>
        <v/>
      </c>
      <c r="D228" s="14">
        <f>$B$3*COS(C228)</f>
        <v/>
      </c>
      <c r="E228" s="14">
        <f>$B$3*SIN(C228)</f>
        <v/>
      </c>
      <c r="F228" s="14">
        <f>SQRT(D228^2 + (E228+$B$4)^2)</f>
        <v/>
      </c>
      <c r="G228" s="14">
        <f>ATAN2(D228, E228+$B$4)</f>
        <v/>
      </c>
      <c r="H228" s="14">
        <f>-$B$3*$B$5*SIN(C228)</f>
        <v/>
      </c>
      <c r="I228" s="14">
        <f>$B$3*$B$5*COS(C228)</f>
        <v/>
      </c>
      <c r="J228" s="14">
        <f>H228*COS(G228) + I228*SIN(G228)</f>
        <v/>
      </c>
      <c r="K228" s="14">
        <f>(-H228*SIN(G228) + I228*COS(G228))/F228</f>
        <v/>
      </c>
      <c r="L228" s="15">
        <f>2*K228*J228</f>
        <v/>
      </c>
      <c r="M228" s="14">
        <f>-K228^2*F228</f>
        <v/>
      </c>
    </row>
    <row r="229">
      <c r="A229" s="8" t="n">
        <v>218</v>
      </c>
      <c r="B229" s="9">
        <f>A229*$B$6</f>
        <v/>
      </c>
      <c r="C229" s="10">
        <f>$B$5*B229</f>
        <v/>
      </c>
      <c r="D229" s="10">
        <f>$B$3*COS(C229)</f>
        <v/>
      </c>
      <c r="E229" s="10">
        <f>$B$3*SIN(C229)</f>
        <v/>
      </c>
      <c r="F229" s="10">
        <f>SQRT(D229^2 + (E229+$B$4)^2)</f>
        <v/>
      </c>
      <c r="G229" s="10">
        <f>ATAN2(D229, E229+$B$4)</f>
        <v/>
      </c>
      <c r="H229" s="10">
        <f>-$B$3*$B$5*SIN(C229)</f>
        <v/>
      </c>
      <c r="I229" s="10">
        <f>$B$3*$B$5*COS(C229)</f>
        <v/>
      </c>
      <c r="J229" s="10">
        <f>H229*COS(G229) + I229*SIN(G229)</f>
        <v/>
      </c>
      <c r="K229" s="10">
        <f>(-H229*SIN(G229) + I229*COS(G229))/F229</f>
        <v/>
      </c>
      <c r="L229" s="11">
        <f>2*K229*J229</f>
        <v/>
      </c>
      <c r="M229" s="10">
        <f>-K229^2*F229</f>
        <v/>
      </c>
    </row>
    <row r="230">
      <c r="A230" s="12" t="n">
        <v>219</v>
      </c>
      <c r="B230" s="13">
        <f>A230*$B$6</f>
        <v/>
      </c>
      <c r="C230" s="14">
        <f>$B$5*B230</f>
        <v/>
      </c>
      <c r="D230" s="14">
        <f>$B$3*COS(C230)</f>
        <v/>
      </c>
      <c r="E230" s="14">
        <f>$B$3*SIN(C230)</f>
        <v/>
      </c>
      <c r="F230" s="14">
        <f>SQRT(D230^2 + (E230+$B$4)^2)</f>
        <v/>
      </c>
      <c r="G230" s="14">
        <f>ATAN2(D230, E230+$B$4)</f>
        <v/>
      </c>
      <c r="H230" s="14">
        <f>-$B$3*$B$5*SIN(C230)</f>
        <v/>
      </c>
      <c r="I230" s="14">
        <f>$B$3*$B$5*COS(C230)</f>
        <v/>
      </c>
      <c r="J230" s="14">
        <f>H230*COS(G230) + I230*SIN(G230)</f>
        <v/>
      </c>
      <c r="K230" s="14">
        <f>(-H230*SIN(G230) + I230*COS(G230))/F230</f>
        <v/>
      </c>
      <c r="L230" s="15">
        <f>2*K230*J230</f>
        <v/>
      </c>
      <c r="M230" s="14">
        <f>-K230^2*F230</f>
        <v/>
      </c>
    </row>
    <row r="231">
      <c r="A231" s="8" t="n">
        <v>220</v>
      </c>
      <c r="B231" s="9">
        <f>A231*$B$6</f>
        <v/>
      </c>
      <c r="C231" s="10">
        <f>$B$5*B231</f>
        <v/>
      </c>
      <c r="D231" s="10">
        <f>$B$3*COS(C231)</f>
        <v/>
      </c>
      <c r="E231" s="10">
        <f>$B$3*SIN(C231)</f>
        <v/>
      </c>
      <c r="F231" s="10">
        <f>SQRT(D231^2 + (E231+$B$4)^2)</f>
        <v/>
      </c>
      <c r="G231" s="10">
        <f>ATAN2(D231, E231+$B$4)</f>
        <v/>
      </c>
      <c r="H231" s="10">
        <f>-$B$3*$B$5*SIN(C231)</f>
        <v/>
      </c>
      <c r="I231" s="10">
        <f>$B$3*$B$5*COS(C231)</f>
        <v/>
      </c>
      <c r="J231" s="10">
        <f>H231*COS(G231) + I231*SIN(G231)</f>
        <v/>
      </c>
      <c r="K231" s="10">
        <f>(-H231*SIN(G231) + I231*COS(G231))/F231</f>
        <v/>
      </c>
      <c r="L231" s="11">
        <f>2*K231*J231</f>
        <v/>
      </c>
      <c r="M231" s="10">
        <f>-K231^2*F231</f>
        <v/>
      </c>
    </row>
    <row r="232">
      <c r="A232" s="12" t="n">
        <v>221</v>
      </c>
      <c r="B232" s="13">
        <f>A232*$B$6</f>
        <v/>
      </c>
      <c r="C232" s="14">
        <f>$B$5*B232</f>
        <v/>
      </c>
      <c r="D232" s="14">
        <f>$B$3*COS(C232)</f>
        <v/>
      </c>
      <c r="E232" s="14">
        <f>$B$3*SIN(C232)</f>
        <v/>
      </c>
      <c r="F232" s="14">
        <f>SQRT(D232^2 + (E232+$B$4)^2)</f>
        <v/>
      </c>
      <c r="G232" s="14">
        <f>ATAN2(D232, E232+$B$4)</f>
        <v/>
      </c>
      <c r="H232" s="14">
        <f>-$B$3*$B$5*SIN(C232)</f>
        <v/>
      </c>
      <c r="I232" s="14">
        <f>$B$3*$B$5*COS(C232)</f>
        <v/>
      </c>
      <c r="J232" s="14">
        <f>H232*COS(G232) + I232*SIN(G232)</f>
        <v/>
      </c>
      <c r="K232" s="14">
        <f>(-H232*SIN(G232) + I232*COS(G232))/F232</f>
        <v/>
      </c>
      <c r="L232" s="15">
        <f>2*K232*J232</f>
        <v/>
      </c>
      <c r="M232" s="14">
        <f>-K232^2*F232</f>
        <v/>
      </c>
    </row>
    <row r="233">
      <c r="A233" s="8" t="n">
        <v>222</v>
      </c>
      <c r="B233" s="9">
        <f>A233*$B$6</f>
        <v/>
      </c>
      <c r="C233" s="10">
        <f>$B$5*B233</f>
        <v/>
      </c>
      <c r="D233" s="10">
        <f>$B$3*COS(C233)</f>
        <v/>
      </c>
      <c r="E233" s="10">
        <f>$B$3*SIN(C233)</f>
        <v/>
      </c>
      <c r="F233" s="10">
        <f>SQRT(D233^2 + (E233+$B$4)^2)</f>
        <v/>
      </c>
      <c r="G233" s="10">
        <f>ATAN2(D233, E233+$B$4)</f>
        <v/>
      </c>
      <c r="H233" s="10">
        <f>-$B$3*$B$5*SIN(C233)</f>
        <v/>
      </c>
      <c r="I233" s="10">
        <f>$B$3*$B$5*COS(C233)</f>
        <v/>
      </c>
      <c r="J233" s="10">
        <f>H233*COS(G233) + I233*SIN(G233)</f>
        <v/>
      </c>
      <c r="K233" s="10">
        <f>(-H233*SIN(G233) + I233*COS(G233))/F233</f>
        <v/>
      </c>
      <c r="L233" s="11">
        <f>2*K233*J233</f>
        <v/>
      </c>
      <c r="M233" s="10">
        <f>-K233^2*F233</f>
        <v/>
      </c>
    </row>
    <row r="234">
      <c r="A234" s="12" t="n">
        <v>223</v>
      </c>
      <c r="B234" s="13">
        <f>A234*$B$6</f>
        <v/>
      </c>
      <c r="C234" s="14">
        <f>$B$5*B234</f>
        <v/>
      </c>
      <c r="D234" s="14">
        <f>$B$3*COS(C234)</f>
        <v/>
      </c>
      <c r="E234" s="14">
        <f>$B$3*SIN(C234)</f>
        <v/>
      </c>
      <c r="F234" s="14">
        <f>SQRT(D234^2 + (E234+$B$4)^2)</f>
        <v/>
      </c>
      <c r="G234" s="14">
        <f>ATAN2(D234, E234+$B$4)</f>
        <v/>
      </c>
      <c r="H234" s="14">
        <f>-$B$3*$B$5*SIN(C234)</f>
        <v/>
      </c>
      <c r="I234" s="14">
        <f>$B$3*$B$5*COS(C234)</f>
        <v/>
      </c>
      <c r="J234" s="14">
        <f>H234*COS(G234) + I234*SIN(G234)</f>
        <v/>
      </c>
      <c r="K234" s="14">
        <f>(-H234*SIN(G234) + I234*COS(G234))/F234</f>
        <v/>
      </c>
      <c r="L234" s="15">
        <f>2*K234*J234</f>
        <v/>
      </c>
      <c r="M234" s="14">
        <f>-K234^2*F234</f>
        <v/>
      </c>
    </row>
    <row r="235">
      <c r="A235" s="8" t="n">
        <v>224</v>
      </c>
      <c r="B235" s="9">
        <f>A235*$B$6</f>
        <v/>
      </c>
      <c r="C235" s="10">
        <f>$B$5*B235</f>
        <v/>
      </c>
      <c r="D235" s="10">
        <f>$B$3*COS(C235)</f>
        <v/>
      </c>
      <c r="E235" s="10">
        <f>$B$3*SIN(C235)</f>
        <v/>
      </c>
      <c r="F235" s="10">
        <f>SQRT(D235^2 + (E235+$B$4)^2)</f>
        <v/>
      </c>
      <c r="G235" s="10">
        <f>ATAN2(D235, E235+$B$4)</f>
        <v/>
      </c>
      <c r="H235" s="10">
        <f>-$B$3*$B$5*SIN(C235)</f>
        <v/>
      </c>
      <c r="I235" s="10">
        <f>$B$3*$B$5*COS(C235)</f>
        <v/>
      </c>
      <c r="J235" s="10">
        <f>H235*COS(G235) + I235*SIN(G235)</f>
        <v/>
      </c>
      <c r="K235" s="10">
        <f>(-H235*SIN(G235) + I235*COS(G235))/F235</f>
        <v/>
      </c>
      <c r="L235" s="11">
        <f>2*K235*J235</f>
        <v/>
      </c>
      <c r="M235" s="10">
        <f>-K235^2*F235</f>
        <v/>
      </c>
    </row>
    <row r="236">
      <c r="A236" s="12" t="n">
        <v>225</v>
      </c>
      <c r="B236" s="13">
        <f>A236*$B$6</f>
        <v/>
      </c>
      <c r="C236" s="14">
        <f>$B$5*B236</f>
        <v/>
      </c>
      <c r="D236" s="14">
        <f>$B$3*COS(C236)</f>
        <v/>
      </c>
      <c r="E236" s="14">
        <f>$B$3*SIN(C236)</f>
        <v/>
      </c>
      <c r="F236" s="14">
        <f>SQRT(D236^2 + (E236+$B$4)^2)</f>
        <v/>
      </c>
      <c r="G236" s="14">
        <f>ATAN2(D236, E236+$B$4)</f>
        <v/>
      </c>
      <c r="H236" s="14">
        <f>-$B$3*$B$5*SIN(C236)</f>
        <v/>
      </c>
      <c r="I236" s="14">
        <f>$B$3*$B$5*COS(C236)</f>
        <v/>
      </c>
      <c r="J236" s="14">
        <f>H236*COS(G236) + I236*SIN(G236)</f>
        <v/>
      </c>
      <c r="K236" s="14">
        <f>(-H236*SIN(G236) + I236*COS(G236))/F236</f>
        <v/>
      </c>
      <c r="L236" s="15">
        <f>2*K236*J236</f>
        <v/>
      </c>
      <c r="M236" s="14">
        <f>-K236^2*F236</f>
        <v/>
      </c>
    </row>
    <row r="237">
      <c r="A237" s="8" t="n">
        <v>226</v>
      </c>
      <c r="B237" s="9">
        <f>A237*$B$6</f>
        <v/>
      </c>
      <c r="C237" s="10">
        <f>$B$5*B237</f>
        <v/>
      </c>
      <c r="D237" s="10">
        <f>$B$3*COS(C237)</f>
        <v/>
      </c>
      <c r="E237" s="10">
        <f>$B$3*SIN(C237)</f>
        <v/>
      </c>
      <c r="F237" s="10">
        <f>SQRT(D237^2 + (E237+$B$4)^2)</f>
        <v/>
      </c>
      <c r="G237" s="10">
        <f>ATAN2(D237, E237+$B$4)</f>
        <v/>
      </c>
      <c r="H237" s="10">
        <f>-$B$3*$B$5*SIN(C237)</f>
        <v/>
      </c>
      <c r="I237" s="10">
        <f>$B$3*$B$5*COS(C237)</f>
        <v/>
      </c>
      <c r="J237" s="10">
        <f>H237*COS(G237) + I237*SIN(G237)</f>
        <v/>
      </c>
      <c r="K237" s="10">
        <f>(-H237*SIN(G237) + I237*COS(G237))/F237</f>
        <v/>
      </c>
      <c r="L237" s="11">
        <f>2*K237*J237</f>
        <v/>
      </c>
      <c r="M237" s="10">
        <f>-K237^2*F237</f>
        <v/>
      </c>
    </row>
    <row r="238">
      <c r="A238" s="12" t="n">
        <v>227</v>
      </c>
      <c r="B238" s="13">
        <f>A238*$B$6</f>
        <v/>
      </c>
      <c r="C238" s="14">
        <f>$B$5*B238</f>
        <v/>
      </c>
      <c r="D238" s="14">
        <f>$B$3*COS(C238)</f>
        <v/>
      </c>
      <c r="E238" s="14">
        <f>$B$3*SIN(C238)</f>
        <v/>
      </c>
      <c r="F238" s="14">
        <f>SQRT(D238^2 + (E238+$B$4)^2)</f>
        <v/>
      </c>
      <c r="G238" s="14">
        <f>ATAN2(D238, E238+$B$4)</f>
        <v/>
      </c>
      <c r="H238" s="14">
        <f>-$B$3*$B$5*SIN(C238)</f>
        <v/>
      </c>
      <c r="I238" s="14">
        <f>$B$3*$B$5*COS(C238)</f>
        <v/>
      </c>
      <c r="J238" s="14">
        <f>H238*COS(G238) + I238*SIN(G238)</f>
        <v/>
      </c>
      <c r="K238" s="14">
        <f>(-H238*SIN(G238) + I238*COS(G238))/F238</f>
        <v/>
      </c>
      <c r="L238" s="15">
        <f>2*K238*J238</f>
        <v/>
      </c>
      <c r="M238" s="14">
        <f>-K238^2*F238</f>
        <v/>
      </c>
    </row>
    <row r="239">
      <c r="A239" s="8" t="n">
        <v>228</v>
      </c>
      <c r="B239" s="9">
        <f>A239*$B$6</f>
        <v/>
      </c>
      <c r="C239" s="10">
        <f>$B$5*B239</f>
        <v/>
      </c>
      <c r="D239" s="10">
        <f>$B$3*COS(C239)</f>
        <v/>
      </c>
      <c r="E239" s="10">
        <f>$B$3*SIN(C239)</f>
        <v/>
      </c>
      <c r="F239" s="10">
        <f>SQRT(D239^2 + (E239+$B$4)^2)</f>
        <v/>
      </c>
      <c r="G239" s="10">
        <f>ATAN2(D239, E239+$B$4)</f>
        <v/>
      </c>
      <c r="H239" s="10">
        <f>-$B$3*$B$5*SIN(C239)</f>
        <v/>
      </c>
      <c r="I239" s="10">
        <f>$B$3*$B$5*COS(C239)</f>
        <v/>
      </c>
      <c r="J239" s="10">
        <f>H239*COS(G239) + I239*SIN(G239)</f>
        <v/>
      </c>
      <c r="K239" s="10">
        <f>(-H239*SIN(G239) + I239*COS(G239))/F239</f>
        <v/>
      </c>
      <c r="L239" s="11">
        <f>2*K239*J239</f>
        <v/>
      </c>
      <c r="M239" s="10">
        <f>-K239^2*F239</f>
        <v/>
      </c>
    </row>
    <row r="240">
      <c r="A240" s="12" t="n">
        <v>229</v>
      </c>
      <c r="B240" s="13">
        <f>A240*$B$6</f>
        <v/>
      </c>
      <c r="C240" s="14">
        <f>$B$5*B240</f>
        <v/>
      </c>
      <c r="D240" s="14">
        <f>$B$3*COS(C240)</f>
        <v/>
      </c>
      <c r="E240" s="14">
        <f>$B$3*SIN(C240)</f>
        <v/>
      </c>
      <c r="F240" s="14">
        <f>SQRT(D240^2 + (E240+$B$4)^2)</f>
        <v/>
      </c>
      <c r="G240" s="14">
        <f>ATAN2(D240, E240+$B$4)</f>
        <v/>
      </c>
      <c r="H240" s="14">
        <f>-$B$3*$B$5*SIN(C240)</f>
        <v/>
      </c>
      <c r="I240" s="14">
        <f>$B$3*$B$5*COS(C240)</f>
        <v/>
      </c>
      <c r="J240" s="14">
        <f>H240*COS(G240) + I240*SIN(G240)</f>
        <v/>
      </c>
      <c r="K240" s="14">
        <f>(-H240*SIN(G240) + I240*COS(G240))/F240</f>
        <v/>
      </c>
      <c r="L240" s="15">
        <f>2*K240*J240</f>
        <v/>
      </c>
      <c r="M240" s="14">
        <f>-K240^2*F240</f>
        <v/>
      </c>
    </row>
    <row r="241">
      <c r="A241" s="8" t="n">
        <v>230</v>
      </c>
      <c r="B241" s="9">
        <f>A241*$B$6</f>
        <v/>
      </c>
      <c r="C241" s="10">
        <f>$B$5*B241</f>
        <v/>
      </c>
      <c r="D241" s="10">
        <f>$B$3*COS(C241)</f>
        <v/>
      </c>
      <c r="E241" s="10">
        <f>$B$3*SIN(C241)</f>
        <v/>
      </c>
      <c r="F241" s="10">
        <f>SQRT(D241^2 + (E241+$B$4)^2)</f>
        <v/>
      </c>
      <c r="G241" s="10">
        <f>ATAN2(D241, E241+$B$4)</f>
        <v/>
      </c>
      <c r="H241" s="10">
        <f>-$B$3*$B$5*SIN(C241)</f>
        <v/>
      </c>
      <c r="I241" s="10">
        <f>$B$3*$B$5*COS(C241)</f>
        <v/>
      </c>
      <c r="J241" s="10">
        <f>H241*COS(G241) + I241*SIN(G241)</f>
        <v/>
      </c>
      <c r="K241" s="10">
        <f>(-H241*SIN(G241) + I241*COS(G241))/F241</f>
        <v/>
      </c>
      <c r="L241" s="11">
        <f>2*K241*J241</f>
        <v/>
      </c>
      <c r="M241" s="10">
        <f>-K241^2*F241</f>
        <v/>
      </c>
    </row>
    <row r="242">
      <c r="A242" s="12" t="n">
        <v>231</v>
      </c>
      <c r="B242" s="13">
        <f>A242*$B$6</f>
        <v/>
      </c>
      <c r="C242" s="14">
        <f>$B$5*B242</f>
        <v/>
      </c>
      <c r="D242" s="14">
        <f>$B$3*COS(C242)</f>
        <v/>
      </c>
      <c r="E242" s="14">
        <f>$B$3*SIN(C242)</f>
        <v/>
      </c>
      <c r="F242" s="14">
        <f>SQRT(D242^2 + (E242+$B$4)^2)</f>
        <v/>
      </c>
      <c r="G242" s="14">
        <f>ATAN2(D242, E242+$B$4)</f>
        <v/>
      </c>
      <c r="H242" s="14">
        <f>-$B$3*$B$5*SIN(C242)</f>
        <v/>
      </c>
      <c r="I242" s="14">
        <f>$B$3*$B$5*COS(C242)</f>
        <v/>
      </c>
      <c r="J242" s="14">
        <f>H242*COS(G242) + I242*SIN(G242)</f>
        <v/>
      </c>
      <c r="K242" s="14">
        <f>(-H242*SIN(G242) + I242*COS(G242))/F242</f>
        <v/>
      </c>
      <c r="L242" s="15">
        <f>2*K242*J242</f>
        <v/>
      </c>
      <c r="M242" s="14">
        <f>-K242^2*F242</f>
        <v/>
      </c>
    </row>
    <row r="243">
      <c r="A243" s="8" t="n">
        <v>232</v>
      </c>
      <c r="B243" s="9">
        <f>A243*$B$6</f>
        <v/>
      </c>
      <c r="C243" s="10">
        <f>$B$5*B243</f>
        <v/>
      </c>
      <c r="D243" s="10">
        <f>$B$3*COS(C243)</f>
        <v/>
      </c>
      <c r="E243" s="10">
        <f>$B$3*SIN(C243)</f>
        <v/>
      </c>
      <c r="F243" s="10">
        <f>SQRT(D243^2 + (E243+$B$4)^2)</f>
        <v/>
      </c>
      <c r="G243" s="10">
        <f>ATAN2(D243, E243+$B$4)</f>
        <v/>
      </c>
      <c r="H243" s="10">
        <f>-$B$3*$B$5*SIN(C243)</f>
        <v/>
      </c>
      <c r="I243" s="10">
        <f>$B$3*$B$5*COS(C243)</f>
        <v/>
      </c>
      <c r="J243" s="10">
        <f>H243*COS(G243) + I243*SIN(G243)</f>
        <v/>
      </c>
      <c r="K243" s="10">
        <f>(-H243*SIN(G243) + I243*COS(G243))/F243</f>
        <v/>
      </c>
      <c r="L243" s="11">
        <f>2*K243*J243</f>
        <v/>
      </c>
      <c r="M243" s="10">
        <f>-K243^2*F243</f>
        <v/>
      </c>
    </row>
    <row r="244">
      <c r="A244" s="12" t="n">
        <v>233</v>
      </c>
      <c r="B244" s="13">
        <f>A244*$B$6</f>
        <v/>
      </c>
      <c r="C244" s="14">
        <f>$B$5*B244</f>
        <v/>
      </c>
      <c r="D244" s="14">
        <f>$B$3*COS(C244)</f>
        <v/>
      </c>
      <c r="E244" s="14">
        <f>$B$3*SIN(C244)</f>
        <v/>
      </c>
      <c r="F244" s="14">
        <f>SQRT(D244^2 + (E244+$B$4)^2)</f>
        <v/>
      </c>
      <c r="G244" s="14">
        <f>ATAN2(D244, E244+$B$4)</f>
        <v/>
      </c>
      <c r="H244" s="14">
        <f>-$B$3*$B$5*SIN(C244)</f>
        <v/>
      </c>
      <c r="I244" s="14">
        <f>$B$3*$B$5*COS(C244)</f>
        <v/>
      </c>
      <c r="J244" s="14">
        <f>H244*COS(G244) + I244*SIN(G244)</f>
        <v/>
      </c>
      <c r="K244" s="14">
        <f>(-H244*SIN(G244) + I244*COS(G244))/F244</f>
        <v/>
      </c>
      <c r="L244" s="15">
        <f>2*K244*J244</f>
        <v/>
      </c>
      <c r="M244" s="14">
        <f>-K244^2*F244</f>
        <v/>
      </c>
    </row>
    <row r="245">
      <c r="A245" s="8" t="n">
        <v>234</v>
      </c>
      <c r="B245" s="9">
        <f>A245*$B$6</f>
        <v/>
      </c>
      <c r="C245" s="10">
        <f>$B$5*B245</f>
        <v/>
      </c>
      <c r="D245" s="10">
        <f>$B$3*COS(C245)</f>
        <v/>
      </c>
      <c r="E245" s="10">
        <f>$B$3*SIN(C245)</f>
        <v/>
      </c>
      <c r="F245" s="10">
        <f>SQRT(D245^2 + (E245+$B$4)^2)</f>
        <v/>
      </c>
      <c r="G245" s="10">
        <f>ATAN2(D245, E245+$B$4)</f>
        <v/>
      </c>
      <c r="H245" s="10">
        <f>-$B$3*$B$5*SIN(C245)</f>
        <v/>
      </c>
      <c r="I245" s="10">
        <f>$B$3*$B$5*COS(C245)</f>
        <v/>
      </c>
      <c r="J245" s="10">
        <f>H245*COS(G245) + I245*SIN(G245)</f>
        <v/>
      </c>
      <c r="K245" s="10">
        <f>(-H245*SIN(G245) + I245*COS(G245))/F245</f>
        <v/>
      </c>
      <c r="L245" s="11">
        <f>2*K245*J245</f>
        <v/>
      </c>
      <c r="M245" s="10">
        <f>-K245^2*F245</f>
        <v/>
      </c>
    </row>
    <row r="246">
      <c r="A246" s="12" t="n">
        <v>235</v>
      </c>
      <c r="B246" s="13">
        <f>A246*$B$6</f>
        <v/>
      </c>
      <c r="C246" s="14">
        <f>$B$5*B246</f>
        <v/>
      </c>
      <c r="D246" s="14">
        <f>$B$3*COS(C246)</f>
        <v/>
      </c>
      <c r="E246" s="14">
        <f>$B$3*SIN(C246)</f>
        <v/>
      </c>
      <c r="F246" s="14">
        <f>SQRT(D246^2 + (E246+$B$4)^2)</f>
        <v/>
      </c>
      <c r="G246" s="14">
        <f>ATAN2(D246, E246+$B$4)</f>
        <v/>
      </c>
      <c r="H246" s="14">
        <f>-$B$3*$B$5*SIN(C246)</f>
        <v/>
      </c>
      <c r="I246" s="14">
        <f>$B$3*$B$5*COS(C246)</f>
        <v/>
      </c>
      <c r="J246" s="14">
        <f>H246*COS(G246) + I246*SIN(G246)</f>
        <v/>
      </c>
      <c r="K246" s="14">
        <f>(-H246*SIN(G246) + I246*COS(G246))/F246</f>
        <v/>
      </c>
      <c r="L246" s="15">
        <f>2*K246*J246</f>
        <v/>
      </c>
      <c r="M246" s="14">
        <f>-K246^2*F246</f>
        <v/>
      </c>
    </row>
    <row r="247">
      <c r="A247" s="8" t="n">
        <v>236</v>
      </c>
      <c r="B247" s="9">
        <f>A247*$B$6</f>
        <v/>
      </c>
      <c r="C247" s="10">
        <f>$B$5*B247</f>
        <v/>
      </c>
      <c r="D247" s="10">
        <f>$B$3*COS(C247)</f>
        <v/>
      </c>
      <c r="E247" s="10">
        <f>$B$3*SIN(C247)</f>
        <v/>
      </c>
      <c r="F247" s="10">
        <f>SQRT(D247^2 + (E247+$B$4)^2)</f>
        <v/>
      </c>
      <c r="G247" s="10">
        <f>ATAN2(D247, E247+$B$4)</f>
        <v/>
      </c>
      <c r="H247" s="10">
        <f>-$B$3*$B$5*SIN(C247)</f>
        <v/>
      </c>
      <c r="I247" s="10">
        <f>$B$3*$B$5*COS(C247)</f>
        <v/>
      </c>
      <c r="J247" s="10">
        <f>H247*COS(G247) + I247*SIN(G247)</f>
        <v/>
      </c>
      <c r="K247" s="10">
        <f>(-H247*SIN(G247) + I247*COS(G247))/F247</f>
        <v/>
      </c>
      <c r="L247" s="11">
        <f>2*K247*J247</f>
        <v/>
      </c>
      <c r="M247" s="10">
        <f>-K247^2*F247</f>
        <v/>
      </c>
    </row>
    <row r="248">
      <c r="A248" s="12" t="n">
        <v>237</v>
      </c>
      <c r="B248" s="13">
        <f>A248*$B$6</f>
        <v/>
      </c>
      <c r="C248" s="14">
        <f>$B$5*B248</f>
        <v/>
      </c>
      <c r="D248" s="14">
        <f>$B$3*COS(C248)</f>
        <v/>
      </c>
      <c r="E248" s="14">
        <f>$B$3*SIN(C248)</f>
        <v/>
      </c>
      <c r="F248" s="14">
        <f>SQRT(D248^2 + (E248+$B$4)^2)</f>
        <v/>
      </c>
      <c r="G248" s="14">
        <f>ATAN2(D248, E248+$B$4)</f>
        <v/>
      </c>
      <c r="H248" s="14">
        <f>-$B$3*$B$5*SIN(C248)</f>
        <v/>
      </c>
      <c r="I248" s="14">
        <f>$B$3*$B$5*COS(C248)</f>
        <v/>
      </c>
      <c r="J248" s="14">
        <f>H248*COS(G248) + I248*SIN(G248)</f>
        <v/>
      </c>
      <c r="K248" s="14">
        <f>(-H248*SIN(G248) + I248*COS(G248))/F248</f>
        <v/>
      </c>
      <c r="L248" s="15">
        <f>2*K248*J248</f>
        <v/>
      </c>
      <c r="M248" s="14">
        <f>-K248^2*F248</f>
        <v/>
      </c>
    </row>
    <row r="249">
      <c r="A249" s="8" t="n">
        <v>238</v>
      </c>
      <c r="B249" s="9">
        <f>A249*$B$6</f>
        <v/>
      </c>
      <c r="C249" s="10">
        <f>$B$5*B249</f>
        <v/>
      </c>
      <c r="D249" s="10">
        <f>$B$3*COS(C249)</f>
        <v/>
      </c>
      <c r="E249" s="10">
        <f>$B$3*SIN(C249)</f>
        <v/>
      </c>
      <c r="F249" s="10">
        <f>SQRT(D249^2 + (E249+$B$4)^2)</f>
        <v/>
      </c>
      <c r="G249" s="10">
        <f>ATAN2(D249, E249+$B$4)</f>
        <v/>
      </c>
      <c r="H249" s="10">
        <f>-$B$3*$B$5*SIN(C249)</f>
        <v/>
      </c>
      <c r="I249" s="10">
        <f>$B$3*$B$5*COS(C249)</f>
        <v/>
      </c>
      <c r="J249" s="10">
        <f>H249*COS(G249) + I249*SIN(G249)</f>
        <v/>
      </c>
      <c r="K249" s="10">
        <f>(-H249*SIN(G249) + I249*COS(G249))/F249</f>
        <v/>
      </c>
      <c r="L249" s="11">
        <f>2*K249*J249</f>
        <v/>
      </c>
      <c r="M249" s="10">
        <f>-K249^2*F249</f>
        <v/>
      </c>
    </row>
    <row r="250">
      <c r="A250" s="12" t="n">
        <v>239</v>
      </c>
      <c r="B250" s="13">
        <f>A250*$B$6</f>
        <v/>
      </c>
      <c r="C250" s="14">
        <f>$B$5*B250</f>
        <v/>
      </c>
      <c r="D250" s="14">
        <f>$B$3*COS(C250)</f>
        <v/>
      </c>
      <c r="E250" s="14">
        <f>$B$3*SIN(C250)</f>
        <v/>
      </c>
      <c r="F250" s="14">
        <f>SQRT(D250^2 + (E250+$B$4)^2)</f>
        <v/>
      </c>
      <c r="G250" s="14">
        <f>ATAN2(D250, E250+$B$4)</f>
        <v/>
      </c>
      <c r="H250" s="14">
        <f>-$B$3*$B$5*SIN(C250)</f>
        <v/>
      </c>
      <c r="I250" s="14">
        <f>$B$3*$B$5*COS(C250)</f>
        <v/>
      </c>
      <c r="J250" s="14">
        <f>H250*COS(G250) + I250*SIN(G250)</f>
        <v/>
      </c>
      <c r="K250" s="14">
        <f>(-H250*SIN(G250) + I250*COS(G250))/F250</f>
        <v/>
      </c>
      <c r="L250" s="15">
        <f>2*K250*J250</f>
        <v/>
      </c>
      <c r="M250" s="14">
        <f>-K250^2*F250</f>
        <v/>
      </c>
    </row>
    <row r="251">
      <c r="A251" s="8" t="n">
        <v>240</v>
      </c>
      <c r="B251" s="9">
        <f>A251*$B$6</f>
        <v/>
      </c>
      <c r="C251" s="10">
        <f>$B$5*B251</f>
        <v/>
      </c>
      <c r="D251" s="10">
        <f>$B$3*COS(C251)</f>
        <v/>
      </c>
      <c r="E251" s="10">
        <f>$B$3*SIN(C251)</f>
        <v/>
      </c>
      <c r="F251" s="10">
        <f>SQRT(D251^2 + (E251+$B$4)^2)</f>
        <v/>
      </c>
      <c r="G251" s="10">
        <f>ATAN2(D251, E251+$B$4)</f>
        <v/>
      </c>
      <c r="H251" s="10">
        <f>-$B$3*$B$5*SIN(C251)</f>
        <v/>
      </c>
      <c r="I251" s="10">
        <f>$B$3*$B$5*COS(C251)</f>
        <v/>
      </c>
      <c r="J251" s="10">
        <f>H251*COS(G251) + I251*SIN(G251)</f>
        <v/>
      </c>
      <c r="K251" s="10">
        <f>(-H251*SIN(G251) + I251*COS(G251))/F251</f>
        <v/>
      </c>
      <c r="L251" s="11">
        <f>2*K251*J251</f>
        <v/>
      </c>
      <c r="M251" s="10">
        <f>-K251^2*F251</f>
        <v/>
      </c>
    </row>
    <row r="252">
      <c r="A252" s="12" t="n">
        <v>241</v>
      </c>
      <c r="B252" s="13">
        <f>A252*$B$6</f>
        <v/>
      </c>
      <c r="C252" s="14">
        <f>$B$5*B252</f>
        <v/>
      </c>
      <c r="D252" s="14">
        <f>$B$3*COS(C252)</f>
        <v/>
      </c>
      <c r="E252" s="14">
        <f>$B$3*SIN(C252)</f>
        <v/>
      </c>
      <c r="F252" s="14">
        <f>SQRT(D252^2 + (E252+$B$4)^2)</f>
        <v/>
      </c>
      <c r="G252" s="14">
        <f>ATAN2(D252, E252+$B$4)</f>
        <v/>
      </c>
      <c r="H252" s="14">
        <f>-$B$3*$B$5*SIN(C252)</f>
        <v/>
      </c>
      <c r="I252" s="14">
        <f>$B$3*$B$5*COS(C252)</f>
        <v/>
      </c>
      <c r="J252" s="14">
        <f>H252*COS(G252) + I252*SIN(G252)</f>
        <v/>
      </c>
      <c r="K252" s="14">
        <f>(-H252*SIN(G252) + I252*COS(G252))/F252</f>
        <v/>
      </c>
      <c r="L252" s="15">
        <f>2*K252*J252</f>
        <v/>
      </c>
      <c r="M252" s="14">
        <f>-K252^2*F252</f>
        <v/>
      </c>
    </row>
    <row r="253">
      <c r="A253" s="8" t="n">
        <v>242</v>
      </c>
      <c r="B253" s="9">
        <f>A253*$B$6</f>
        <v/>
      </c>
      <c r="C253" s="10">
        <f>$B$5*B253</f>
        <v/>
      </c>
      <c r="D253" s="10">
        <f>$B$3*COS(C253)</f>
        <v/>
      </c>
      <c r="E253" s="10">
        <f>$B$3*SIN(C253)</f>
        <v/>
      </c>
      <c r="F253" s="10">
        <f>SQRT(D253^2 + (E253+$B$4)^2)</f>
        <v/>
      </c>
      <c r="G253" s="10">
        <f>ATAN2(D253, E253+$B$4)</f>
        <v/>
      </c>
      <c r="H253" s="10">
        <f>-$B$3*$B$5*SIN(C253)</f>
        <v/>
      </c>
      <c r="I253" s="10">
        <f>$B$3*$B$5*COS(C253)</f>
        <v/>
      </c>
      <c r="J253" s="10">
        <f>H253*COS(G253) + I253*SIN(G253)</f>
        <v/>
      </c>
      <c r="K253" s="10">
        <f>(-H253*SIN(G253) + I253*COS(G253))/F253</f>
        <v/>
      </c>
      <c r="L253" s="11">
        <f>2*K253*J253</f>
        <v/>
      </c>
      <c r="M253" s="10">
        <f>-K253^2*F253</f>
        <v/>
      </c>
    </row>
    <row r="254">
      <c r="A254" s="12" t="n">
        <v>243</v>
      </c>
      <c r="B254" s="13">
        <f>A254*$B$6</f>
        <v/>
      </c>
      <c r="C254" s="14">
        <f>$B$5*B254</f>
        <v/>
      </c>
      <c r="D254" s="14">
        <f>$B$3*COS(C254)</f>
        <v/>
      </c>
      <c r="E254" s="14">
        <f>$B$3*SIN(C254)</f>
        <v/>
      </c>
      <c r="F254" s="14">
        <f>SQRT(D254^2 + (E254+$B$4)^2)</f>
        <v/>
      </c>
      <c r="G254" s="14">
        <f>ATAN2(D254, E254+$B$4)</f>
        <v/>
      </c>
      <c r="H254" s="14">
        <f>-$B$3*$B$5*SIN(C254)</f>
        <v/>
      </c>
      <c r="I254" s="14">
        <f>$B$3*$B$5*COS(C254)</f>
        <v/>
      </c>
      <c r="J254" s="14">
        <f>H254*COS(G254) + I254*SIN(G254)</f>
        <v/>
      </c>
      <c r="K254" s="14">
        <f>(-H254*SIN(G254) + I254*COS(G254))/F254</f>
        <v/>
      </c>
      <c r="L254" s="15">
        <f>2*K254*J254</f>
        <v/>
      </c>
      <c r="M254" s="14">
        <f>-K254^2*F254</f>
        <v/>
      </c>
    </row>
    <row r="255">
      <c r="A255" s="8" t="n">
        <v>244</v>
      </c>
      <c r="B255" s="9">
        <f>A255*$B$6</f>
        <v/>
      </c>
      <c r="C255" s="10">
        <f>$B$5*B255</f>
        <v/>
      </c>
      <c r="D255" s="10">
        <f>$B$3*COS(C255)</f>
        <v/>
      </c>
      <c r="E255" s="10">
        <f>$B$3*SIN(C255)</f>
        <v/>
      </c>
      <c r="F255" s="10">
        <f>SQRT(D255^2 + (E255+$B$4)^2)</f>
        <v/>
      </c>
      <c r="G255" s="10">
        <f>ATAN2(D255, E255+$B$4)</f>
        <v/>
      </c>
      <c r="H255" s="10">
        <f>-$B$3*$B$5*SIN(C255)</f>
        <v/>
      </c>
      <c r="I255" s="10">
        <f>$B$3*$B$5*COS(C255)</f>
        <v/>
      </c>
      <c r="J255" s="10">
        <f>H255*COS(G255) + I255*SIN(G255)</f>
        <v/>
      </c>
      <c r="K255" s="10">
        <f>(-H255*SIN(G255) + I255*COS(G255))/F255</f>
        <v/>
      </c>
      <c r="L255" s="11">
        <f>2*K255*J255</f>
        <v/>
      </c>
      <c r="M255" s="10">
        <f>-K255^2*F255</f>
        <v/>
      </c>
    </row>
    <row r="256">
      <c r="A256" s="12" t="n">
        <v>245</v>
      </c>
      <c r="B256" s="13">
        <f>A256*$B$6</f>
        <v/>
      </c>
      <c r="C256" s="14">
        <f>$B$5*B256</f>
        <v/>
      </c>
      <c r="D256" s="14">
        <f>$B$3*COS(C256)</f>
        <v/>
      </c>
      <c r="E256" s="14">
        <f>$B$3*SIN(C256)</f>
        <v/>
      </c>
      <c r="F256" s="14">
        <f>SQRT(D256^2 + (E256+$B$4)^2)</f>
        <v/>
      </c>
      <c r="G256" s="14">
        <f>ATAN2(D256, E256+$B$4)</f>
        <v/>
      </c>
      <c r="H256" s="14">
        <f>-$B$3*$B$5*SIN(C256)</f>
        <v/>
      </c>
      <c r="I256" s="14">
        <f>$B$3*$B$5*COS(C256)</f>
        <v/>
      </c>
      <c r="J256" s="14">
        <f>H256*COS(G256) + I256*SIN(G256)</f>
        <v/>
      </c>
      <c r="K256" s="14">
        <f>(-H256*SIN(G256) + I256*COS(G256))/F256</f>
        <v/>
      </c>
      <c r="L256" s="15">
        <f>2*K256*J256</f>
        <v/>
      </c>
      <c r="M256" s="14">
        <f>-K256^2*F256</f>
        <v/>
      </c>
    </row>
    <row r="257">
      <c r="A257" s="8" t="n">
        <v>246</v>
      </c>
      <c r="B257" s="9">
        <f>A257*$B$6</f>
        <v/>
      </c>
      <c r="C257" s="10">
        <f>$B$5*B257</f>
        <v/>
      </c>
      <c r="D257" s="10">
        <f>$B$3*COS(C257)</f>
        <v/>
      </c>
      <c r="E257" s="10">
        <f>$B$3*SIN(C257)</f>
        <v/>
      </c>
      <c r="F257" s="10">
        <f>SQRT(D257^2 + (E257+$B$4)^2)</f>
        <v/>
      </c>
      <c r="G257" s="10">
        <f>ATAN2(D257, E257+$B$4)</f>
        <v/>
      </c>
      <c r="H257" s="10">
        <f>-$B$3*$B$5*SIN(C257)</f>
        <v/>
      </c>
      <c r="I257" s="10">
        <f>$B$3*$B$5*COS(C257)</f>
        <v/>
      </c>
      <c r="J257" s="10">
        <f>H257*COS(G257) + I257*SIN(G257)</f>
        <v/>
      </c>
      <c r="K257" s="10">
        <f>(-H257*SIN(G257) + I257*COS(G257))/F257</f>
        <v/>
      </c>
      <c r="L257" s="11">
        <f>2*K257*J257</f>
        <v/>
      </c>
      <c r="M257" s="10">
        <f>-K257^2*F257</f>
        <v/>
      </c>
    </row>
    <row r="258">
      <c r="A258" s="12" t="n">
        <v>247</v>
      </c>
      <c r="B258" s="13">
        <f>A258*$B$6</f>
        <v/>
      </c>
      <c r="C258" s="14">
        <f>$B$5*B258</f>
        <v/>
      </c>
      <c r="D258" s="14">
        <f>$B$3*COS(C258)</f>
        <v/>
      </c>
      <c r="E258" s="14">
        <f>$B$3*SIN(C258)</f>
        <v/>
      </c>
      <c r="F258" s="14">
        <f>SQRT(D258^2 + (E258+$B$4)^2)</f>
        <v/>
      </c>
      <c r="G258" s="14">
        <f>ATAN2(D258, E258+$B$4)</f>
        <v/>
      </c>
      <c r="H258" s="14">
        <f>-$B$3*$B$5*SIN(C258)</f>
        <v/>
      </c>
      <c r="I258" s="14">
        <f>$B$3*$B$5*COS(C258)</f>
        <v/>
      </c>
      <c r="J258" s="14">
        <f>H258*COS(G258) + I258*SIN(G258)</f>
        <v/>
      </c>
      <c r="K258" s="14">
        <f>(-H258*SIN(G258) + I258*COS(G258))/F258</f>
        <v/>
      </c>
      <c r="L258" s="15">
        <f>2*K258*J258</f>
        <v/>
      </c>
      <c r="M258" s="14">
        <f>-K258^2*F258</f>
        <v/>
      </c>
    </row>
    <row r="259">
      <c r="A259" s="8" t="n">
        <v>248</v>
      </c>
      <c r="B259" s="9">
        <f>A259*$B$6</f>
        <v/>
      </c>
      <c r="C259" s="10">
        <f>$B$5*B259</f>
        <v/>
      </c>
      <c r="D259" s="10">
        <f>$B$3*COS(C259)</f>
        <v/>
      </c>
      <c r="E259" s="10">
        <f>$B$3*SIN(C259)</f>
        <v/>
      </c>
      <c r="F259" s="10">
        <f>SQRT(D259^2 + (E259+$B$4)^2)</f>
        <v/>
      </c>
      <c r="G259" s="10">
        <f>ATAN2(D259, E259+$B$4)</f>
        <v/>
      </c>
      <c r="H259" s="10">
        <f>-$B$3*$B$5*SIN(C259)</f>
        <v/>
      </c>
      <c r="I259" s="10">
        <f>$B$3*$B$5*COS(C259)</f>
        <v/>
      </c>
      <c r="J259" s="10">
        <f>H259*COS(G259) + I259*SIN(G259)</f>
        <v/>
      </c>
      <c r="K259" s="10">
        <f>(-H259*SIN(G259) + I259*COS(G259))/F259</f>
        <v/>
      </c>
      <c r="L259" s="11">
        <f>2*K259*J259</f>
        <v/>
      </c>
      <c r="M259" s="10">
        <f>-K259^2*F259</f>
        <v/>
      </c>
    </row>
    <row r="260">
      <c r="A260" s="12" t="n">
        <v>249</v>
      </c>
      <c r="B260" s="13">
        <f>A260*$B$6</f>
        <v/>
      </c>
      <c r="C260" s="14">
        <f>$B$5*B260</f>
        <v/>
      </c>
      <c r="D260" s="14">
        <f>$B$3*COS(C260)</f>
        <v/>
      </c>
      <c r="E260" s="14">
        <f>$B$3*SIN(C260)</f>
        <v/>
      </c>
      <c r="F260" s="14">
        <f>SQRT(D260^2 + (E260+$B$4)^2)</f>
        <v/>
      </c>
      <c r="G260" s="14">
        <f>ATAN2(D260, E260+$B$4)</f>
        <v/>
      </c>
      <c r="H260" s="14">
        <f>-$B$3*$B$5*SIN(C260)</f>
        <v/>
      </c>
      <c r="I260" s="14">
        <f>$B$3*$B$5*COS(C260)</f>
        <v/>
      </c>
      <c r="J260" s="14">
        <f>H260*COS(G260) + I260*SIN(G260)</f>
        <v/>
      </c>
      <c r="K260" s="14">
        <f>(-H260*SIN(G260) + I260*COS(G260))/F260</f>
        <v/>
      </c>
      <c r="L260" s="15">
        <f>2*K260*J260</f>
        <v/>
      </c>
      <c r="M260" s="14">
        <f>-K260^2*F260</f>
        <v/>
      </c>
    </row>
    <row r="261">
      <c r="A261" s="8" t="n">
        <v>250</v>
      </c>
      <c r="B261" s="9">
        <f>A261*$B$6</f>
        <v/>
      </c>
      <c r="C261" s="10">
        <f>$B$5*B261</f>
        <v/>
      </c>
      <c r="D261" s="10">
        <f>$B$3*COS(C261)</f>
        <v/>
      </c>
      <c r="E261" s="10">
        <f>$B$3*SIN(C261)</f>
        <v/>
      </c>
      <c r="F261" s="10">
        <f>SQRT(D261^2 + (E261+$B$4)^2)</f>
        <v/>
      </c>
      <c r="G261" s="10">
        <f>ATAN2(D261, E261+$B$4)</f>
        <v/>
      </c>
      <c r="H261" s="10">
        <f>-$B$3*$B$5*SIN(C261)</f>
        <v/>
      </c>
      <c r="I261" s="10">
        <f>$B$3*$B$5*COS(C261)</f>
        <v/>
      </c>
      <c r="J261" s="10">
        <f>H261*COS(G261) + I261*SIN(G261)</f>
        <v/>
      </c>
      <c r="K261" s="10">
        <f>(-H261*SIN(G261) + I261*COS(G261))/F261</f>
        <v/>
      </c>
      <c r="L261" s="11">
        <f>2*K261*J261</f>
        <v/>
      </c>
      <c r="M261" s="10">
        <f>-K261^2*F261</f>
        <v/>
      </c>
    </row>
    <row r="262">
      <c r="A262" s="12" t="n">
        <v>251</v>
      </c>
      <c r="B262" s="13">
        <f>A262*$B$6</f>
        <v/>
      </c>
      <c r="C262" s="14">
        <f>$B$5*B262</f>
        <v/>
      </c>
      <c r="D262" s="14">
        <f>$B$3*COS(C262)</f>
        <v/>
      </c>
      <c r="E262" s="14">
        <f>$B$3*SIN(C262)</f>
        <v/>
      </c>
      <c r="F262" s="14">
        <f>SQRT(D262^2 + (E262+$B$4)^2)</f>
        <v/>
      </c>
      <c r="G262" s="14">
        <f>ATAN2(D262, E262+$B$4)</f>
        <v/>
      </c>
      <c r="H262" s="14">
        <f>-$B$3*$B$5*SIN(C262)</f>
        <v/>
      </c>
      <c r="I262" s="14">
        <f>$B$3*$B$5*COS(C262)</f>
        <v/>
      </c>
      <c r="J262" s="14">
        <f>H262*COS(G262) + I262*SIN(G262)</f>
        <v/>
      </c>
      <c r="K262" s="14">
        <f>(-H262*SIN(G262) + I262*COS(G262))/F262</f>
        <v/>
      </c>
      <c r="L262" s="15">
        <f>2*K262*J262</f>
        <v/>
      </c>
      <c r="M262" s="14">
        <f>-K262^2*F262</f>
        <v/>
      </c>
    </row>
    <row r="263">
      <c r="A263" s="8" t="n">
        <v>252</v>
      </c>
      <c r="B263" s="9">
        <f>A263*$B$6</f>
        <v/>
      </c>
      <c r="C263" s="10">
        <f>$B$5*B263</f>
        <v/>
      </c>
      <c r="D263" s="10">
        <f>$B$3*COS(C263)</f>
        <v/>
      </c>
      <c r="E263" s="10">
        <f>$B$3*SIN(C263)</f>
        <v/>
      </c>
      <c r="F263" s="10">
        <f>SQRT(D263^2 + (E263+$B$4)^2)</f>
        <v/>
      </c>
      <c r="G263" s="10">
        <f>ATAN2(D263, E263+$B$4)</f>
        <v/>
      </c>
      <c r="H263" s="10">
        <f>-$B$3*$B$5*SIN(C263)</f>
        <v/>
      </c>
      <c r="I263" s="10">
        <f>$B$3*$B$5*COS(C263)</f>
        <v/>
      </c>
      <c r="J263" s="10">
        <f>H263*COS(G263) + I263*SIN(G263)</f>
        <v/>
      </c>
      <c r="K263" s="10">
        <f>(-H263*SIN(G263) + I263*COS(G263))/F263</f>
        <v/>
      </c>
      <c r="L263" s="11">
        <f>2*K263*J263</f>
        <v/>
      </c>
      <c r="M263" s="10">
        <f>-K263^2*F263</f>
        <v/>
      </c>
    </row>
    <row r="264">
      <c r="A264" s="12" t="n">
        <v>253</v>
      </c>
      <c r="B264" s="13">
        <f>A264*$B$6</f>
        <v/>
      </c>
      <c r="C264" s="14">
        <f>$B$5*B264</f>
        <v/>
      </c>
      <c r="D264" s="14">
        <f>$B$3*COS(C264)</f>
        <v/>
      </c>
      <c r="E264" s="14">
        <f>$B$3*SIN(C264)</f>
        <v/>
      </c>
      <c r="F264" s="14">
        <f>SQRT(D264^2 + (E264+$B$4)^2)</f>
        <v/>
      </c>
      <c r="G264" s="14">
        <f>ATAN2(D264, E264+$B$4)</f>
        <v/>
      </c>
      <c r="H264" s="14">
        <f>-$B$3*$B$5*SIN(C264)</f>
        <v/>
      </c>
      <c r="I264" s="14">
        <f>$B$3*$B$5*COS(C264)</f>
        <v/>
      </c>
      <c r="J264" s="14">
        <f>H264*COS(G264) + I264*SIN(G264)</f>
        <v/>
      </c>
      <c r="K264" s="14">
        <f>(-H264*SIN(G264) + I264*COS(G264))/F264</f>
        <v/>
      </c>
      <c r="L264" s="15">
        <f>2*K264*J264</f>
        <v/>
      </c>
      <c r="M264" s="14">
        <f>-K264^2*F264</f>
        <v/>
      </c>
    </row>
    <row r="265">
      <c r="A265" s="8" t="n">
        <v>254</v>
      </c>
      <c r="B265" s="9">
        <f>A265*$B$6</f>
        <v/>
      </c>
      <c r="C265" s="10">
        <f>$B$5*B265</f>
        <v/>
      </c>
      <c r="D265" s="10">
        <f>$B$3*COS(C265)</f>
        <v/>
      </c>
      <c r="E265" s="10">
        <f>$B$3*SIN(C265)</f>
        <v/>
      </c>
      <c r="F265" s="10">
        <f>SQRT(D265^2 + (E265+$B$4)^2)</f>
        <v/>
      </c>
      <c r="G265" s="10">
        <f>ATAN2(D265, E265+$B$4)</f>
        <v/>
      </c>
      <c r="H265" s="10">
        <f>-$B$3*$B$5*SIN(C265)</f>
        <v/>
      </c>
      <c r="I265" s="10">
        <f>$B$3*$B$5*COS(C265)</f>
        <v/>
      </c>
      <c r="J265" s="10">
        <f>H265*COS(G265) + I265*SIN(G265)</f>
        <v/>
      </c>
      <c r="K265" s="10">
        <f>(-H265*SIN(G265) + I265*COS(G265))/F265</f>
        <v/>
      </c>
      <c r="L265" s="11">
        <f>2*K265*J265</f>
        <v/>
      </c>
      <c r="M265" s="10">
        <f>-K265^2*F265</f>
        <v/>
      </c>
    </row>
    <row r="266">
      <c r="A266" s="12" t="n">
        <v>255</v>
      </c>
      <c r="B266" s="13">
        <f>A266*$B$6</f>
        <v/>
      </c>
      <c r="C266" s="14">
        <f>$B$5*B266</f>
        <v/>
      </c>
      <c r="D266" s="14">
        <f>$B$3*COS(C266)</f>
        <v/>
      </c>
      <c r="E266" s="14">
        <f>$B$3*SIN(C266)</f>
        <v/>
      </c>
      <c r="F266" s="14">
        <f>SQRT(D266^2 + (E266+$B$4)^2)</f>
        <v/>
      </c>
      <c r="G266" s="14">
        <f>ATAN2(D266, E266+$B$4)</f>
        <v/>
      </c>
      <c r="H266" s="14">
        <f>-$B$3*$B$5*SIN(C266)</f>
        <v/>
      </c>
      <c r="I266" s="14">
        <f>$B$3*$B$5*COS(C266)</f>
        <v/>
      </c>
      <c r="J266" s="14">
        <f>H266*COS(G266) + I266*SIN(G266)</f>
        <v/>
      </c>
      <c r="K266" s="14">
        <f>(-H266*SIN(G266) + I266*COS(G266))/F266</f>
        <v/>
      </c>
      <c r="L266" s="15">
        <f>2*K266*J266</f>
        <v/>
      </c>
      <c r="M266" s="14">
        <f>-K266^2*F266</f>
        <v/>
      </c>
    </row>
    <row r="267">
      <c r="A267" s="8" t="n">
        <v>256</v>
      </c>
      <c r="B267" s="9">
        <f>A267*$B$6</f>
        <v/>
      </c>
      <c r="C267" s="10">
        <f>$B$5*B267</f>
        <v/>
      </c>
      <c r="D267" s="10">
        <f>$B$3*COS(C267)</f>
        <v/>
      </c>
      <c r="E267" s="10">
        <f>$B$3*SIN(C267)</f>
        <v/>
      </c>
      <c r="F267" s="10">
        <f>SQRT(D267^2 + (E267+$B$4)^2)</f>
        <v/>
      </c>
      <c r="G267" s="10">
        <f>ATAN2(D267, E267+$B$4)</f>
        <v/>
      </c>
      <c r="H267" s="10">
        <f>-$B$3*$B$5*SIN(C267)</f>
        <v/>
      </c>
      <c r="I267" s="10">
        <f>$B$3*$B$5*COS(C267)</f>
        <v/>
      </c>
      <c r="J267" s="10">
        <f>H267*COS(G267) + I267*SIN(G267)</f>
        <v/>
      </c>
      <c r="K267" s="10">
        <f>(-H267*SIN(G267) + I267*COS(G267))/F267</f>
        <v/>
      </c>
      <c r="L267" s="11">
        <f>2*K267*J267</f>
        <v/>
      </c>
      <c r="M267" s="10">
        <f>-K267^2*F267</f>
        <v/>
      </c>
    </row>
    <row r="268">
      <c r="A268" s="12" t="n">
        <v>257</v>
      </c>
      <c r="B268" s="13">
        <f>A268*$B$6</f>
        <v/>
      </c>
      <c r="C268" s="14">
        <f>$B$5*B268</f>
        <v/>
      </c>
      <c r="D268" s="14">
        <f>$B$3*COS(C268)</f>
        <v/>
      </c>
      <c r="E268" s="14">
        <f>$B$3*SIN(C268)</f>
        <v/>
      </c>
      <c r="F268" s="14">
        <f>SQRT(D268^2 + (E268+$B$4)^2)</f>
        <v/>
      </c>
      <c r="G268" s="14">
        <f>ATAN2(D268, E268+$B$4)</f>
        <v/>
      </c>
      <c r="H268" s="14">
        <f>-$B$3*$B$5*SIN(C268)</f>
        <v/>
      </c>
      <c r="I268" s="14">
        <f>$B$3*$B$5*COS(C268)</f>
        <v/>
      </c>
      <c r="J268" s="14">
        <f>H268*COS(G268) + I268*SIN(G268)</f>
        <v/>
      </c>
      <c r="K268" s="14">
        <f>(-H268*SIN(G268) + I268*COS(G268))/F268</f>
        <v/>
      </c>
      <c r="L268" s="15">
        <f>2*K268*J268</f>
        <v/>
      </c>
      <c r="M268" s="14">
        <f>-K268^2*F268</f>
        <v/>
      </c>
    </row>
    <row r="269">
      <c r="A269" s="8" t="n">
        <v>258</v>
      </c>
      <c r="B269" s="9">
        <f>A269*$B$6</f>
        <v/>
      </c>
      <c r="C269" s="10">
        <f>$B$5*B269</f>
        <v/>
      </c>
      <c r="D269" s="10">
        <f>$B$3*COS(C269)</f>
        <v/>
      </c>
      <c r="E269" s="10">
        <f>$B$3*SIN(C269)</f>
        <v/>
      </c>
      <c r="F269" s="10">
        <f>SQRT(D269^2 + (E269+$B$4)^2)</f>
        <v/>
      </c>
      <c r="G269" s="10">
        <f>ATAN2(D269, E269+$B$4)</f>
        <v/>
      </c>
      <c r="H269" s="10">
        <f>-$B$3*$B$5*SIN(C269)</f>
        <v/>
      </c>
      <c r="I269" s="10">
        <f>$B$3*$B$5*COS(C269)</f>
        <v/>
      </c>
      <c r="J269" s="10">
        <f>H269*COS(G269) + I269*SIN(G269)</f>
        <v/>
      </c>
      <c r="K269" s="10">
        <f>(-H269*SIN(G269) + I269*COS(G269))/F269</f>
        <v/>
      </c>
      <c r="L269" s="11">
        <f>2*K269*J269</f>
        <v/>
      </c>
      <c r="M269" s="10">
        <f>-K269^2*F269</f>
        <v/>
      </c>
    </row>
    <row r="270">
      <c r="A270" s="12" t="n">
        <v>259</v>
      </c>
      <c r="B270" s="13">
        <f>A270*$B$6</f>
        <v/>
      </c>
      <c r="C270" s="14">
        <f>$B$5*B270</f>
        <v/>
      </c>
      <c r="D270" s="14">
        <f>$B$3*COS(C270)</f>
        <v/>
      </c>
      <c r="E270" s="14">
        <f>$B$3*SIN(C270)</f>
        <v/>
      </c>
      <c r="F270" s="14">
        <f>SQRT(D270^2 + (E270+$B$4)^2)</f>
        <v/>
      </c>
      <c r="G270" s="14">
        <f>ATAN2(D270, E270+$B$4)</f>
        <v/>
      </c>
      <c r="H270" s="14">
        <f>-$B$3*$B$5*SIN(C270)</f>
        <v/>
      </c>
      <c r="I270" s="14">
        <f>$B$3*$B$5*COS(C270)</f>
        <v/>
      </c>
      <c r="J270" s="14">
        <f>H270*COS(G270) + I270*SIN(G270)</f>
        <v/>
      </c>
      <c r="K270" s="14">
        <f>(-H270*SIN(G270) + I270*COS(G270))/F270</f>
        <v/>
      </c>
      <c r="L270" s="15">
        <f>2*K270*J270</f>
        <v/>
      </c>
      <c r="M270" s="14">
        <f>-K270^2*F270</f>
        <v/>
      </c>
    </row>
    <row r="271">
      <c r="A271" s="8" t="n">
        <v>260</v>
      </c>
      <c r="B271" s="9">
        <f>A271*$B$6</f>
        <v/>
      </c>
      <c r="C271" s="10">
        <f>$B$5*B271</f>
        <v/>
      </c>
      <c r="D271" s="10">
        <f>$B$3*COS(C271)</f>
        <v/>
      </c>
      <c r="E271" s="10">
        <f>$B$3*SIN(C271)</f>
        <v/>
      </c>
      <c r="F271" s="10">
        <f>SQRT(D271^2 + (E271+$B$4)^2)</f>
        <v/>
      </c>
      <c r="G271" s="10">
        <f>ATAN2(D271, E271+$B$4)</f>
        <v/>
      </c>
      <c r="H271" s="10">
        <f>-$B$3*$B$5*SIN(C271)</f>
        <v/>
      </c>
      <c r="I271" s="10">
        <f>$B$3*$B$5*COS(C271)</f>
        <v/>
      </c>
      <c r="J271" s="10">
        <f>H271*COS(G271) + I271*SIN(G271)</f>
        <v/>
      </c>
      <c r="K271" s="10">
        <f>(-H271*SIN(G271) + I271*COS(G271))/F271</f>
        <v/>
      </c>
      <c r="L271" s="11">
        <f>2*K271*J271</f>
        <v/>
      </c>
      <c r="M271" s="10">
        <f>-K271^2*F271</f>
        <v/>
      </c>
    </row>
    <row r="272">
      <c r="A272" s="12" t="n">
        <v>261</v>
      </c>
      <c r="B272" s="13">
        <f>A272*$B$6</f>
        <v/>
      </c>
      <c r="C272" s="14">
        <f>$B$5*B272</f>
        <v/>
      </c>
      <c r="D272" s="14">
        <f>$B$3*COS(C272)</f>
        <v/>
      </c>
      <c r="E272" s="14">
        <f>$B$3*SIN(C272)</f>
        <v/>
      </c>
      <c r="F272" s="14">
        <f>SQRT(D272^2 + (E272+$B$4)^2)</f>
        <v/>
      </c>
      <c r="G272" s="14">
        <f>ATAN2(D272, E272+$B$4)</f>
        <v/>
      </c>
      <c r="H272" s="14">
        <f>-$B$3*$B$5*SIN(C272)</f>
        <v/>
      </c>
      <c r="I272" s="14">
        <f>$B$3*$B$5*COS(C272)</f>
        <v/>
      </c>
      <c r="J272" s="14">
        <f>H272*COS(G272) + I272*SIN(G272)</f>
        <v/>
      </c>
      <c r="K272" s="14">
        <f>(-H272*SIN(G272) + I272*COS(G272))/F272</f>
        <v/>
      </c>
      <c r="L272" s="15">
        <f>2*K272*J272</f>
        <v/>
      </c>
      <c r="M272" s="14">
        <f>-K272^2*F272</f>
        <v/>
      </c>
    </row>
    <row r="273">
      <c r="A273" s="8" t="n">
        <v>262</v>
      </c>
      <c r="B273" s="9">
        <f>A273*$B$6</f>
        <v/>
      </c>
      <c r="C273" s="10">
        <f>$B$5*B273</f>
        <v/>
      </c>
      <c r="D273" s="10">
        <f>$B$3*COS(C273)</f>
        <v/>
      </c>
      <c r="E273" s="10">
        <f>$B$3*SIN(C273)</f>
        <v/>
      </c>
      <c r="F273" s="10">
        <f>SQRT(D273^2 + (E273+$B$4)^2)</f>
        <v/>
      </c>
      <c r="G273" s="10">
        <f>ATAN2(D273, E273+$B$4)</f>
        <v/>
      </c>
      <c r="H273" s="10">
        <f>-$B$3*$B$5*SIN(C273)</f>
        <v/>
      </c>
      <c r="I273" s="10">
        <f>$B$3*$B$5*COS(C273)</f>
        <v/>
      </c>
      <c r="J273" s="10">
        <f>H273*COS(G273) + I273*SIN(G273)</f>
        <v/>
      </c>
      <c r="K273" s="10">
        <f>(-H273*SIN(G273) + I273*COS(G273))/F273</f>
        <v/>
      </c>
      <c r="L273" s="11">
        <f>2*K273*J273</f>
        <v/>
      </c>
      <c r="M273" s="10">
        <f>-K273^2*F273</f>
        <v/>
      </c>
    </row>
    <row r="274">
      <c r="A274" s="12" t="n">
        <v>263</v>
      </c>
      <c r="B274" s="13">
        <f>A274*$B$6</f>
        <v/>
      </c>
      <c r="C274" s="14">
        <f>$B$5*B274</f>
        <v/>
      </c>
      <c r="D274" s="14">
        <f>$B$3*COS(C274)</f>
        <v/>
      </c>
      <c r="E274" s="14">
        <f>$B$3*SIN(C274)</f>
        <v/>
      </c>
      <c r="F274" s="14">
        <f>SQRT(D274^2 + (E274+$B$4)^2)</f>
        <v/>
      </c>
      <c r="G274" s="14">
        <f>ATAN2(D274, E274+$B$4)</f>
        <v/>
      </c>
      <c r="H274" s="14">
        <f>-$B$3*$B$5*SIN(C274)</f>
        <v/>
      </c>
      <c r="I274" s="14">
        <f>$B$3*$B$5*COS(C274)</f>
        <v/>
      </c>
      <c r="J274" s="14">
        <f>H274*COS(G274) + I274*SIN(G274)</f>
        <v/>
      </c>
      <c r="K274" s="14">
        <f>(-H274*SIN(G274) + I274*COS(G274))/F274</f>
        <v/>
      </c>
      <c r="L274" s="15">
        <f>2*K274*J274</f>
        <v/>
      </c>
      <c r="M274" s="14">
        <f>-K274^2*F274</f>
        <v/>
      </c>
    </row>
    <row r="275">
      <c r="A275" s="8" t="n">
        <v>264</v>
      </c>
      <c r="B275" s="9">
        <f>A275*$B$6</f>
        <v/>
      </c>
      <c r="C275" s="10">
        <f>$B$5*B275</f>
        <v/>
      </c>
      <c r="D275" s="10">
        <f>$B$3*COS(C275)</f>
        <v/>
      </c>
      <c r="E275" s="10">
        <f>$B$3*SIN(C275)</f>
        <v/>
      </c>
      <c r="F275" s="10">
        <f>SQRT(D275^2 + (E275+$B$4)^2)</f>
        <v/>
      </c>
      <c r="G275" s="10">
        <f>ATAN2(D275, E275+$B$4)</f>
        <v/>
      </c>
      <c r="H275" s="10">
        <f>-$B$3*$B$5*SIN(C275)</f>
        <v/>
      </c>
      <c r="I275" s="10">
        <f>$B$3*$B$5*COS(C275)</f>
        <v/>
      </c>
      <c r="J275" s="10">
        <f>H275*COS(G275) + I275*SIN(G275)</f>
        <v/>
      </c>
      <c r="K275" s="10">
        <f>(-H275*SIN(G275) + I275*COS(G275))/F275</f>
        <v/>
      </c>
      <c r="L275" s="11">
        <f>2*K275*J275</f>
        <v/>
      </c>
      <c r="M275" s="10">
        <f>-K275^2*F275</f>
        <v/>
      </c>
    </row>
    <row r="276">
      <c r="A276" s="12" t="n">
        <v>265</v>
      </c>
      <c r="B276" s="13">
        <f>A276*$B$6</f>
        <v/>
      </c>
      <c r="C276" s="14">
        <f>$B$5*B276</f>
        <v/>
      </c>
      <c r="D276" s="14">
        <f>$B$3*COS(C276)</f>
        <v/>
      </c>
      <c r="E276" s="14">
        <f>$B$3*SIN(C276)</f>
        <v/>
      </c>
      <c r="F276" s="14">
        <f>SQRT(D276^2 + (E276+$B$4)^2)</f>
        <v/>
      </c>
      <c r="G276" s="14">
        <f>ATAN2(D276, E276+$B$4)</f>
        <v/>
      </c>
      <c r="H276" s="14">
        <f>-$B$3*$B$5*SIN(C276)</f>
        <v/>
      </c>
      <c r="I276" s="14">
        <f>$B$3*$B$5*COS(C276)</f>
        <v/>
      </c>
      <c r="J276" s="14">
        <f>H276*COS(G276) + I276*SIN(G276)</f>
        <v/>
      </c>
      <c r="K276" s="14">
        <f>(-H276*SIN(G276) + I276*COS(G276))/F276</f>
        <v/>
      </c>
      <c r="L276" s="15">
        <f>2*K276*J276</f>
        <v/>
      </c>
      <c r="M276" s="14">
        <f>-K276^2*F276</f>
        <v/>
      </c>
    </row>
    <row r="277">
      <c r="A277" s="8" t="n">
        <v>266</v>
      </c>
      <c r="B277" s="9">
        <f>A277*$B$6</f>
        <v/>
      </c>
      <c r="C277" s="10">
        <f>$B$5*B277</f>
        <v/>
      </c>
      <c r="D277" s="10">
        <f>$B$3*COS(C277)</f>
        <v/>
      </c>
      <c r="E277" s="10">
        <f>$B$3*SIN(C277)</f>
        <v/>
      </c>
      <c r="F277" s="10">
        <f>SQRT(D277^2 + (E277+$B$4)^2)</f>
        <v/>
      </c>
      <c r="G277" s="10">
        <f>ATAN2(D277, E277+$B$4)</f>
        <v/>
      </c>
      <c r="H277" s="10">
        <f>-$B$3*$B$5*SIN(C277)</f>
        <v/>
      </c>
      <c r="I277" s="10">
        <f>$B$3*$B$5*COS(C277)</f>
        <v/>
      </c>
      <c r="J277" s="10">
        <f>H277*COS(G277) + I277*SIN(G277)</f>
        <v/>
      </c>
      <c r="K277" s="10">
        <f>(-H277*SIN(G277) + I277*COS(G277))/F277</f>
        <v/>
      </c>
      <c r="L277" s="11">
        <f>2*K277*J277</f>
        <v/>
      </c>
      <c r="M277" s="10">
        <f>-K277^2*F277</f>
        <v/>
      </c>
    </row>
    <row r="278">
      <c r="A278" s="12" t="n">
        <v>267</v>
      </c>
      <c r="B278" s="13">
        <f>A278*$B$6</f>
        <v/>
      </c>
      <c r="C278" s="14">
        <f>$B$5*B278</f>
        <v/>
      </c>
      <c r="D278" s="14">
        <f>$B$3*COS(C278)</f>
        <v/>
      </c>
      <c r="E278" s="14">
        <f>$B$3*SIN(C278)</f>
        <v/>
      </c>
      <c r="F278" s="14">
        <f>SQRT(D278^2 + (E278+$B$4)^2)</f>
        <v/>
      </c>
      <c r="G278" s="14">
        <f>ATAN2(D278, E278+$B$4)</f>
        <v/>
      </c>
      <c r="H278" s="14">
        <f>-$B$3*$B$5*SIN(C278)</f>
        <v/>
      </c>
      <c r="I278" s="14">
        <f>$B$3*$B$5*COS(C278)</f>
        <v/>
      </c>
      <c r="J278" s="14">
        <f>H278*COS(G278) + I278*SIN(G278)</f>
        <v/>
      </c>
      <c r="K278" s="14">
        <f>(-H278*SIN(G278) + I278*COS(G278))/F278</f>
        <v/>
      </c>
      <c r="L278" s="15">
        <f>2*K278*J278</f>
        <v/>
      </c>
      <c r="M278" s="14">
        <f>-K278^2*F278</f>
        <v/>
      </c>
    </row>
    <row r="279">
      <c r="A279" s="8" t="n">
        <v>268</v>
      </c>
      <c r="B279" s="9">
        <f>A279*$B$6</f>
        <v/>
      </c>
      <c r="C279" s="10">
        <f>$B$5*B279</f>
        <v/>
      </c>
      <c r="D279" s="10">
        <f>$B$3*COS(C279)</f>
        <v/>
      </c>
      <c r="E279" s="10">
        <f>$B$3*SIN(C279)</f>
        <v/>
      </c>
      <c r="F279" s="10">
        <f>SQRT(D279^2 + (E279+$B$4)^2)</f>
        <v/>
      </c>
      <c r="G279" s="10">
        <f>ATAN2(D279, E279+$B$4)</f>
        <v/>
      </c>
      <c r="H279" s="10">
        <f>-$B$3*$B$5*SIN(C279)</f>
        <v/>
      </c>
      <c r="I279" s="10">
        <f>$B$3*$B$5*COS(C279)</f>
        <v/>
      </c>
      <c r="J279" s="10">
        <f>H279*COS(G279) + I279*SIN(G279)</f>
        <v/>
      </c>
      <c r="K279" s="10">
        <f>(-H279*SIN(G279) + I279*COS(G279))/F279</f>
        <v/>
      </c>
      <c r="L279" s="11">
        <f>2*K279*J279</f>
        <v/>
      </c>
      <c r="M279" s="10">
        <f>-K279^2*F279</f>
        <v/>
      </c>
    </row>
    <row r="280">
      <c r="A280" s="12" t="n">
        <v>269</v>
      </c>
      <c r="B280" s="13">
        <f>A280*$B$6</f>
        <v/>
      </c>
      <c r="C280" s="14">
        <f>$B$5*B280</f>
        <v/>
      </c>
      <c r="D280" s="14">
        <f>$B$3*COS(C280)</f>
        <v/>
      </c>
      <c r="E280" s="14">
        <f>$B$3*SIN(C280)</f>
        <v/>
      </c>
      <c r="F280" s="14">
        <f>SQRT(D280^2 + (E280+$B$4)^2)</f>
        <v/>
      </c>
      <c r="G280" s="14">
        <f>ATAN2(D280, E280+$B$4)</f>
        <v/>
      </c>
      <c r="H280" s="14">
        <f>-$B$3*$B$5*SIN(C280)</f>
        <v/>
      </c>
      <c r="I280" s="14">
        <f>$B$3*$B$5*COS(C280)</f>
        <v/>
      </c>
      <c r="J280" s="14">
        <f>H280*COS(G280) + I280*SIN(G280)</f>
        <v/>
      </c>
      <c r="K280" s="14">
        <f>(-H280*SIN(G280) + I280*COS(G280))/F280</f>
        <v/>
      </c>
      <c r="L280" s="15">
        <f>2*K280*J280</f>
        <v/>
      </c>
      <c r="M280" s="14">
        <f>-K280^2*F280</f>
        <v/>
      </c>
    </row>
    <row r="281">
      <c r="A281" s="8" t="n">
        <v>270</v>
      </c>
      <c r="B281" s="9">
        <f>A281*$B$6</f>
        <v/>
      </c>
      <c r="C281" s="10">
        <f>$B$5*B281</f>
        <v/>
      </c>
      <c r="D281" s="10">
        <f>$B$3*COS(C281)</f>
        <v/>
      </c>
      <c r="E281" s="10">
        <f>$B$3*SIN(C281)</f>
        <v/>
      </c>
      <c r="F281" s="10">
        <f>SQRT(D281^2 + (E281+$B$4)^2)</f>
        <v/>
      </c>
      <c r="G281" s="10">
        <f>ATAN2(D281, E281+$B$4)</f>
        <v/>
      </c>
      <c r="H281" s="10">
        <f>-$B$3*$B$5*SIN(C281)</f>
        <v/>
      </c>
      <c r="I281" s="10">
        <f>$B$3*$B$5*COS(C281)</f>
        <v/>
      </c>
      <c r="J281" s="10">
        <f>H281*COS(G281) + I281*SIN(G281)</f>
        <v/>
      </c>
      <c r="K281" s="10">
        <f>(-H281*SIN(G281) + I281*COS(G281))/F281</f>
        <v/>
      </c>
      <c r="L281" s="11">
        <f>2*K281*J281</f>
        <v/>
      </c>
      <c r="M281" s="10">
        <f>-K281^2*F281</f>
        <v/>
      </c>
    </row>
    <row r="282">
      <c r="A282" s="12" t="n">
        <v>271</v>
      </c>
      <c r="B282" s="13">
        <f>A282*$B$6</f>
        <v/>
      </c>
      <c r="C282" s="14">
        <f>$B$5*B282</f>
        <v/>
      </c>
      <c r="D282" s="14">
        <f>$B$3*COS(C282)</f>
        <v/>
      </c>
      <c r="E282" s="14">
        <f>$B$3*SIN(C282)</f>
        <v/>
      </c>
      <c r="F282" s="14">
        <f>SQRT(D282^2 + (E282+$B$4)^2)</f>
        <v/>
      </c>
      <c r="G282" s="14">
        <f>ATAN2(D282, E282+$B$4)</f>
        <v/>
      </c>
      <c r="H282" s="14">
        <f>-$B$3*$B$5*SIN(C282)</f>
        <v/>
      </c>
      <c r="I282" s="14">
        <f>$B$3*$B$5*COS(C282)</f>
        <v/>
      </c>
      <c r="J282" s="14">
        <f>H282*COS(G282) + I282*SIN(G282)</f>
        <v/>
      </c>
      <c r="K282" s="14">
        <f>(-H282*SIN(G282) + I282*COS(G282))/F282</f>
        <v/>
      </c>
      <c r="L282" s="15">
        <f>2*K282*J282</f>
        <v/>
      </c>
      <c r="M282" s="14">
        <f>-K282^2*F282</f>
        <v/>
      </c>
    </row>
    <row r="283">
      <c r="A283" s="8" t="n">
        <v>272</v>
      </c>
      <c r="B283" s="9">
        <f>A283*$B$6</f>
        <v/>
      </c>
      <c r="C283" s="10">
        <f>$B$5*B283</f>
        <v/>
      </c>
      <c r="D283" s="10">
        <f>$B$3*COS(C283)</f>
        <v/>
      </c>
      <c r="E283" s="10">
        <f>$B$3*SIN(C283)</f>
        <v/>
      </c>
      <c r="F283" s="10">
        <f>SQRT(D283^2 + (E283+$B$4)^2)</f>
        <v/>
      </c>
      <c r="G283" s="10">
        <f>ATAN2(D283, E283+$B$4)</f>
        <v/>
      </c>
      <c r="H283" s="10">
        <f>-$B$3*$B$5*SIN(C283)</f>
        <v/>
      </c>
      <c r="I283" s="10">
        <f>$B$3*$B$5*COS(C283)</f>
        <v/>
      </c>
      <c r="J283" s="10">
        <f>H283*COS(G283) + I283*SIN(G283)</f>
        <v/>
      </c>
      <c r="K283" s="10">
        <f>(-H283*SIN(G283) + I283*COS(G283))/F283</f>
        <v/>
      </c>
      <c r="L283" s="11">
        <f>2*K283*J283</f>
        <v/>
      </c>
      <c r="M283" s="10">
        <f>-K283^2*F283</f>
        <v/>
      </c>
    </row>
    <row r="284">
      <c r="A284" s="12" t="n">
        <v>273</v>
      </c>
      <c r="B284" s="13">
        <f>A284*$B$6</f>
        <v/>
      </c>
      <c r="C284" s="14">
        <f>$B$5*B284</f>
        <v/>
      </c>
      <c r="D284" s="14">
        <f>$B$3*COS(C284)</f>
        <v/>
      </c>
      <c r="E284" s="14">
        <f>$B$3*SIN(C284)</f>
        <v/>
      </c>
      <c r="F284" s="14">
        <f>SQRT(D284^2 + (E284+$B$4)^2)</f>
        <v/>
      </c>
      <c r="G284" s="14">
        <f>ATAN2(D284, E284+$B$4)</f>
        <v/>
      </c>
      <c r="H284" s="14">
        <f>-$B$3*$B$5*SIN(C284)</f>
        <v/>
      </c>
      <c r="I284" s="14">
        <f>$B$3*$B$5*COS(C284)</f>
        <v/>
      </c>
      <c r="J284" s="14">
        <f>H284*COS(G284) + I284*SIN(G284)</f>
        <v/>
      </c>
      <c r="K284" s="14">
        <f>(-H284*SIN(G284) + I284*COS(G284))/F284</f>
        <v/>
      </c>
      <c r="L284" s="15">
        <f>2*K284*J284</f>
        <v/>
      </c>
      <c r="M284" s="14">
        <f>-K284^2*F284</f>
        <v/>
      </c>
    </row>
    <row r="285">
      <c r="A285" s="8" t="n">
        <v>274</v>
      </c>
      <c r="B285" s="9">
        <f>A285*$B$6</f>
        <v/>
      </c>
      <c r="C285" s="10">
        <f>$B$5*B285</f>
        <v/>
      </c>
      <c r="D285" s="10">
        <f>$B$3*COS(C285)</f>
        <v/>
      </c>
      <c r="E285" s="10">
        <f>$B$3*SIN(C285)</f>
        <v/>
      </c>
      <c r="F285" s="10">
        <f>SQRT(D285^2 + (E285+$B$4)^2)</f>
        <v/>
      </c>
      <c r="G285" s="10">
        <f>ATAN2(D285, E285+$B$4)</f>
        <v/>
      </c>
      <c r="H285" s="10">
        <f>-$B$3*$B$5*SIN(C285)</f>
        <v/>
      </c>
      <c r="I285" s="10">
        <f>$B$3*$B$5*COS(C285)</f>
        <v/>
      </c>
      <c r="J285" s="10">
        <f>H285*COS(G285) + I285*SIN(G285)</f>
        <v/>
      </c>
      <c r="K285" s="10">
        <f>(-H285*SIN(G285) + I285*COS(G285))/F285</f>
        <v/>
      </c>
      <c r="L285" s="11">
        <f>2*K285*J285</f>
        <v/>
      </c>
      <c r="M285" s="10">
        <f>-K285^2*F285</f>
        <v/>
      </c>
    </row>
    <row r="286">
      <c r="A286" s="12" t="n">
        <v>275</v>
      </c>
      <c r="B286" s="13">
        <f>A286*$B$6</f>
        <v/>
      </c>
      <c r="C286" s="14">
        <f>$B$5*B286</f>
        <v/>
      </c>
      <c r="D286" s="14">
        <f>$B$3*COS(C286)</f>
        <v/>
      </c>
      <c r="E286" s="14">
        <f>$B$3*SIN(C286)</f>
        <v/>
      </c>
      <c r="F286" s="14">
        <f>SQRT(D286^2 + (E286+$B$4)^2)</f>
        <v/>
      </c>
      <c r="G286" s="14">
        <f>ATAN2(D286, E286+$B$4)</f>
        <v/>
      </c>
      <c r="H286" s="14">
        <f>-$B$3*$B$5*SIN(C286)</f>
        <v/>
      </c>
      <c r="I286" s="14">
        <f>$B$3*$B$5*COS(C286)</f>
        <v/>
      </c>
      <c r="J286" s="14">
        <f>H286*COS(G286) + I286*SIN(G286)</f>
        <v/>
      </c>
      <c r="K286" s="14">
        <f>(-H286*SIN(G286) + I286*COS(G286))/F286</f>
        <v/>
      </c>
      <c r="L286" s="15">
        <f>2*K286*J286</f>
        <v/>
      </c>
      <c r="M286" s="14">
        <f>-K286^2*F286</f>
        <v/>
      </c>
    </row>
    <row r="287">
      <c r="A287" s="8" t="n">
        <v>276</v>
      </c>
      <c r="B287" s="9">
        <f>A287*$B$6</f>
        <v/>
      </c>
      <c r="C287" s="10">
        <f>$B$5*B287</f>
        <v/>
      </c>
      <c r="D287" s="10">
        <f>$B$3*COS(C287)</f>
        <v/>
      </c>
      <c r="E287" s="10">
        <f>$B$3*SIN(C287)</f>
        <v/>
      </c>
      <c r="F287" s="10">
        <f>SQRT(D287^2 + (E287+$B$4)^2)</f>
        <v/>
      </c>
      <c r="G287" s="10">
        <f>ATAN2(D287, E287+$B$4)</f>
        <v/>
      </c>
      <c r="H287" s="10">
        <f>-$B$3*$B$5*SIN(C287)</f>
        <v/>
      </c>
      <c r="I287" s="10">
        <f>$B$3*$B$5*COS(C287)</f>
        <v/>
      </c>
      <c r="J287" s="10">
        <f>H287*COS(G287) + I287*SIN(G287)</f>
        <v/>
      </c>
      <c r="K287" s="10">
        <f>(-H287*SIN(G287) + I287*COS(G287))/F287</f>
        <v/>
      </c>
      <c r="L287" s="11">
        <f>2*K287*J287</f>
        <v/>
      </c>
      <c r="M287" s="10">
        <f>-K287^2*F287</f>
        <v/>
      </c>
    </row>
    <row r="288">
      <c r="A288" s="12" t="n">
        <v>277</v>
      </c>
      <c r="B288" s="13">
        <f>A288*$B$6</f>
        <v/>
      </c>
      <c r="C288" s="14">
        <f>$B$5*B288</f>
        <v/>
      </c>
      <c r="D288" s="14">
        <f>$B$3*COS(C288)</f>
        <v/>
      </c>
      <c r="E288" s="14">
        <f>$B$3*SIN(C288)</f>
        <v/>
      </c>
      <c r="F288" s="14">
        <f>SQRT(D288^2 + (E288+$B$4)^2)</f>
        <v/>
      </c>
      <c r="G288" s="14">
        <f>ATAN2(D288, E288+$B$4)</f>
        <v/>
      </c>
      <c r="H288" s="14">
        <f>-$B$3*$B$5*SIN(C288)</f>
        <v/>
      </c>
      <c r="I288" s="14">
        <f>$B$3*$B$5*COS(C288)</f>
        <v/>
      </c>
      <c r="J288" s="14">
        <f>H288*COS(G288) + I288*SIN(G288)</f>
        <v/>
      </c>
      <c r="K288" s="14">
        <f>(-H288*SIN(G288) + I288*COS(G288))/F288</f>
        <v/>
      </c>
      <c r="L288" s="15">
        <f>2*K288*J288</f>
        <v/>
      </c>
      <c r="M288" s="14">
        <f>-K288^2*F288</f>
        <v/>
      </c>
    </row>
    <row r="289">
      <c r="A289" s="8" t="n">
        <v>278</v>
      </c>
      <c r="B289" s="9">
        <f>A289*$B$6</f>
        <v/>
      </c>
      <c r="C289" s="10">
        <f>$B$5*B289</f>
        <v/>
      </c>
      <c r="D289" s="10">
        <f>$B$3*COS(C289)</f>
        <v/>
      </c>
      <c r="E289" s="10">
        <f>$B$3*SIN(C289)</f>
        <v/>
      </c>
      <c r="F289" s="10">
        <f>SQRT(D289^2 + (E289+$B$4)^2)</f>
        <v/>
      </c>
      <c r="G289" s="10">
        <f>ATAN2(D289, E289+$B$4)</f>
        <v/>
      </c>
      <c r="H289" s="10">
        <f>-$B$3*$B$5*SIN(C289)</f>
        <v/>
      </c>
      <c r="I289" s="10">
        <f>$B$3*$B$5*COS(C289)</f>
        <v/>
      </c>
      <c r="J289" s="10">
        <f>H289*COS(G289) + I289*SIN(G289)</f>
        <v/>
      </c>
      <c r="K289" s="10">
        <f>(-H289*SIN(G289) + I289*COS(G289))/F289</f>
        <v/>
      </c>
      <c r="L289" s="11">
        <f>2*K289*J289</f>
        <v/>
      </c>
      <c r="M289" s="10">
        <f>-K289^2*F289</f>
        <v/>
      </c>
    </row>
    <row r="290">
      <c r="A290" s="12" t="n">
        <v>279</v>
      </c>
      <c r="B290" s="13">
        <f>A290*$B$6</f>
        <v/>
      </c>
      <c r="C290" s="14">
        <f>$B$5*B290</f>
        <v/>
      </c>
      <c r="D290" s="14">
        <f>$B$3*COS(C290)</f>
        <v/>
      </c>
      <c r="E290" s="14">
        <f>$B$3*SIN(C290)</f>
        <v/>
      </c>
      <c r="F290" s="14">
        <f>SQRT(D290^2 + (E290+$B$4)^2)</f>
        <v/>
      </c>
      <c r="G290" s="14">
        <f>ATAN2(D290, E290+$B$4)</f>
        <v/>
      </c>
      <c r="H290" s="14">
        <f>-$B$3*$B$5*SIN(C290)</f>
        <v/>
      </c>
      <c r="I290" s="14">
        <f>$B$3*$B$5*COS(C290)</f>
        <v/>
      </c>
      <c r="J290" s="14">
        <f>H290*COS(G290) + I290*SIN(G290)</f>
        <v/>
      </c>
      <c r="K290" s="14">
        <f>(-H290*SIN(G290) + I290*COS(G290))/F290</f>
        <v/>
      </c>
      <c r="L290" s="15">
        <f>2*K290*J290</f>
        <v/>
      </c>
      <c r="M290" s="14">
        <f>-K290^2*F290</f>
        <v/>
      </c>
    </row>
    <row r="291">
      <c r="A291" s="8" t="n">
        <v>280</v>
      </c>
      <c r="B291" s="9">
        <f>A291*$B$6</f>
        <v/>
      </c>
      <c r="C291" s="10">
        <f>$B$5*B291</f>
        <v/>
      </c>
      <c r="D291" s="10">
        <f>$B$3*COS(C291)</f>
        <v/>
      </c>
      <c r="E291" s="10">
        <f>$B$3*SIN(C291)</f>
        <v/>
      </c>
      <c r="F291" s="10">
        <f>SQRT(D291^2 + (E291+$B$4)^2)</f>
        <v/>
      </c>
      <c r="G291" s="10">
        <f>ATAN2(D291, E291+$B$4)</f>
        <v/>
      </c>
      <c r="H291" s="10">
        <f>-$B$3*$B$5*SIN(C291)</f>
        <v/>
      </c>
      <c r="I291" s="10">
        <f>$B$3*$B$5*COS(C291)</f>
        <v/>
      </c>
      <c r="J291" s="10">
        <f>H291*COS(G291) + I291*SIN(G291)</f>
        <v/>
      </c>
      <c r="K291" s="10">
        <f>(-H291*SIN(G291) + I291*COS(G291))/F291</f>
        <v/>
      </c>
      <c r="L291" s="11">
        <f>2*K291*J291</f>
        <v/>
      </c>
      <c r="M291" s="10">
        <f>-K291^2*F291</f>
        <v/>
      </c>
    </row>
    <row r="292">
      <c r="A292" s="12" t="n">
        <v>281</v>
      </c>
      <c r="B292" s="13">
        <f>A292*$B$6</f>
        <v/>
      </c>
      <c r="C292" s="14">
        <f>$B$5*B292</f>
        <v/>
      </c>
      <c r="D292" s="14">
        <f>$B$3*COS(C292)</f>
        <v/>
      </c>
      <c r="E292" s="14">
        <f>$B$3*SIN(C292)</f>
        <v/>
      </c>
      <c r="F292" s="14">
        <f>SQRT(D292^2 + (E292+$B$4)^2)</f>
        <v/>
      </c>
      <c r="G292" s="14">
        <f>ATAN2(D292, E292+$B$4)</f>
        <v/>
      </c>
      <c r="H292" s="14">
        <f>-$B$3*$B$5*SIN(C292)</f>
        <v/>
      </c>
      <c r="I292" s="14">
        <f>$B$3*$B$5*COS(C292)</f>
        <v/>
      </c>
      <c r="J292" s="14">
        <f>H292*COS(G292) + I292*SIN(G292)</f>
        <v/>
      </c>
      <c r="K292" s="14">
        <f>(-H292*SIN(G292) + I292*COS(G292))/F292</f>
        <v/>
      </c>
      <c r="L292" s="15">
        <f>2*K292*J292</f>
        <v/>
      </c>
      <c r="M292" s="14">
        <f>-K292^2*F292</f>
        <v/>
      </c>
    </row>
    <row r="293">
      <c r="A293" s="8" t="n">
        <v>282</v>
      </c>
      <c r="B293" s="9">
        <f>A293*$B$6</f>
        <v/>
      </c>
      <c r="C293" s="10">
        <f>$B$5*B293</f>
        <v/>
      </c>
      <c r="D293" s="10">
        <f>$B$3*COS(C293)</f>
        <v/>
      </c>
      <c r="E293" s="10">
        <f>$B$3*SIN(C293)</f>
        <v/>
      </c>
      <c r="F293" s="10">
        <f>SQRT(D293^2 + (E293+$B$4)^2)</f>
        <v/>
      </c>
      <c r="G293" s="10">
        <f>ATAN2(D293, E293+$B$4)</f>
        <v/>
      </c>
      <c r="H293" s="10">
        <f>-$B$3*$B$5*SIN(C293)</f>
        <v/>
      </c>
      <c r="I293" s="10">
        <f>$B$3*$B$5*COS(C293)</f>
        <v/>
      </c>
      <c r="J293" s="10">
        <f>H293*COS(G293) + I293*SIN(G293)</f>
        <v/>
      </c>
      <c r="K293" s="10">
        <f>(-H293*SIN(G293) + I293*COS(G293))/F293</f>
        <v/>
      </c>
      <c r="L293" s="11">
        <f>2*K293*J293</f>
        <v/>
      </c>
      <c r="M293" s="10">
        <f>-K293^2*F293</f>
        <v/>
      </c>
    </row>
    <row r="294">
      <c r="A294" s="12" t="n">
        <v>283</v>
      </c>
      <c r="B294" s="13">
        <f>A294*$B$6</f>
        <v/>
      </c>
      <c r="C294" s="14">
        <f>$B$5*B294</f>
        <v/>
      </c>
      <c r="D294" s="14">
        <f>$B$3*COS(C294)</f>
        <v/>
      </c>
      <c r="E294" s="14">
        <f>$B$3*SIN(C294)</f>
        <v/>
      </c>
      <c r="F294" s="14">
        <f>SQRT(D294^2 + (E294+$B$4)^2)</f>
        <v/>
      </c>
      <c r="G294" s="14">
        <f>ATAN2(D294, E294+$B$4)</f>
        <v/>
      </c>
      <c r="H294" s="14">
        <f>-$B$3*$B$5*SIN(C294)</f>
        <v/>
      </c>
      <c r="I294" s="14">
        <f>$B$3*$B$5*COS(C294)</f>
        <v/>
      </c>
      <c r="J294" s="14">
        <f>H294*COS(G294) + I294*SIN(G294)</f>
        <v/>
      </c>
      <c r="K294" s="14">
        <f>(-H294*SIN(G294) + I294*COS(G294))/F294</f>
        <v/>
      </c>
      <c r="L294" s="15">
        <f>2*K294*J294</f>
        <v/>
      </c>
      <c r="M294" s="14">
        <f>-K294^2*F294</f>
        <v/>
      </c>
    </row>
    <row r="295">
      <c r="A295" s="8" t="n">
        <v>284</v>
      </c>
      <c r="B295" s="9">
        <f>A295*$B$6</f>
        <v/>
      </c>
      <c r="C295" s="10">
        <f>$B$5*B295</f>
        <v/>
      </c>
      <c r="D295" s="10">
        <f>$B$3*COS(C295)</f>
        <v/>
      </c>
      <c r="E295" s="10">
        <f>$B$3*SIN(C295)</f>
        <v/>
      </c>
      <c r="F295" s="10">
        <f>SQRT(D295^2 + (E295+$B$4)^2)</f>
        <v/>
      </c>
      <c r="G295" s="10">
        <f>ATAN2(D295, E295+$B$4)</f>
        <v/>
      </c>
      <c r="H295" s="10">
        <f>-$B$3*$B$5*SIN(C295)</f>
        <v/>
      </c>
      <c r="I295" s="10">
        <f>$B$3*$B$5*COS(C295)</f>
        <v/>
      </c>
      <c r="J295" s="10">
        <f>H295*COS(G295) + I295*SIN(G295)</f>
        <v/>
      </c>
      <c r="K295" s="10">
        <f>(-H295*SIN(G295) + I295*COS(G295))/F295</f>
        <v/>
      </c>
      <c r="L295" s="11">
        <f>2*K295*J295</f>
        <v/>
      </c>
      <c r="M295" s="10">
        <f>-K295^2*F295</f>
        <v/>
      </c>
    </row>
    <row r="296">
      <c r="A296" s="12" t="n">
        <v>285</v>
      </c>
      <c r="B296" s="13">
        <f>A296*$B$6</f>
        <v/>
      </c>
      <c r="C296" s="14">
        <f>$B$5*B296</f>
        <v/>
      </c>
      <c r="D296" s="14">
        <f>$B$3*COS(C296)</f>
        <v/>
      </c>
      <c r="E296" s="14">
        <f>$B$3*SIN(C296)</f>
        <v/>
      </c>
      <c r="F296" s="14">
        <f>SQRT(D296^2 + (E296+$B$4)^2)</f>
        <v/>
      </c>
      <c r="G296" s="14">
        <f>ATAN2(D296, E296+$B$4)</f>
        <v/>
      </c>
      <c r="H296" s="14">
        <f>-$B$3*$B$5*SIN(C296)</f>
        <v/>
      </c>
      <c r="I296" s="14">
        <f>$B$3*$B$5*COS(C296)</f>
        <v/>
      </c>
      <c r="J296" s="14">
        <f>H296*COS(G296) + I296*SIN(G296)</f>
        <v/>
      </c>
      <c r="K296" s="14">
        <f>(-H296*SIN(G296) + I296*COS(G296))/F296</f>
        <v/>
      </c>
      <c r="L296" s="15">
        <f>2*K296*J296</f>
        <v/>
      </c>
      <c r="M296" s="14">
        <f>-K296^2*F296</f>
        <v/>
      </c>
    </row>
    <row r="297">
      <c r="A297" s="8" t="n">
        <v>286</v>
      </c>
      <c r="B297" s="9">
        <f>A297*$B$6</f>
        <v/>
      </c>
      <c r="C297" s="10">
        <f>$B$5*B297</f>
        <v/>
      </c>
      <c r="D297" s="10">
        <f>$B$3*COS(C297)</f>
        <v/>
      </c>
      <c r="E297" s="10">
        <f>$B$3*SIN(C297)</f>
        <v/>
      </c>
      <c r="F297" s="10">
        <f>SQRT(D297^2 + (E297+$B$4)^2)</f>
        <v/>
      </c>
      <c r="G297" s="10">
        <f>ATAN2(D297, E297+$B$4)</f>
        <v/>
      </c>
      <c r="H297" s="10">
        <f>-$B$3*$B$5*SIN(C297)</f>
        <v/>
      </c>
      <c r="I297" s="10">
        <f>$B$3*$B$5*COS(C297)</f>
        <v/>
      </c>
      <c r="J297" s="10">
        <f>H297*COS(G297) + I297*SIN(G297)</f>
        <v/>
      </c>
      <c r="K297" s="10">
        <f>(-H297*SIN(G297) + I297*COS(G297))/F297</f>
        <v/>
      </c>
      <c r="L297" s="11">
        <f>2*K297*J297</f>
        <v/>
      </c>
      <c r="M297" s="10">
        <f>-K297^2*F297</f>
        <v/>
      </c>
    </row>
    <row r="298">
      <c r="A298" s="12" t="n">
        <v>287</v>
      </c>
      <c r="B298" s="13">
        <f>A298*$B$6</f>
        <v/>
      </c>
      <c r="C298" s="14">
        <f>$B$5*B298</f>
        <v/>
      </c>
      <c r="D298" s="14">
        <f>$B$3*COS(C298)</f>
        <v/>
      </c>
      <c r="E298" s="14">
        <f>$B$3*SIN(C298)</f>
        <v/>
      </c>
      <c r="F298" s="14">
        <f>SQRT(D298^2 + (E298+$B$4)^2)</f>
        <v/>
      </c>
      <c r="G298" s="14">
        <f>ATAN2(D298, E298+$B$4)</f>
        <v/>
      </c>
      <c r="H298" s="14">
        <f>-$B$3*$B$5*SIN(C298)</f>
        <v/>
      </c>
      <c r="I298" s="14">
        <f>$B$3*$B$5*COS(C298)</f>
        <v/>
      </c>
      <c r="J298" s="14">
        <f>H298*COS(G298) + I298*SIN(G298)</f>
        <v/>
      </c>
      <c r="K298" s="14">
        <f>(-H298*SIN(G298) + I298*COS(G298))/F298</f>
        <v/>
      </c>
      <c r="L298" s="15">
        <f>2*K298*J298</f>
        <v/>
      </c>
      <c r="M298" s="14">
        <f>-K298^2*F298</f>
        <v/>
      </c>
    </row>
    <row r="299">
      <c r="A299" s="8" t="n">
        <v>288</v>
      </c>
      <c r="B299" s="9">
        <f>A299*$B$6</f>
        <v/>
      </c>
      <c r="C299" s="10">
        <f>$B$5*B299</f>
        <v/>
      </c>
      <c r="D299" s="10">
        <f>$B$3*COS(C299)</f>
        <v/>
      </c>
      <c r="E299" s="10">
        <f>$B$3*SIN(C299)</f>
        <v/>
      </c>
      <c r="F299" s="10">
        <f>SQRT(D299^2 + (E299+$B$4)^2)</f>
        <v/>
      </c>
      <c r="G299" s="10">
        <f>ATAN2(D299, E299+$B$4)</f>
        <v/>
      </c>
      <c r="H299" s="10">
        <f>-$B$3*$B$5*SIN(C299)</f>
        <v/>
      </c>
      <c r="I299" s="10">
        <f>$B$3*$B$5*COS(C299)</f>
        <v/>
      </c>
      <c r="J299" s="10">
        <f>H299*COS(G299) + I299*SIN(G299)</f>
        <v/>
      </c>
      <c r="K299" s="10">
        <f>(-H299*SIN(G299) + I299*COS(G299))/F299</f>
        <v/>
      </c>
      <c r="L299" s="11">
        <f>2*K299*J299</f>
        <v/>
      </c>
      <c r="M299" s="10">
        <f>-K299^2*F299</f>
        <v/>
      </c>
    </row>
    <row r="300">
      <c r="A300" s="12" t="n">
        <v>289</v>
      </c>
      <c r="B300" s="13">
        <f>A300*$B$6</f>
        <v/>
      </c>
      <c r="C300" s="14">
        <f>$B$5*B300</f>
        <v/>
      </c>
      <c r="D300" s="14">
        <f>$B$3*COS(C300)</f>
        <v/>
      </c>
      <c r="E300" s="14">
        <f>$B$3*SIN(C300)</f>
        <v/>
      </c>
      <c r="F300" s="14">
        <f>SQRT(D300^2 + (E300+$B$4)^2)</f>
        <v/>
      </c>
      <c r="G300" s="14">
        <f>ATAN2(D300, E300+$B$4)</f>
        <v/>
      </c>
      <c r="H300" s="14">
        <f>-$B$3*$B$5*SIN(C300)</f>
        <v/>
      </c>
      <c r="I300" s="14">
        <f>$B$3*$B$5*COS(C300)</f>
        <v/>
      </c>
      <c r="J300" s="14">
        <f>H300*COS(G300) + I300*SIN(G300)</f>
        <v/>
      </c>
      <c r="K300" s="14">
        <f>(-H300*SIN(G300) + I300*COS(G300))/F300</f>
        <v/>
      </c>
      <c r="L300" s="15">
        <f>2*K300*J300</f>
        <v/>
      </c>
      <c r="M300" s="14">
        <f>-K300^2*F300</f>
        <v/>
      </c>
    </row>
    <row r="301">
      <c r="A301" s="8" t="n">
        <v>290</v>
      </c>
      <c r="B301" s="9">
        <f>A301*$B$6</f>
        <v/>
      </c>
      <c r="C301" s="10">
        <f>$B$5*B301</f>
        <v/>
      </c>
      <c r="D301" s="10">
        <f>$B$3*COS(C301)</f>
        <v/>
      </c>
      <c r="E301" s="10">
        <f>$B$3*SIN(C301)</f>
        <v/>
      </c>
      <c r="F301" s="10">
        <f>SQRT(D301^2 + (E301+$B$4)^2)</f>
        <v/>
      </c>
      <c r="G301" s="10">
        <f>ATAN2(D301, E301+$B$4)</f>
        <v/>
      </c>
      <c r="H301" s="10">
        <f>-$B$3*$B$5*SIN(C301)</f>
        <v/>
      </c>
      <c r="I301" s="10">
        <f>$B$3*$B$5*COS(C301)</f>
        <v/>
      </c>
      <c r="J301" s="10">
        <f>H301*COS(G301) + I301*SIN(G301)</f>
        <v/>
      </c>
      <c r="K301" s="10">
        <f>(-H301*SIN(G301) + I301*COS(G301))/F301</f>
        <v/>
      </c>
      <c r="L301" s="11">
        <f>2*K301*J301</f>
        <v/>
      </c>
      <c r="M301" s="10">
        <f>-K301^2*F301</f>
        <v/>
      </c>
    </row>
    <row r="302">
      <c r="A302" s="12" t="n">
        <v>291</v>
      </c>
      <c r="B302" s="13">
        <f>A302*$B$6</f>
        <v/>
      </c>
      <c r="C302" s="14">
        <f>$B$5*B302</f>
        <v/>
      </c>
      <c r="D302" s="14">
        <f>$B$3*COS(C302)</f>
        <v/>
      </c>
      <c r="E302" s="14">
        <f>$B$3*SIN(C302)</f>
        <v/>
      </c>
      <c r="F302" s="14">
        <f>SQRT(D302^2 + (E302+$B$4)^2)</f>
        <v/>
      </c>
      <c r="G302" s="14">
        <f>ATAN2(D302, E302+$B$4)</f>
        <v/>
      </c>
      <c r="H302" s="14">
        <f>-$B$3*$B$5*SIN(C302)</f>
        <v/>
      </c>
      <c r="I302" s="14">
        <f>$B$3*$B$5*COS(C302)</f>
        <v/>
      </c>
      <c r="J302" s="14">
        <f>H302*COS(G302) + I302*SIN(G302)</f>
        <v/>
      </c>
      <c r="K302" s="14">
        <f>(-H302*SIN(G302) + I302*COS(G302))/F302</f>
        <v/>
      </c>
      <c r="L302" s="15">
        <f>2*K302*J302</f>
        <v/>
      </c>
      <c r="M302" s="14">
        <f>-K302^2*F302</f>
        <v/>
      </c>
    </row>
    <row r="303">
      <c r="A303" s="8" t="n">
        <v>292</v>
      </c>
      <c r="B303" s="9">
        <f>A303*$B$6</f>
        <v/>
      </c>
      <c r="C303" s="10">
        <f>$B$5*B303</f>
        <v/>
      </c>
      <c r="D303" s="10">
        <f>$B$3*COS(C303)</f>
        <v/>
      </c>
      <c r="E303" s="10">
        <f>$B$3*SIN(C303)</f>
        <v/>
      </c>
      <c r="F303" s="10">
        <f>SQRT(D303^2 + (E303+$B$4)^2)</f>
        <v/>
      </c>
      <c r="G303" s="10">
        <f>ATAN2(D303, E303+$B$4)</f>
        <v/>
      </c>
      <c r="H303" s="10">
        <f>-$B$3*$B$5*SIN(C303)</f>
        <v/>
      </c>
      <c r="I303" s="10">
        <f>$B$3*$B$5*COS(C303)</f>
        <v/>
      </c>
      <c r="J303" s="10">
        <f>H303*COS(G303) + I303*SIN(G303)</f>
        <v/>
      </c>
      <c r="K303" s="10">
        <f>(-H303*SIN(G303) + I303*COS(G303))/F303</f>
        <v/>
      </c>
      <c r="L303" s="11">
        <f>2*K303*J303</f>
        <v/>
      </c>
      <c r="M303" s="10">
        <f>-K303^2*F303</f>
        <v/>
      </c>
    </row>
    <row r="304">
      <c r="A304" s="12" t="n">
        <v>293</v>
      </c>
      <c r="B304" s="13">
        <f>A304*$B$6</f>
        <v/>
      </c>
      <c r="C304" s="14">
        <f>$B$5*B304</f>
        <v/>
      </c>
      <c r="D304" s="14">
        <f>$B$3*COS(C304)</f>
        <v/>
      </c>
      <c r="E304" s="14">
        <f>$B$3*SIN(C304)</f>
        <v/>
      </c>
      <c r="F304" s="14">
        <f>SQRT(D304^2 + (E304+$B$4)^2)</f>
        <v/>
      </c>
      <c r="G304" s="14">
        <f>ATAN2(D304, E304+$B$4)</f>
        <v/>
      </c>
      <c r="H304" s="14">
        <f>-$B$3*$B$5*SIN(C304)</f>
        <v/>
      </c>
      <c r="I304" s="14">
        <f>$B$3*$B$5*COS(C304)</f>
        <v/>
      </c>
      <c r="J304" s="14">
        <f>H304*COS(G304) + I304*SIN(G304)</f>
        <v/>
      </c>
      <c r="K304" s="14">
        <f>(-H304*SIN(G304) + I304*COS(G304))/F304</f>
        <v/>
      </c>
      <c r="L304" s="15">
        <f>2*K304*J304</f>
        <v/>
      </c>
      <c r="M304" s="14">
        <f>-K304^2*F304</f>
        <v/>
      </c>
    </row>
    <row r="305">
      <c r="A305" s="8" t="n">
        <v>294</v>
      </c>
      <c r="B305" s="9">
        <f>A305*$B$6</f>
        <v/>
      </c>
      <c r="C305" s="10">
        <f>$B$5*B305</f>
        <v/>
      </c>
      <c r="D305" s="10">
        <f>$B$3*COS(C305)</f>
        <v/>
      </c>
      <c r="E305" s="10">
        <f>$B$3*SIN(C305)</f>
        <v/>
      </c>
      <c r="F305" s="10">
        <f>SQRT(D305^2 + (E305+$B$4)^2)</f>
        <v/>
      </c>
      <c r="G305" s="10">
        <f>ATAN2(D305, E305+$B$4)</f>
        <v/>
      </c>
      <c r="H305" s="10">
        <f>-$B$3*$B$5*SIN(C305)</f>
        <v/>
      </c>
      <c r="I305" s="10">
        <f>$B$3*$B$5*COS(C305)</f>
        <v/>
      </c>
      <c r="J305" s="10">
        <f>H305*COS(G305) + I305*SIN(G305)</f>
        <v/>
      </c>
      <c r="K305" s="10">
        <f>(-H305*SIN(G305) + I305*COS(G305))/F305</f>
        <v/>
      </c>
      <c r="L305" s="11">
        <f>2*K305*J305</f>
        <v/>
      </c>
      <c r="M305" s="10">
        <f>-K305^2*F305</f>
        <v/>
      </c>
    </row>
    <row r="306">
      <c r="A306" s="12" t="n">
        <v>295</v>
      </c>
      <c r="B306" s="13">
        <f>A306*$B$6</f>
        <v/>
      </c>
      <c r="C306" s="14">
        <f>$B$5*B306</f>
        <v/>
      </c>
      <c r="D306" s="14">
        <f>$B$3*COS(C306)</f>
        <v/>
      </c>
      <c r="E306" s="14">
        <f>$B$3*SIN(C306)</f>
        <v/>
      </c>
      <c r="F306" s="14">
        <f>SQRT(D306^2 + (E306+$B$4)^2)</f>
        <v/>
      </c>
      <c r="G306" s="14">
        <f>ATAN2(D306, E306+$B$4)</f>
        <v/>
      </c>
      <c r="H306" s="14">
        <f>-$B$3*$B$5*SIN(C306)</f>
        <v/>
      </c>
      <c r="I306" s="14">
        <f>$B$3*$B$5*COS(C306)</f>
        <v/>
      </c>
      <c r="J306" s="14">
        <f>H306*COS(G306) + I306*SIN(G306)</f>
        <v/>
      </c>
      <c r="K306" s="14">
        <f>(-H306*SIN(G306) + I306*COS(G306))/F306</f>
        <v/>
      </c>
      <c r="L306" s="15">
        <f>2*K306*J306</f>
        <v/>
      </c>
      <c r="M306" s="14">
        <f>-K306^2*F306</f>
        <v/>
      </c>
    </row>
    <row r="307">
      <c r="A307" s="8" t="n">
        <v>296</v>
      </c>
      <c r="B307" s="9">
        <f>A307*$B$6</f>
        <v/>
      </c>
      <c r="C307" s="10">
        <f>$B$5*B307</f>
        <v/>
      </c>
      <c r="D307" s="10">
        <f>$B$3*COS(C307)</f>
        <v/>
      </c>
      <c r="E307" s="10">
        <f>$B$3*SIN(C307)</f>
        <v/>
      </c>
      <c r="F307" s="10">
        <f>SQRT(D307^2 + (E307+$B$4)^2)</f>
        <v/>
      </c>
      <c r="G307" s="10">
        <f>ATAN2(D307, E307+$B$4)</f>
        <v/>
      </c>
      <c r="H307" s="10">
        <f>-$B$3*$B$5*SIN(C307)</f>
        <v/>
      </c>
      <c r="I307" s="10">
        <f>$B$3*$B$5*COS(C307)</f>
        <v/>
      </c>
      <c r="J307" s="10">
        <f>H307*COS(G307) + I307*SIN(G307)</f>
        <v/>
      </c>
      <c r="K307" s="10">
        <f>(-H307*SIN(G307) + I307*COS(G307))/F307</f>
        <v/>
      </c>
      <c r="L307" s="11">
        <f>2*K307*J307</f>
        <v/>
      </c>
      <c r="M307" s="10">
        <f>-K307^2*F307</f>
        <v/>
      </c>
    </row>
    <row r="308">
      <c r="A308" s="12" t="n">
        <v>297</v>
      </c>
      <c r="B308" s="13">
        <f>A308*$B$6</f>
        <v/>
      </c>
      <c r="C308" s="14">
        <f>$B$5*B308</f>
        <v/>
      </c>
      <c r="D308" s="14">
        <f>$B$3*COS(C308)</f>
        <v/>
      </c>
      <c r="E308" s="14">
        <f>$B$3*SIN(C308)</f>
        <v/>
      </c>
      <c r="F308" s="14">
        <f>SQRT(D308^2 + (E308+$B$4)^2)</f>
        <v/>
      </c>
      <c r="G308" s="14">
        <f>ATAN2(D308, E308+$B$4)</f>
        <v/>
      </c>
      <c r="H308" s="14">
        <f>-$B$3*$B$5*SIN(C308)</f>
        <v/>
      </c>
      <c r="I308" s="14">
        <f>$B$3*$B$5*COS(C308)</f>
        <v/>
      </c>
      <c r="J308" s="14">
        <f>H308*COS(G308) + I308*SIN(G308)</f>
        <v/>
      </c>
      <c r="K308" s="14">
        <f>(-H308*SIN(G308) + I308*COS(G308))/F308</f>
        <v/>
      </c>
      <c r="L308" s="15">
        <f>2*K308*J308</f>
        <v/>
      </c>
      <c r="M308" s="14">
        <f>-K308^2*F308</f>
        <v/>
      </c>
    </row>
    <row r="309">
      <c r="A309" s="8" t="n">
        <v>298</v>
      </c>
      <c r="B309" s="9">
        <f>A309*$B$6</f>
        <v/>
      </c>
      <c r="C309" s="10">
        <f>$B$5*B309</f>
        <v/>
      </c>
      <c r="D309" s="10">
        <f>$B$3*COS(C309)</f>
        <v/>
      </c>
      <c r="E309" s="10">
        <f>$B$3*SIN(C309)</f>
        <v/>
      </c>
      <c r="F309" s="10">
        <f>SQRT(D309^2 + (E309+$B$4)^2)</f>
        <v/>
      </c>
      <c r="G309" s="10">
        <f>ATAN2(D309, E309+$B$4)</f>
        <v/>
      </c>
      <c r="H309" s="10">
        <f>-$B$3*$B$5*SIN(C309)</f>
        <v/>
      </c>
      <c r="I309" s="10">
        <f>$B$3*$B$5*COS(C309)</f>
        <v/>
      </c>
      <c r="J309" s="10">
        <f>H309*COS(G309) + I309*SIN(G309)</f>
        <v/>
      </c>
      <c r="K309" s="10">
        <f>(-H309*SIN(G309) + I309*COS(G309))/F309</f>
        <v/>
      </c>
      <c r="L309" s="11">
        <f>2*K309*J309</f>
        <v/>
      </c>
      <c r="M309" s="10">
        <f>-K309^2*F309</f>
        <v/>
      </c>
    </row>
    <row r="310">
      <c r="A310" s="12" t="n">
        <v>299</v>
      </c>
      <c r="B310" s="13">
        <f>A310*$B$6</f>
        <v/>
      </c>
      <c r="C310" s="14">
        <f>$B$5*B310</f>
        <v/>
      </c>
      <c r="D310" s="14">
        <f>$B$3*COS(C310)</f>
        <v/>
      </c>
      <c r="E310" s="14">
        <f>$B$3*SIN(C310)</f>
        <v/>
      </c>
      <c r="F310" s="14">
        <f>SQRT(D310^2 + (E310+$B$4)^2)</f>
        <v/>
      </c>
      <c r="G310" s="14">
        <f>ATAN2(D310, E310+$B$4)</f>
        <v/>
      </c>
      <c r="H310" s="14">
        <f>-$B$3*$B$5*SIN(C310)</f>
        <v/>
      </c>
      <c r="I310" s="14">
        <f>$B$3*$B$5*COS(C310)</f>
        <v/>
      </c>
      <c r="J310" s="14">
        <f>H310*COS(G310) + I310*SIN(G310)</f>
        <v/>
      </c>
      <c r="K310" s="14">
        <f>(-H310*SIN(G310) + I310*COS(G310))/F310</f>
        <v/>
      </c>
      <c r="L310" s="15">
        <f>2*K310*J310</f>
        <v/>
      </c>
      <c r="M310" s="14">
        <f>-K310^2*F310</f>
        <v/>
      </c>
    </row>
    <row r="311">
      <c r="A311" s="8" t="n">
        <v>300</v>
      </c>
      <c r="B311" s="9">
        <f>A311*$B$6</f>
        <v/>
      </c>
      <c r="C311" s="10">
        <f>$B$5*B311</f>
        <v/>
      </c>
      <c r="D311" s="10">
        <f>$B$3*COS(C311)</f>
        <v/>
      </c>
      <c r="E311" s="10">
        <f>$B$3*SIN(C311)</f>
        <v/>
      </c>
      <c r="F311" s="10">
        <f>SQRT(D311^2 + (E311+$B$4)^2)</f>
        <v/>
      </c>
      <c r="G311" s="10">
        <f>ATAN2(D311, E311+$B$4)</f>
        <v/>
      </c>
      <c r="H311" s="10">
        <f>-$B$3*$B$5*SIN(C311)</f>
        <v/>
      </c>
      <c r="I311" s="10">
        <f>$B$3*$B$5*COS(C311)</f>
        <v/>
      </c>
      <c r="J311" s="10">
        <f>H311*COS(G311) + I311*SIN(G311)</f>
        <v/>
      </c>
      <c r="K311" s="10">
        <f>(-H311*SIN(G311) + I311*COS(G311))/F311</f>
        <v/>
      </c>
      <c r="L311" s="11">
        <f>2*K311*J311</f>
        <v/>
      </c>
      <c r="M311" s="10">
        <f>-K311^2*F311</f>
        <v/>
      </c>
    </row>
    <row r="312">
      <c r="A312" s="12" t="n">
        <v>301</v>
      </c>
      <c r="B312" s="13">
        <f>A312*$B$6</f>
        <v/>
      </c>
      <c r="C312" s="14">
        <f>$B$5*B312</f>
        <v/>
      </c>
      <c r="D312" s="14">
        <f>$B$3*COS(C312)</f>
        <v/>
      </c>
      <c r="E312" s="14">
        <f>$B$3*SIN(C312)</f>
        <v/>
      </c>
      <c r="F312" s="14">
        <f>SQRT(D312^2 + (E312+$B$4)^2)</f>
        <v/>
      </c>
      <c r="G312" s="14">
        <f>ATAN2(D312, E312+$B$4)</f>
        <v/>
      </c>
      <c r="H312" s="14">
        <f>-$B$3*$B$5*SIN(C312)</f>
        <v/>
      </c>
      <c r="I312" s="14">
        <f>$B$3*$B$5*COS(C312)</f>
        <v/>
      </c>
      <c r="J312" s="14">
        <f>H312*COS(G312) + I312*SIN(G312)</f>
        <v/>
      </c>
      <c r="K312" s="14">
        <f>(-H312*SIN(G312) + I312*COS(G312))/F312</f>
        <v/>
      </c>
      <c r="L312" s="15">
        <f>2*K312*J312</f>
        <v/>
      </c>
      <c r="M312" s="14">
        <f>-K312^2*F312</f>
        <v/>
      </c>
    </row>
    <row r="313">
      <c r="A313" s="8" t="n">
        <v>302</v>
      </c>
      <c r="B313" s="9">
        <f>A313*$B$6</f>
        <v/>
      </c>
      <c r="C313" s="10">
        <f>$B$5*B313</f>
        <v/>
      </c>
      <c r="D313" s="10">
        <f>$B$3*COS(C313)</f>
        <v/>
      </c>
      <c r="E313" s="10">
        <f>$B$3*SIN(C313)</f>
        <v/>
      </c>
      <c r="F313" s="10">
        <f>SQRT(D313^2 + (E313+$B$4)^2)</f>
        <v/>
      </c>
      <c r="G313" s="10">
        <f>ATAN2(D313, E313+$B$4)</f>
        <v/>
      </c>
      <c r="H313" s="10">
        <f>-$B$3*$B$5*SIN(C313)</f>
        <v/>
      </c>
      <c r="I313" s="10">
        <f>$B$3*$B$5*COS(C313)</f>
        <v/>
      </c>
      <c r="J313" s="10">
        <f>H313*COS(G313) + I313*SIN(G313)</f>
        <v/>
      </c>
      <c r="K313" s="10">
        <f>(-H313*SIN(G313) + I313*COS(G313))/F313</f>
        <v/>
      </c>
      <c r="L313" s="11">
        <f>2*K313*J313</f>
        <v/>
      </c>
      <c r="M313" s="10">
        <f>-K313^2*F313</f>
        <v/>
      </c>
    </row>
    <row r="314">
      <c r="A314" s="12" t="n">
        <v>303</v>
      </c>
      <c r="B314" s="13">
        <f>A314*$B$6</f>
        <v/>
      </c>
      <c r="C314" s="14">
        <f>$B$5*B314</f>
        <v/>
      </c>
      <c r="D314" s="14">
        <f>$B$3*COS(C314)</f>
        <v/>
      </c>
      <c r="E314" s="14">
        <f>$B$3*SIN(C314)</f>
        <v/>
      </c>
      <c r="F314" s="14">
        <f>SQRT(D314^2 + (E314+$B$4)^2)</f>
        <v/>
      </c>
      <c r="G314" s="14">
        <f>ATAN2(D314, E314+$B$4)</f>
        <v/>
      </c>
      <c r="H314" s="14">
        <f>-$B$3*$B$5*SIN(C314)</f>
        <v/>
      </c>
      <c r="I314" s="14">
        <f>$B$3*$B$5*COS(C314)</f>
        <v/>
      </c>
      <c r="J314" s="14">
        <f>H314*COS(G314) + I314*SIN(G314)</f>
        <v/>
      </c>
      <c r="K314" s="14">
        <f>(-H314*SIN(G314) + I314*COS(G314))/F314</f>
        <v/>
      </c>
      <c r="L314" s="15">
        <f>2*K314*J314</f>
        <v/>
      </c>
      <c r="M314" s="14">
        <f>-K314^2*F314</f>
        <v/>
      </c>
    </row>
    <row r="315">
      <c r="A315" s="8" t="n">
        <v>304</v>
      </c>
      <c r="B315" s="9">
        <f>A315*$B$6</f>
        <v/>
      </c>
      <c r="C315" s="10">
        <f>$B$5*B315</f>
        <v/>
      </c>
      <c r="D315" s="10">
        <f>$B$3*COS(C315)</f>
        <v/>
      </c>
      <c r="E315" s="10">
        <f>$B$3*SIN(C315)</f>
        <v/>
      </c>
      <c r="F315" s="10">
        <f>SQRT(D315^2 + (E315+$B$4)^2)</f>
        <v/>
      </c>
      <c r="G315" s="10">
        <f>ATAN2(D315, E315+$B$4)</f>
        <v/>
      </c>
      <c r="H315" s="10">
        <f>-$B$3*$B$5*SIN(C315)</f>
        <v/>
      </c>
      <c r="I315" s="10">
        <f>$B$3*$B$5*COS(C315)</f>
        <v/>
      </c>
      <c r="J315" s="10">
        <f>H315*COS(G315) + I315*SIN(G315)</f>
        <v/>
      </c>
      <c r="K315" s="10">
        <f>(-H315*SIN(G315) + I315*COS(G315))/F315</f>
        <v/>
      </c>
      <c r="L315" s="11">
        <f>2*K315*J315</f>
        <v/>
      </c>
      <c r="M315" s="10">
        <f>-K315^2*F315</f>
        <v/>
      </c>
    </row>
    <row r="316">
      <c r="A316" s="12" t="n">
        <v>305</v>
      </c>
      <c r="B316" s="13">
        <f>A316*$B$6</f>
        <v/>
      </c>
      <c r="C316" s="14">
        <f>$B$5*B316</f>
        <v/>
      </c>
      <c r="D316" s="14">
        <f>$B$3*COS(C316)</f>
        <v/>
      </c>
      <c r="E316" s="14">
        <f>$B$3*SIN(C316)</f>
        <v/>
      </c>
      <c r="F316" s="14">
        <f>SQRT(D316^2 + (E316+$B$4)^2)</f>
        <v/>
      </c>
      <c r="G316" s="14">
        <f>ATAN2(D316, E316+$B$4)</f>
        <v/>
      </c>
      <c r="H316" s="14">
        <f>-$B$3*$B$5*SIN(C316)</f>
        <v/>
      </c>
      <c r="I316" s="14">
        <f>$B$3*$B$5*COS(C316)</f>
        <v/>
      </c>
      <c r="J316" s="14">
        <f>H316*COS(G316) + I316*SIN(G316)</f>
        <v/>
      </c>
      <c r="K316" s="14">
        <f>(-H316*SIN(G316) + I316*COS(G316))/F316</f>
        <v/>
      </c>
      <c r="L316" s="15">
        <f>2*K316*J316</f>
        <v/>
      </c>
      <c r="M316" s="14">
        <f>-K316^2*F316</f>
        <v/>
      </c>
    </row>
    <row r="317">
      <c r="A317" s="8" t="n">
        <v>306</v>
      </c>
      <c r="B317" s="9">
        <f>A317*$B$6</f>
        <v/>
      </c>
      <c r="C317" s="10">
        <f>$B$5*B317</f>
        <v/>
      </c>
      <c r="D317" s="10">
        <f>$B$3*COS(C317)</f>
        <v/>
      </c>
      <c r="E317" s="10">
        <f>$B$3*SIN(C317)</f>
        <v/>
      </c>
      <c r="F317" s="10">
        <f>SQRT(D317^2 + (E317+$B$4)^2)</f>
        <v/>
      </c>
      <c r="G317" s="10">
        <f>ATAN2(D317, E317+$B$4)</f>
        <v/>
      </c>
      <c r="H317" s="10">
        <f>-$B$3*$B$5*SIN(C317)</f>
        <v/>
      </c>
      <c r="I317" s="10">
        <f>$B$3*$B$5*COS(C317)</f>
        <v/>
      </c>
      <c r="J317" s="10">
        <f>H317*COS(G317) + I317*SIN(G317)</f>
        <v/>
      </c>
      <c r="K317" s="10">
        <f>(-H317*SIN(G317) + I317*COS(G317))/F317</f>
        <v/>
      </c>
      <c r="L317" s="11">
        <f>2*K317*J317</f>
        <v/>
      </c>
      <c r="M317" s="10">
        <f>-K317^2*F317</f>
        <v/>
      </c>
    </row>
    <row r="318">
      <c r="A318" s="12" t="n">
        <v>307</v>
      </c>
      <c r="B318" s="13">
        <f>A318*$B$6</f>
        <v/>
      </c>
      <c r="C318" s="14">
        <f>$B$5*B318</f>
        <v/>
      </c>
      <c r="D318" s="14">
        <f>$B$3*COS(C318)</f>
        <v/>
      </c>
      <c r="E318" s="14">
        <f>$B$3*SIN(C318)</f>
        <v/>
      </c>
      <c r="F318" s="14">
        <f>SQRT(D318^2 + (E318+$B$4)^2)</f>
        <v/>
      </c>
      <c r="G318" s="14">
        <f>ATAN2(D318, E318+$B$4)</f>
        <v/>
      </c>
      <c r="H318" s="14">
        <f>-$B$3*$B$5*SIN(C318)</f>
        <v/>
      </c>
      <c r="I318" s="14">
        <f>$B$3*$B$5*COS(C318)</f>
        <v/>
      </c>
      <c r="J318" s="14">
        <f>H318*COS(G318) + I318*SIN(G318)</f>
        <v/>
      </c>
      <c r="K318" s="14">
        <f>(-H318*SIN(G318) + I318*COS(G318))/F318</f>
        <v/>
      </c>
      <c r="L318" s="15">
        <f>2*K318*J318</f>
        <v/>
      </c>
      <c r="M318" s="14">
        <f>-K318^2*F318</f>
        <v/>
      </c>
    </row>
    <row r="319">
      <c r="A319" s="8" t="n">
        <v>308</v>
      </c>
      <c r="B319" s="9">
        <f>A319*$B$6</f>
        <v/>
      </c>
      <c r="C319" s="10">
        <f>$B$5*B319</f>
        <v/>
      </c>
      <c r="D319" s="10">
        <f>$B$3*COS(C319)</f>
        <v/>
      </c>
      <c r="E319" s="10">
        <f>$B$3*SIN(C319)</f>
        <v/>
      </c>
      <c r="F319" s="10">
        <f>SQRT(D319^2 + (E319+$B$4)^2)</f>
        <v/>
      </c>
      <c r="G319" s="10">
        <f>ATAN2(D319, E319+$B$4)</f>
        <v/>
      </c>
      <c r="H319" s="10">
        <f>-$B$3*$B$5*SIN(C319)</f>
        <v/>
      </c>
      <c r="I319" s="10">
        <f>$B$3*$B$5*COS(C319)</f>
        <v/>
      </c>
      <c r="J319" s="10">
        <f>H319*COS(G319) + I319*SIN(G319)</f>
        <v/>
      </c>
      <c r="K319" s="10">
        <f>(-H319*SIN(G319) + I319*COS(G319))/F319</f>
        <v/>
      </c>
      <c r="L319" s="11">
        <f>2*K319*J319</f>
        <v/>
      </c>
      <c r="M319" s="10">
        <f>-K319^2*F319</f>
        <v/>
      </c>
    </row>
    <row r="320">
      <c r="A320" s="12" t="n">
        <v>309</v>
      </c>
      <c r="B320" s="13">
        <f>A320*$B$6</f>
        <v/>
      </c>
      <c r="C320" s="14">
        <f>$B$5*B320</f>
        <v/>
      </c>
      <c r="D320" s="14">
        <f>$B$3*COS(C320)</f>
        <v/>
      </c>
      <c r="E320" s="14">
        <f>$B$3*SIN(C320)</f>
        <v/>
      </c>
      <c r="F320" s="14">
        <f>SQRT(D320^2 + (E320+$B$4)^2)</f>
        <v/>
      </c>
      <c r="G320" s="14">
        <f>ATAN2(D320, E320+$B$4)</f>
        <v/>
      </c>
      <c r="H320" s="14">
        <f>-$B$3*$B$5*SIN(C320)</f>
        <v/>
      </c>
      <c r="I320" s="14">
        <f>$B$3*$B$5*COS(C320)</f>
        <v/>
      </c>
      <c r="J320" s="14">
        <f>H320*COS(G320) + I320*SIN(G320)</f>
        <v/>
      </c>
      <c r="K320" s="14">
        <f>(-H320*SIN(G320) + I320*COS(G320))/F320</f>
        <v/>
      </c>
      <c r="L320" s="15">
        <f>2*K320*J320</f>
        <v/>
      </c>
      <c r="M320" s="14">
        <f>-K320^2*F320</f>
        <v/>
      </c>
    </row>
    <row r="321">
      <c r="A321" s="8" t="n">
        <v>310</v>
      </c>
      <c r="B321" s="9">
        <f>A321*$B$6</f>
        <v/>
      </c>
      <c r="C321" s="10">
        <f>$B$5*B321</f>
        <v/>
      </c>
      <c r="D321" s="10">
        <f>$B$3*COS(C321)</f>
        <v/>
      </c>
      <c r="E321" s="10">
        <f>$B$3*SIN(C321)</f>
        <v/>
      </c>
      <c r="F321" s="10">
        <f>SQRT(D321^2 + (E321+$B$4)^2)</f>
        <v/>
      </c>
      <c r="G321" s="10">
        <f>ATAN2(D321, E321+$B$4)</f>
        <v/>
      </c>
      <c r="H321" s="10">
        <f>-$B$3*$B$5*SIN(C321)</f>
        <v/>
      </c>
      <c r="I321" s="10">
        <f>$B$3*$B$5*COS(C321)</f>
        <v/>
      </c>
      <c r="J321" s="10">
        <f>H321*COS(G321) + I321*SIN(G321)</f>
        <v/>
      </c>
      <c r="K321" s="10">
        <f>(-H321*SIN(G321) + I321*COS(G321))/F321</f>
        <v/>
      </c>
      <c r="L321" s="11">
        <f>2*K321*J321</f>
        <v/>
      </c>
      <c r="M321" s="10">
        <f>-K321^2*F321</f>
        <v/>
      </c>
    </row>
    <row r="322">
      <c r="A322" s="12" t="n">
        <v>311</v>
      </c>
      <c r="B322" s="13">
        <f>A322*$B$6</f>
        <v/>
      </c>
      <c r="C322" s="14">
        <f>$B$5*B322</f>
        <v/>
      </c>
      <c r="D322" s="14">
        <f>$B$3*COS(C322)</f>
        <v/>
      </c>
      <c r="E322" s="14">
        <f>$B$3*SIN(C322)</f>
        <v/>
      </c>
      <c r="F322" s="14">
        <f>SQRT(D322^2 + (E322+$B$4)^2)</f>
        <v/>
      </c>
      <c r="G322" s="14">
        <f>ATAN2(D322, E322+$B$4)</f>
        <v/>
      </c>
      <c r="H322" s="14">
        <f>-$B$3*$B$5*SIN(C322)</f>
        <v/>
      </c>
      <c r="I322" s="14">
        <f>$B$3*$B$5*COS(C322)</f>
        <v/>
      </c>
      <c r="J322" s="14">
        <f>H322*COS(G322) + I322*SIN(G322)</f>
        <v/>
      </c>
      <c r="K322" s="14">
        <f>(-H322*SIN(G322) + I322*COS(G322))/F322</f>
        <v/>
      </c>
      <c r="L322" s="15">
        <f>2*K322*J322</f>
        <v/>
      </c>
      <c r="M322" s="14">
        <f>-K322^2*F322</f>
        <v/>
      </c>
    </row>
    <row r="323">
      <c r="A323" s="8" t="n">
        <v>312</v>
      </c>
      <c r="B323" s="9">
        <f>A323*$B$6</f>
        <v/>
      </c>
      <c r="C323" s="10">
        <f>$B$5*B323</f>
        <v/>
      </c>
      <c r="D323" s="10">
        <f>$B$3*COS(C323)</f>
        <v/>
      </c>
      <c r="E323" s="10">
        <f>$B$3*SIN(C323)</f>
        <v/>
      </c>
      <c r="F323" s="10">
        <f>SQRT(D323^2 + (E323+$B$4)^2)</f>
        <v/>
      </c>
      <c r="G323" s="10">
        <f>ATAN2(D323, E323+$B$4)</f>
        <v/>
      </c>
      <c r="H323" s="10">
        <f>-$B$3*$B$5*SIN(C323)</f>
        <v/>
      </c>
      <c r="I323" s="10">
        <f>$B$3*$B$5*COS(C323)</f>
        <v/>
      </c>
      <c r="J323" s="10">
        <f>H323*COS(G323) + I323*SIN(G323)</f>
        <v/>
      </c>
      <c r="K323" s="10">
        <f>(-H323*SIN(G323) + I323*COS(G323))/F323</f>
        <v/>
      </c>
      <c r="L323" s="11">
        <f>2*K323*J323</f>
        <v/>
      </c>
      <c r="M323" s="10">
        <f>-K323^2*F323</f>
        <v/>
      </c>
    </row>
    <row r="324">
      <c r="A324" s="12" t="n">
        <v>313</v>
      </c>
      <c r="B324" s="13">
        <f>A324*$B$6</f>
        <v/>
      </c>
      <c r="C324" s="14">
        <f>$B$5*B324</f>
        <v/>
      </c>
      <c r="D324" s="14">
        <f>$B$3*COS(C324)</f>
        <v/>
      </c>
      <c r="E324" s="14">
        <f>$B$3*SIN(C324)</f>
        <v/>
      </c>
      <c r="F324" s="14">
        <f>SQRT(D324^2 + (E324+$B$4)^2)</f>
        <v/>
      </c>
      <c r="G324" s="14">
        <f>ATAN2(D324, E324+$B$4)</f>
        <v/>
      </c>
      <c r="H324" s="14">
        <f>-$B$3*$B$5*SIN(C324)</f>
        <v/>
      </c>
      <c r="I324" s="14">
        <f>$B$3*$B$5*COS(C324)</f>
        <v/>
      </c>
      <c r="J324" s="14">
        <f>H324*COS(G324) + I324*SIN(G324)</f>
        <v/>
      </c>
      <c r="K324" s="14">
        <f>(-H324*SIN(G324) + I324*COS(G324))/F324</f>
        <v/>
      </c>
      <c r="L324" s="15">
        <f>2*K324*J324</f>
        <v/>
      </c>
      <c r="M324" s="14">
        <f>-K324^2*F324</f>
        <v/>
      </c>
    </row>
    <row r="325">
      <c r="A325" s="8" t="n">
        <v>314</v>
      </c>
      <c r="B325" s="9">
        <f>A325*$B$6</f>
        <v/>
      </c>
      <c r="C325" s="10">
        <f>$B$5*B325</f>
        <v/>
      </c>
      <c r="D325" s="10">
        <f>$B$3*COS(C325)</f>
        <v/>
      </c>
      <c r="E325" s="10">
        <f>$B$3*SIN(C325)</f>
        <v/>
      </c>
      <c r="F325" s="10">
        <f>SQRT(D325^2 + (E325+$B$4)^2)</f>
        <v/>
      </c>
      <c r="G325" s="10">
        <f>ATAN2(D325, E325+$B$4)</f>
        <v/>
      </c>
      <c r="H325" s="10">
        <f>-$B$3*$B$5*SIN(C325)</f>
        <v/>
      </c>
      <c r="I325" s="10">
        <f>$B$3*$B$5*COS(C325)</f>
        <v/>
      </c>
      <c r="J325" s="10">
        <f>H325*COS(G325) + I325*SIN(G325)</f>
        <v/>
      </c>
      <c r="K325" s="10">
        <f>(-H325*SIN(G325) + I325*COS(G325))/F325</f>
        <v/>
      </c>
      <c r="L325" s="11">
        <f>2*K325*J325</f>
        <v/>
      </c>
      <c r="M325" s="10">
        <f>-K325^2*F325</f>
        <v/>
      </c>
    </row>
    <row r="326">
      <c r="A326" s="12" t="n">
        <v>315</v>
      </c>
      <c r="B326" s="13">
        <f>A326*$B$6</f>
        <v/>
      </c>
      <c r="C326" s="14">
        <f>$B$5*B326</f>
        <v/>
      </c>
      <c r="D326" s="14">
        <f>$B$3*COS(C326)</f>
        <v/>
      </c>
      <c r="E326" s="14">
        <f>$B$3*SIN(C326)</f>
        <v/>
      </c>
      <c r="F326" s="14">
        <f>SQRT(D326^2 + (E326+$B$4)^2)</f>
        <v/>
      </c>
      <c r="G326" s="14">
        <f>ATAN2(D326, E326+$B$4)</f>
        <v/>
      </c>
      <c r="H326" s="14">
        <f>-$B$3*$B$5*SIN(C326)</f>
        <v/>
      </c>
      <c r="I326" s="14">
        <f>$B$3*$B$5*COS(C326)</f>
        <v/>
      </c>
      <c r="J326" s="14">
        <f>H326*COS(G326) + I326*SIN(G326)</f>
        <v/>
      </c>
      <c r="K326" s="14">
        <f>(-H326*SIN(G326) + I326*COS(G326))/F326</f>
        <v/>
      </c>
      <c r="L326" s="15">
        <f>2*K326*J326</f>
        <v/>
      </c>
      <c r="M326" s="14">
        <f>-K326^2*F326</f>
        <v/>
      </c>
    </row>
    <row r="327">
      <c r="A327" s="8" t="n">
        <v>316</v>
      </c>
      <c r="B327" s="9">
        <f>A327*$B$6</f>
        <v/>
      </c>
      <c r="C327" s="10">
        <f>$B$5*B327</f>
        <v/>
      </c>
      <c r="D327" s="10">
        <f>$B$3*COS(C327)</f>
        <v/>
      </c>
      <c r="E327" s="10">
        <f>$B$3*SIN(C327)</f>
        <v/>
      </c>
      <c r="F327" s="10">
        <f>SQRT(D327^2 + (E327+$B$4)^2)</f>
        <v/>
      </c>
      <c r="G327" s="10">
        <f>ATAN2(D327, E327+$B$4)</f>
        <v/>
      </c>
      <c r="H327" s="10">
        <f>-$B$3*$B$5*SIN(C327)</f>
        <v/>
      </c>
      <c r="I327" s="10">
        <f>$B$3*$B$5*COS(C327)</f>
        <v/>
      </c>
      <c r="J327" s="10">
        <f>H327*COS(G327) + I327*SIN(G327)</f>
        <v/>
      </c>
      <c r="K327" s="10">
        <f>(-H327*SIN(G327) + I327*COS(G327))/F327</f>
        <v/>
      </c>
      <c r="L327" s="11">
        <f>2*K327*J327</f>
        <v/>
      </c>
      <c r="M327" s="10">
        <f>-K327^2*F327</f>
        <v/>
      </c>
    </row>
    <row r="328">
      <c r="A328" s="12" t="n">
        <v>317</v>
      </c>
      <c r="B328" s="13">
        <f>A328*$B$6</f>
        <v/>
      </c>
      <c r="C328" s="14">
        <f>$B$5*B328</f>
        <v/>
      </c>
      <c r="D328" s="14">
        <f>$B$3*COS(C328)</f>
        <v/>
      </c>
      <c r="E328" s="14">
        <f>$B$3*SIN(C328)</f>
        <v/>
      </c>
      <c r="F328" s="14">
        <f>SQRT(D328^2 + (E328+$B$4)^2)</f>
        <v/>
      </c>
      <c r="G328" s="14">
        <f>ATAN2(D328, E328+$B$4)</f>
        <v/>
      </c>
      <c r="H328" s="14">
        <f>-$B$3*$B$5*SIN(C328)</f>
        <v/>
      </c>
      <c r="I328" s="14">
        <f>$B$3*$B$5*COS(C328)</f>
        <v/>
      </c>
      <c r="J328" s="14">
        <f>H328*COS(G328) + I328*SIN(G328)</f>
        <v/>
      </c>
      <c r="K328" s="14">
        <f>(-H328*SIN(G328) + I328*COS(G328))/F328</f>
        <v/>
      </c>
      <c r="L328" s="15">
        <f>2*K328*J328</f>
        <v/>
      </c>
      <c r="M328" s="14">
        <f>-K328^2*F328</f>
        <v/>
      </c>
    </row>
    <row r="329">
      <c r="A329" s="8" t="n">
        <v>318</v>
      </c>
      <c r="B329" s="9">
        <f>A329*$B$6</f>
        <v/>
      </c>
      <c r="C329" s="10">
        <f>$B$5*B329</f>
        <v/>
      </c>
      <c r="D329" s="10">
        <f>$B$3*COS(C329)</f>
        <v/>
      </c>
      <c r="E329" s="10">
        <f>$B$3*SIN(C329)</f>
        <v/>
      </c>
      <c r="F329" s="10">
        <f>SQRT(D329^2 + (E329+$B$4)^2)</f>
        <v/>
      </c>
      <c r="G329" s="10">
        <f>ATAN2(D329, E329+$B$4)</f>
        <v/>
      </c>
      <c r="H329" s="10">
        <f>-$B$3*$B$5*SIN(C329)</f>
        <v/>
      </c>
      <c r="I329" s="10">
        <f>$B$3*$B$5*COS(C329)</f>
        <v/>
      </c>
      <c r="J329" s="10">
        <f>H329*COS(G329) + I329*SIN(G329)</f>
        <v/>
      </c>
      <c r="K329" s="10">
        <f>(-H329*SIN(G329) + I329*COS(G329))/F329</f>
        <v/>
      </c>
      <c r="L329" s="11">
        <f>2*K329*J329</f>
        <v/>
      </c>
      <c r="M329" s="10">
        <f>-K329^2*F329</f>
        <v/>
      </c>
    </row>
    <row r="330">
      <c r="A330" s="12" t="n">
        <v>319</v>
      </c>
      <c r="B330" s="13">
        <f>A330*$B$6</f>
        <v/>
      </c>
      <c r="C330" s="14">
        <f>$B$5*B330</f>
        <v/>
      </c>
      <c r="D330" s="14">
        <f>$B$3*COS(C330)</f>
        <v/>
      </c>
      <c r="E330" s="14">
        <f>$B$3*SIN(C330)</f>
        <v/>
      </c>
      <c r="F330" s="14">
        <f>SQRT(D330^2 + (E330+$B$4)^2)</f>
        <v/>
      </c>
      <c r="G330" s="14">
        <f>ATAN2(D330, E330+$B$4)</f>
        <v/>
      </c>
      <c r="H330" s="14">
        <f>-$B$3*$B$5*SIN(C330)</f>
        <v/>
      </c>
      <c r="I330" s="14">
        <f>$B$3*$B$5*COS(C330)</f>
        <v/>
      </c>
      <c r="J330" s="14">
        <f>H330*COS(G330) + I330*SIN(G330)</f>
        <v/>
      </c>
      <c r="K330" s="14">
        <f>(-H330*SIN(G330) + I330*COS(G330))/F330</f>
        <v/>
      </c>
      <c r="L330" s="15">
        <f>2*K330*J330</f>
        <v/>
      </c>
      <c r="M330" s="14">
        <f>-K330^2*F330</f>
        <v/>
      </c>
    </row>
    <row r="331">
      <c r="A331" s="8" t="n">
        <v>320</v>
      </c>
      <c r="B331" s="9">
        <f>A331*$B$6</f>
        <v/>
      </c>
      <c r="C331" s="10">
        <f>$B$5*B331</f>
        <v/>
      </c>
      <c r="D331" s="10">
        <f>$B$3*COS(C331)</f>
        <v/>
      </c>
      <c r="E331" s="10">
        <f>$B$3*SIN(C331)</f>
        <v/>
      </c>
      <c r="F331" s="10">
        <f>SQRT(D331^2 + (E331+$B$4)^2)</f>
        <v/>
      </c>
      <c r="G331" s="10">
        <f>ATAN2(D331, E331+$B$4)</f>
        <v/>
      </c>
      <c r="H331" s="10">
        <f>-$B$3*$B$5*SIN(C331)</f>
        <v/>
      </c>
      <c r="I331" s="10">
        <f>$B$3*$B$5*COS(C331)</f>
        <v/>
      </c>
      <c r="J331" s="10">
        <f>H331*COS(G331) + I331*SIN(G331)</f>
        <v/>
      </c>
      <c r="K331" s="10">
        <f>(-H331*SIN(G331) + I331*COS(G331))/F331</f>
        <v/>
      </c>
      <c r="L331" s="11">
        <f>2*K331*J331</f>
        <v/>
      </c>
      <c r="M331" s="10">
        <f>-K331^2*F331</f>
        <v/>
      </c>
    </row>
    <row r="332">
      <c r="A332" s="12" t="n">
        <v>321</v>
      </c>
      <c r="B332" s="13">
        <f>A332*$B$6</f>
        <v/>
      </c>
      <c r="C332" s="14">
        <f>$B$5*B332</f>
        <v/>
      </c>
      <c r="D332" s="14">
        <f>$B$3*COS(C332)</f>
        <v/>
      </c>
      <c r="E332" s="14">
        <f>$B$3*SIN(C332)</f>
        <v/>
      </c>
      <c r="F332" s="14">
        <f>SQRT(D332^2 + (E332+$B$4)^2)</f>
        <v/>
      </c>
      <c r="G332" s="14">
        <f>ATAN2(D332, E332+$B$4)</f>
        <v/>
      </c>
      <c r="H332" s="14">
        <f>-$B$3*$B$5*SIN(C332)</f>
        <v/>
      </c>
      <c r="I332" s="14">
        <f>$B$3*$B$5*COS(C332)</f>
        <v/>
      </c>
      <c r="J332" s="14">
        <f>H332*COS(G332) + I332*SIN(G332)</f>
        <v/>
      </c>
      <c r="K332" s="14">
        <f>(-H332*SIN(G332) + I332*COS(G332))/F332</f>
        <v/>
      </c>
      <c r="L332" s="15">
        <f>2*K332*J332</f>
        <v/>
      </c>
      <c r="M332" s="14">
        <f>-K332^2*F332</f>
        <v/>
      </c>
    </row>
    <row r="333">
      <c r="A333" s="8" t="n">
        <v>322</v>
      </c>
      <c r="B333" s="9">
        <f>A333*$B$6</f>
        <v/>
      </c>
      <c r="C333" s="10">
        <f>$B$5*B333</f>
        <v/>
      </c>
      <c r="D333" s="10">
        <f>$B$3*COS(C333)</f>
        <v/>
      </c>
      <c r="E333" s="10">
        <f>$B$3*SIN(C333)</f>
        <v/>
      </c>
      <c r="F333" s="10">
        <f>SQRT(D333^2 + (E333+$B$4)^2)</f>
        <v/>
      </c>
      <c r="G333" s="10">
        <f>ATAN2(D333, E333+$B$4)</f>
        <v/>
      </c>
      <c r="H333" s="10">
        <f>-$B$3*$B$5*SIN(C333)</f>
        <v/>
      </c>
      <c r="I333" s="10">
        <f>$B$3*$B$5*COS(C333)</f>
        <v/>
      </c>
      <c r="J333" s="10">
        <f>H333*COS(G333) + I333*SIN(G333)</f>
        <v/>
      </c>
      <c r="K333" s="10">
        <f>(-H333*SIN(G333) + I333*COS(G333))/F333</f>
        <v/>
      </c>
      <c r="L333" s="11">
        <f>2*K333*J333</f>
        <v/>
      </c>
      <c r="M333" s="10">
        <f>-K333^2*F333</f>
        <v/>
      </c>
    </row>
    <row r="334">
      <c r="A334" s="12" t="n">
        <v>323</v>
      </c>
      <c r="B334" s="13">
        <f>A334*$B$6</f>
        <v/>
      </c>
      <c r="C334" s="14">
        <f>$B$5*B334</f>
        <v/>
      </c>
      <c r="D334" s="14">
        <f>$B$3*COS(C334)</f>
        <v/>
      </c>
      <c r="E334" s="14">
        <f>$B$3*SIN(C334)</f>
        <v/>
      </c>
      <c r="F334" s="14">
        <f>SQRT(D334^2 + (E334+$B$4)^2)</f>
        <v/>
      </c>
      <c r="G334" s="14">
        <f>ATAN2(D334, E334+$B$4)</f>
        <v/>
      </c>
      <c r="H334" s="14">
        <f>-$B$3*$B$5*SIN(C334)</f>
        <v/>
      </c>
      <c r="I334" s="14">
        <f>$B$3*$B$5*COS(C334)</f>
        <v/>
      </c>
      <c r="J334" s="14">
        <f>H334*COS(G334) + I334*SIN(G334)</f>
        <v/>
      </c>
      <c r="K334" s="14">
        <f>(-H334*SIN(G334) + I334*COS(G334))/F334</f>
        <v/>
      </c>
      <c r="L334" s="15">
        <f>2*K334*J334</f>
        <v/>
      </c>
      <c r="M334" s="14">
        <f>-K334^2*F334</f>
        <v/>
      </c>
    </row>
    <row r="335">
      <c r="A335" s="8" t="n">
        <v>324</v>
      </c>
      <c r="B335" s="9">
        <f>A335*$B$6</f>
        <v/>
      </c>
      <c r="C335" s="10">
        <f>$B$5*B335</f>
        <v/>
      </c>
      <c r="D335" s="10">
        <f>$B$3*COS(C335)</f>
        <v/>
      </c>
      <c r="E335" s="10">
        <f>$B$3*SIN(C335)</f>
        <v/>
      </c>
      <c r="F335" s="10">
        <f>SQRT(D335^2 + (E335+$B$4)^2)</f>
        <v/>
      </c>
      <c r="G335" s="10">
        <f>ATAN2(D335, E335+$B$4)</f>
        <v/>
      </c>
      <c r="H335" s="10">
        <f>-$B$3*$B$5*SIN(C335)</f>
        <v/>
      </c>
      <c r="I335" s="10">
        <f>$B$3*$B$5*COS(C335)</f>
        <v/>
      </c>
      <c r="J335" s="10">
        <f>H335*COS(G335) + I335*SIN(G335)</f>
        <v/>
      </c>
      <c r="K335" s="10">
        <f>(-H335*SIN(G335) + I335*COS(G335))/F335</f>
        <v/>
      </c>
      <c r="L335" s="11">
        <f>2*K335*J335</f>
        <v/>
      </c>
      <c r="M335" s="10">
        <f>-K335^2*F335</f>
        <v/>
      </c>
    </row>
    <row r="336">
      <c r="A336" s="12" t="n">
        <v>325</v>
      </c>
      <c r="B336" s="13">
        <f>A336*$B$6</f>
        <v/>
      </c>
      <c r="C336" s="14">
        <f>$B$5*B336</f>
        <v/>
      </c>
      <c r="D336" s="14">
        <f>$B$3*COS(C336)</f>
        <v/>
      </c>
      <c r="E336" s="14">
        <f>$B$3*SIN(C336)</f>
        <v/>
      </c>
      <c r="F336" s="14">
        <f>SQRT(D336^2 + (E336+$B$4)^2)</f>
        <v/>
      </c>
      <c r="G336" s="14">
        <f>ATAN2(D336, E336+$B$4)</f>
        <v/>
      </c>
      <c r="H336" s="14">
        <f>-$B$3*$B$5*SIN(C336)</f>
        <v/>
      </c>
      <c r="I336" s="14">
        <f>$B$3*$B$5*COS(C336)</f>
        <v/>
      </c>
      <c r="J336" s="14">
        <f>H336*COS(G336) + I336*SIN(G336)</f>
        <v/>
      </c>
      <c r="K336" s="14">
        <f>(-H336*SIN(G336) + I336*COS(G336))/F336</f>
        <v/>
      </c>
      <c r="L336" s="15">
        <f>2*K336*J336</f>
        <v/>
      </c>
      <c r="M336" s="14">
        <f>-K336^2*F336</f>
        <v/>
      </c>
    </row>
    <row r="337">
      <c r="A337" s="8" t="n">
        <v>326</v>
      </c>
      <c r="B337" s="9">
        <f>A337*$B$6</f>
        <v/>
      </c>
      <c r="C337" s="10">
        <f>$B$5*B337</f>
        <v/>
      </c>
      <c r="D337" s="10">
        <f>$B$3*COS(C337)</f>
        <v/>
      </c>
      <c r="E337" s="10">
        <f>$B$3*SIN(C337)</f>
        <v/>
      </c>
      <c r="F337" s="10">
        <f>SQRT(D337^2 + (E337+$B$4)^2)</f>
        <v/>
      </c>
      <c r="G337" s="10">
        <f>ATAN2(D337, E337+$B$4)</f>
        <v/>
      </c>
      <c r="H337" s="10">
        <f>-$B$3*$B$5*SIN(C337)</f>
        <v/>
      </c>
      <c r="I337" s="10">
        <f>$B$3*$B$5*COS(C337)</f>
        <v/>
      </c>
      <c r="J337" s="10">
        <f>H337*COS(G337) + I337*SIN(G337)</f>
        <v/>
      </c>
      <c r="K337" s="10">
        <f>(-H337*SIN(G337) + I337*COS(G337))/F337</f>
        <v/>
      </c>
      <c r="L337" s="11">
        <f>2*K337*J337</f>
        <v/>
      </c>
      <c r="M337" s="10">
        <f>-K337^2*F337</f>
        <v/>
      </c>
    </row>
    <row r="338">
      <c r="A338" s="12" t="n">
        <v>327</v>
      </c>
      <c r="B338" s="13">
        <f>A338*$B$6</f>
        <v/>
      </c>
      <c r="C338" s="14">
        <f>$B$5*B338</f>
        <v/>
      </c>
      <c r="D338" s="14">
        <f>$B$3*COS(C338)</f>
        <v/>
      </c>
      <c r="E338" s="14">
        <f>$B$3*SIN(C338)</f>
        <v/>
      </c>
      <c r="F338" s="14">
        <f>SQRT(D338^2 + (E338+$B$4)^2)</f>
        <v/>
      </c>
      <c r="G338" s="14">
        <f>ATAN2(D338, E338+$B$4)</f>
        <v/>
      </c>
      <c r="H338" s="14">
        <f>-$B$3*$B$5*SIN(C338)</f>
        <v/>
      </c>
      <c r="I338" s="14">
        <f>$B$3*$B$5*COS(C338)</f>
        <v/>
      </c>
      <c r="J338" s="14">
        <f>H338*COS(G338) + I338*SIN(G338)</f>
        <v/>
      </c>
      <c r="K338" s="14">
        <f>(-H338*SIN(G338) + I338*COS(G338))/F338</f>
        <v/>
      </c>
      <c r="L338" s="15">
        <f>2*K338*J338</f>
        <v/>
      </c>
      <c r="M338" s="14">
        <f>-K338^2*F338</f>
        <v/>
      </c>
    </row>
    <row r="339">
      <c r="A339" s="8" t="n">
        <v>328</v>
      </c>
      <c r="B339" s="9">
        <f>A339*$B$6</f>
        <v/>
      </c>
      <c r="C339" s="10">
        <f>$B$5*B339</f>
        <v/>
      </c>
      <c r="D339" s="10">
        <f>$B$3*COS(C339)</f>
        <v/>
      </c>
      <c r="E339" s="10">
        <f>$B$3*SIN(C339)</f>
        <v/>
      </c>
      <c r="F339" s="10">
        <f>SQRT(D339^2 + (E339+$B$4)^2)</f>
        <v/>
      </c>
      <c r="G339" s="10">
        <f>ATAN2(D339, E339+$B$4)</f>
        <v/>
      </c>
      <c r="H339" s="10">
        <f>-$B$3*$B$5*SIN(C339)</f>
        <v/>
      </c>
      <c r="I339" s="10">
        <f>$B$3*$B$5*COS(C339)</f>
        <v/>
      </c>
      <c r="J339" s="10">
        <f>H339*COS(G339) + I339*SIN(G339)</f>
        <v/>
      </c>
      <c r="K339" s="10">
        <f>(-H339*SIN(G339) + I339*COS(G339))/F339</f>
        <v/>
      </c>
      <c r="L339" s="11">
        <f>2*K339*J339</f>
        <v/>
      </c>
      <c r="M339" s="10">
        <f>-K339^2*F339</f>
        <v/>
      </c>
    </row>
    <row r="340">
      <c r="A340" s="12" t="n">
        <v>329</v>
      </c>
      <c r="B340" s="13">
        <f>A340*$B$6</f>
        <v/>
      </c>
      <c r="C340" s="14">
        <f>$B$5*B340</f>
        <v/>
      </c>
      <c r="D340" s="14">
        <f>$B$3*COS(C340)</f>
        <v/>
      </c>
      <c r="E340" s="14">
        <f>$B$3*SIN(C340)</f>
        <v/>
      </c>
      <c r="F340" s="14">
        <f>SQRT(D340^2 + (E340+$B$4)^2)</f>
        <v/>
      </c>
      <c r="G340" s="14">
        <f>ATAN2(D340, E340+$B$4)</f>
        <v/>
      </c>
      <c r="H340" s="14">
        <f>-$B$3*$B$5*SIN(C340)</f>
        <v/>
      </c>
      <c r="I340" s="14">
        <f>$B$3*$B$5*COS(C340)</f>
        <v/>
      </c>
      <c r="J340" s="14">
        <f>H340*COS(G340) + I340*SIN(G340)</f>
        <v/>
      </c>
      <c r="K340" s="14">
        <f>(-H340*SIN(G340) + I340*COS(G340))/F340</f>
        <v/>
      </c>
      <c r="L340" s="15">
        <f>2*K340*J340</f>
        <v/>
      </c>
      <c r="M340" s="14">
        <f>-K340^2*F340</f>
        <v/>
      </c>
    </row>
    <row r="341">
      <c r="A341" s="8" t="n">
        <v>330</v>
      </c>
      <c r="B341" s="9">
        <f>A341*$B$6</f>
        <v/>
      </c>
      <c r="C341" s="10">
        <f>$B$5*B341</f>
        <v/>
      </c>
      <c r="D341" s="10">
        <f>$B$3*COS(C341)</f>
        <v/>
      </c>
      <c r="E341" s="10">
        <f>$B$3*SIN(C341)</f>
        <v/>
      </c>
      <c r="F341" s="10">
        <f>SQRT(D341^2 + (E341+$B$4)^2)</f>
        <v/>
      </c>
      <c r="G341" s="10">
        <f>ATAN2(D341, E341+$B$4)</f>
        <v/>
      </c>
      <c r="H341" s="10">
        <f>-$B$3*$B$5*SIN(C341)</f>
        <v/>
      </c>
      <c r="I341" s="10">
        <f>$B$3*$B$5*COS(C341)</f>
        <v/>
      </c>
      <c r="J341" s="10">
        <f>H341*COS(G341) + I341*SIN(G341)</f>
        <v/>
      </c>
      <c r="K341" s="10">
        <f>(-H341*SIN(G341) + I341*COS(G341))/F341</f>
        <v/>
      </c>
      <c r="L341" s="11">
        <f>2*K341*J341</f>
        <v/>
      </c>
      <c r="M341" s="10">
        <f>-K341^2*F341</f>
        <v/>
      </c>
    </row>
    <row r="342">
      <c r="A342" s="12" t="n">
        <v>331</v>
      </c>
      <c r="B342" s="13">
        <f>A342*$B$6</f>
        <v/>
      </c>
      <c r="C342" s="14">
        <f>$B$5*B342</f>
        <v/>
      </c>
      <c r="D342" s="14">
        <f>$B$3*COS(C342)</f>
        <v/>
      </c>
      <c r="E342" s="14">
        <f>$B$3*SIN(C342)</f>
        <v/>
      </c>
      <c r="F342" s="14">
        <f>SQRT(D342^2 + (E342+$B$4)^2)</f>
        <v/>
      </c>
      <c r="G342" s="14">
        <f>ATAN2(D342, E342+$B$4)</f>
        <v/>
      </c>
      <c r="H342" s="14">
        <f>-$B$3*$B$5*SIN(C342)</f>
        <v/>
      </c>
      <c r="I342" s="14">
        <f>$B$3*$B$5*COS(C342)</f>
        <v/>
      </c>
      <c r="J342" s="14">
        <f>H342*COS(G342) + I342*SIN(G342)</f>
        <v/>
      </c>
      <c r="K342" s="14">
        <f>(-H342*SIN(G342) + I342*COS(G342))/F342</f>
        <v/>
      </c>
      <c r="L342" s="15">
        <f>2*K342*J342</f>
        <v/>
      </c>
      <c r="M342" s="14">
        <f>-K342^2*F342</f>
        <v/>
      </c>
    </row>
    <row r="343">
      <c r="A343" s="8" t="n">
        <v>332</v>
      </c>
      <c r="B343" s="9">
        <f>A343*$B$6</f>
        <v/>
      </c>
      <c r="C343" s="10">
        <f>$B$5*B343</f>
        <v/>
      </c>
      <c r="D343" s="10">
        <f>$B$3*COS(C343)</f>
        <v/>
      </c>
      <c r="E343" s="10">
        <f>$B$3*SIN(C343)</f>
        <v/>
      </c>
      <c r="F343" s="10">
        <f>SQRT(D343^2 + (E343+$B$4)^2)</f>
        <v/>
      </c>
      <c r="G343" s="10">
        <f>ATAN2(D343, E343+$B$4)</f>
        <v/>
      </c>
      <c r="H343" s="10">
        <f>-$B$3*$B$5*SIN(C343)</f>
        <v/>
      </c>
      <c r="I343" s="10">
        <f>$B$3*$B$5*COS(C343)</f>
        <v/>
      </c>
      <c r="J343" s="10">
        <f>H343*COS(G343) + I343*SIN(G343)</f>
        <v/>
      </c>
      <c r="K343" s="10">
        <f>(-H343*SIN(G343) + I343*COS(G343))/F343</f>
        <v/>
      </c>
      <c r="L343" s="11">
        <f>2*K343*J343</f>
        <v/>
      </c>
      <c r="M343" s="10">
        <f>-K343^2*F343</f>
        <v/>
      </c>
    </row>
    <row r="344">
      <c r="A344" s="12" t="n">
        <v>333</v>
      </c>
      <c r="B344" s="13">
        <f>A344*$B$6</f>
        <v/>
      </c>
      <c r="C344" s="14">
        <f>$B$5*B344</f>
        <v/>
      </c>
      <c r="D344" s="14">
        <f>$B$3*COS(C344)</f>
        <v/>
      </c>
      <c r="E344" s="14">
        <f>$B$3*SIN(C344)</f>
        <v/>
      </c>
      <c r="F344" s="14">
        <f>SQRT(D344^2 + (E344+$B$4)^2)</f>
        <v/>
      </c>
      <c r="G344" s="14">
        <f>ATAN2(D344, E344+$B$4)</f>
        <v/>
      </c>
      <c r="H344" s="14">
        <f>-$B$3*$B$5*SIN(C344)</f>
        <v/>
      </c>
      <c r="I344" s="14">
        <f>$B$3*$B$5*COS(C344)</f>
        <v/>
      </c>
      <c r="J344" s="14">
        <f>H344*COS(G344) + I344*SIN(G344)</f>
        <v/>
      </c>
      <c r="K344" s="14">
        <f>(-H344*SIN(G344) + I344*COS(G344))/F344</f>
        <v/>
      </c>
      <c r="L344" s="15">
        <f>2*K344*J344</f>
        <v/>
      </c>
      <c r="M344" s="14">
        <f>-K344^2*F344</f>
        <v/>
      </c>
    </row>
    <row r="345">
      <c r="A345" s="8" t="n">
        <v>334</v>
      </c>
      <c r="B345" s="9">
        <f>A345*$B$6</f>
        <v/>
      </c>
      <c r="C345" s="10">
        <f>$B$5*B345</f>
        <v/>
      </c>
      <c r="D345" s="10">
        <f>$B$3*COS(C345)</f>
        <v/>
      </c>
      <c r="E345" s="10">
        <f>$B$3*SIN(C345)</f>
        <v/>
      </c>
      <c r="F345" s="10">
        <f>SQRT(D345^2 + (E345+$B$4)^2)</f>
        <v/>
      </c>
      <c r="G345" s="10">
        <f>ATAN2(D345, E345+$B$4)</f>
        <v/>
      </c>
      <c r="H345" s="10">
        <f>-$B$3*$B$5*SIN(C345)</f>
        <v/>
      </c>
      <c r="I345" s="10">
        <f>$B$3*$B$5*COS(C345)</f>
        <v/>
      </c>
      <c r="J345" s="10">
        <f>H345*COS(G345) + I345*SIN(G345)</f>
        <v/>
      </c>
      <c r="K345" s="10">
        <f>(-H345*SIN(G345) + I345*COS(G345))/F345</f>
        <v/>
      </c>
      <c r="L345" s="11">
        <f>2*K345*J345</f>
        <v/>
      </c>
      <c r="M345" s="10">
        <f>-K345^2*F345</f>
        <v/>
      </c>
    </row>
    <row r="346">
      <c r="A346" s="12" t="n">
        <v>335</v>
      </c>
      <c r="B346" s="13">
        <f>A346*$B$6</f>
        <v/>
      </c>
      <c r="C346" s="14">
        <f>$B$5*B346</f>
        <v/>
      </c>
      <c r="D346" s="14">
        <f>$B$3*COS(C346)</f>
        <v/>
      </c>
      <c r="E346" s="14">
        <f>$B$3*SIN(C346)</f>
        <v/>
      </c>
      <c r="F346" s="14">
        <f>SQRT(D346^2 + (E346+$B$4)^2)</f>
        <v/>
      </c>
      <c r="G346" s="14">
        <f>ATAN2(D346, E346+$B$4)</f>
        <v/>
      </c>
      <c r="H346" s="14">
        <f>-$B$3*$B$5*SIN(C346)</f>
        <v/>
      </c>
      <c r="I346" s="14">
        <f>$B$3*$B$5*COS(C346)</f>
        <v/>
      </c>
      <c r="J346" s="14">
        <f>H346*COS(G346) + I346*SIN(G346)</f>
        <v/>
      </c>
      <c r="K346" s="14">
        <f>(-H346*SIN(G346) + I346*COS(G346))/F346</f>
        <v/>
      </c>
      <c r="L346" s="15">
        <f>2*K346*J346</f>
        <v/>
      </c>
      <c r="M346" s="14">
        <f>-K346^2*F346</f>
        <v/>
      </c>
    </row>
    <row r="347">
      <c r="A347" s="8" t="n">
        <v>336</v>
      </c>
      <c r="B347" s="9">
        <f>A347*$B$6</f>
        <v/>
      </c>
      <c r="C347" s="10">
        <f>$B$5*B347</f>
        <v/>
      </c>
      <c r="D347" s="10">
        <f>$B$3*COS(C347)</f>
        <v/>
      </c>
      <c r="E347" s="10">
        <f>$B$3*SIN(C347)</f>
        <v/>
      </c>
      <c r="F347" s="10">
        <f>SQRT(D347^2 + (E347+$B$4)^2)</f>
        <v/>
      </c>
      <c r="G347" s="10">
        <f>ATAN2(D347, E347+$B$4)</f>
        <v/>
      </c>
      <c r="H347" s="10">
        <f>-$B$3*$B$5*SIN(C347)</f>
        <v/>
      </c>
      <c r="I347" s="10">
        <f>$B$3*$B$5*COS(C347)</f>
        <v/>
      </c>
      <c r="J347" s="10">
        <f>H347*COS(G347) + I347*SIN(G347)</f>
        <v/>
      </c>
      <c r="K347" s="10">
        <f>(-H347*SIN(G347) + I347*COS(G347))/F347</f>
        <v/>
      </c>
      <c r="L347" s="11">
        <f>2*K347*J347</f>
        <v/>
      </c>
      <c r="M347" s="10">
        <f>-K347^2*F347</f>
        <v/>
      </c>
    </row>
    <row r="348">
      <c r="A348" s="12" t="n">
        <v>337</v>
      </c>
      <c r="B348" s="13">
        <f>A348*$B$6</f>
        <v/>
      </c>
      <c r="C348" s="14">
        <f>$B$5*B348</f>
        <v/>
      </c>
      <c r="D348" s="14">
        <f>$B$3*COS(C348)</f>
        <v/>
      </c>
      <c r="E348" s="14">
        <f>$B$3*SIN(C348)</f>
        <v/>
      </c>
      <c r="F348" s="14">
        <f>SQRT(D348^2 + (E348+$B$4)^2)</f>
        <v/>
      </c>
      <c r="G348" s="14">
        <f>ATAN2(D348, E348+$B$4)</f>
        <v/>
      </c>
      <c r="H348" s="14">
        <f>-$B$3*$B$5*SIN(C348)</f>
        <v/>
      </c>
      <c r="I348" s="14">
        <f>$B$3*$B$5*COS(C348)</f>
        <v/>
      </c>
      <c r="J348" s="14">
        <f>H348*COS(G348) + I348*SIN(G348)</f>
        <v/>
      </c>
      <c r="K348" s="14">
        <f>(-H348*SIN(G348) + I348*COS(G348))/F348</f>
        <v/>
      </c>
      <c r="L348" s="15">
        <f>2*K348*J348</f>
        <v/>
      </c>
      <c r="M348" s="14">
        <f>-K348^2*F348</f>
        <v/>
      </c>
    </row>
    <row r="349">
      <c r="A349" s="8" t="n">
        <v>338</v>
      </c>
      <c r="B349" s="9">
        <f>A349*$B$6</f>
        <v/>
      </c>
      <c r="C349" s="10">
        <f>$B$5*B349</f>
        <v/>
      </c>
      <c r="D349" s="10">
        <f>$B$3*COS(C349)</f>
        <v/>
      </c>
      <c r="E349" s="10">
        <f>$B$3*SIN(C349)</f>
        <v/>
      </c>
      <c r="F349" s="10">
        <f>SQRT(D349^2 + (E349+$B$4)^2)</f>
        <v/>
      </c>
      <c r="G349" s="10">
        <f>ATAN2(D349, E349+$B$4)</f>
        <v/>
      </c>
      <c r="H349" s="10">
        <f>-$B$3*$B$5*SIN(C349)</f>
        <v/>
      </c>
      <c r="I349" s="10">
        <f>$B$3*$B$5*COS(C349)</f>
        <v/>
      </c>
      <c r="J349" s="10">
        <f>H349*COS(G349) + I349*SIN(G349)</f>
        <v/>
      </c>
      <c r="K349" s="10">
        <f>(-H349*SIN(G349) + I349*COS(G349))/F349</f>
        <v/>
      </c>
      <c r="L349" s="11">
        <f>2*K349*J349</f>
        <v/>
      </c>
      <c r="M349" s="10">
        <f>-K349^2*F349</f>
        <v/>
      </c>
    </row>
    <row r="350">
      <c r="A350" s="12" t="n">
        <v>339</v>
      </c>
      <c r="B350" s="13">
        <f>A350*$B$6</f>
        <v/>
      </c>
      <c r="C350" s="14">
        <f>$B$5*B350</f>
        <v/>
      </c>
      <c r="D350" s="14">
        <f>$B$3*COS(C350)</f>
        <v/>
      </c>
      <c r="E350" s="14">
        <f>$B$3*SIN(C350)</f>
        <v/>
      </c>
      <c r="F350" s="14">
        <f>SQRT(D350^2 + (E350+$B$4)^2)</f>
        <v/>
      </c>
      <c r="G350" s="14">
        <f>ATAN2(D350, E350+$B$4)</f>
        <v/>
      </c>
      <c r="H350" s="14">
        <f>-$B$3*$B$5*SIN(C350)</f>
        <v/>
      </c>
      <c r="I350" s="14">
        <f>$B$3*$B$5*COS(C350)</f>
        <v/>
      </c>
      <c r="J350" s="14">
        <f>H350*COS(G350) + I350*SIN(G350)</f>
        <v/>
      </c>
      <c r="K350" s="14">
        <f>(-H350*SIN(G350) + I350*COS(G350))/F350</f>
        <v/>
      </c>
      <c r="L350" s="15">
        <f>2*K350*J350</f>
        <v/>
      </c>
      <c r="M350" s="14">
        <f>-K350^2*F350</f>
        <v/>
      </c>
    </row>
    <row r="351">
      <c r="A351" s="8" t="n">
        <v>340</v>
      </c>
      <c r="B351" s="9">
        <f>A351*$B$6</f>
        <v/>
      </c>
      <c r="C351" s="10">
        <f>$B$5*B351</f>
        <v/>
      </c>
      <c r="D351" s="10">
        <f>$B$3*COS(C351)</f>
        <v/>
      </c>
      <c r="E351" s="10">
        <f>$B$3*SIN(C351)</f>
        <v/>
      </c>
      <c r="F351" s="10">
        <f>SQRT(D351^2 + (E351+$B$4)^2)</f>
        <v/>
      </c>
      <c r="G351" s="10">
        <f>ATAN2(D351, E351+$B$4)</f>
        <v/>
      </c>
      <c r="H351" s="10">
        <f>-$B$3*$B$5*SIN(C351)</f>
        <v/>
      </c>
      <c r="I351" s="10">
        <f>$B$3*$B$5*COS(C351)</f>
        <v/>
      </c>
      <c r="J351" s="10">
        <f>H351*COS(G351) + I351*SIN(G351)</f>
        <v/>
      </c>
      <c r="K351" s="10">
        <f>(-H351*SIN(G351) + I351*COS(G351))/F351</f>
        <v/>
      </c>
      <c r="L351" s="11">
        <f>2*K351*J351</f>
        <v/>
      </c>
      <c r="M351" s="10">
        <f>-K351^2*F351</f>
        <v/>
      </c>
    </row>
    <row r="352">
      <c r="A352" s="12" t="n">
        <v>341</v>
      </c>
      <c r="B352" s="13">
        <f>A352*$B$6</f>
        <v/>
      </c>
      <c r="C352" s="14">
        <f>$B$5*B352</f>
        <v/>
      </c>
      <c r="D352" s="14">
        <f>$B$3*COS(C352)</f>
        <v/>
      </c>
      <c r="E352" s="14">
        <f>$B$3*SIN(C352)</f>
        <v/>
      </c>
      <c r="F352" s="14">
        <f>SQRT(D352^2 + (E352+$B$4)^2)</f>
        <v/>
      </c>
      <c r="G352" s="14">
        <f>ATAN2(D352, E352+$B$4)</f>
        <v/>
      </c>
      <c r="H352" s="14">
        <f>-$B$3*$B$5*SIN(C352)</f>
        <v/>
      </c>
      <c r="I352" s="14">
        <f>$B$3*$B$5*COS(C352)</f>
        <v/>
      </c>
      <c r="J352" s="14">
        <f>H352*COS(G352) + I352*SIN(G352)</f>
        <v/>
      </c>
      <c r="K352" s="14">
        <f>(-H352*SIN(G352) + I352*COS(G352))/F352</f>
        <v/>
      </c>
      <c r="L352" s="15">
        <f>2*K352*J352</f>
        <v/>
      </c>
      <c r="M352" s="14">
        <f>-K352^2*F352</f>
        <v/>
      </c>
    </row>
    <row r="353">
      <c r="A353" s="8" t="n">
        <v>342</v>
      </c>
      <c r="B353" s="9">
        <f>A353*$B$6</f>
        <v/>
      </c>
      <c r="C353" s="10">
        <f>$B$5*B353</f>
        <v/>
      </c>
      <c r="D353" s="10">
        <f>$B$3*COS(C353)</f>
        <v/>
      </c>
      <c r="E353" s="10">
        <f>$B$3*SIN(C353)</f>
        <v/>
      </c>
      <c r="F353" s="10">
        <f>SQRT(D353^2 + (E353+$B$4)^2)</f>
        <v/>
      </c>
      <c r="G353" s="10">
        <f>ATAN2(D353, E353+$B$4)</f>
        <v/>
      </c>
      <c r="H353" s="10">
        <f>-$B$3*$B$5*SIN(C353)</f>
        <v/>
      </c>
      <c r="I353" s="10">
        <f>$B$3*$B$5*COS(C353)</f>
        <v/>
      </c>
      <c r="J353" s="10">
        <f>H353*COS(G353) + I353*SIN(G353)</f>
        <v/>
      </c>
      <c r="K353" s="10">
        <f>(-H353*SIN(G353) + I353*COS(G353))/F353</f>
        <v/>
      </c>
      <c r="L353" s="11">
        <f>2*K353*J353</f>
        <v/>
      </c>
      <c r="M353" s="10">
        <f>-K353^2*F353</f>
        <v/>
      </c>
    </row>
    <row r="354">
      <c r="A354" s="12" t="n">
        <v>343</v>
      </c>
      <c r="B354" s="13">
        <f>A354*$B$6</f>
        <v/>
      </c>
      <c r="C354" s="14">
        <f>$B$5*B354</f>
        <v/>
      </c>
      <c r="D354" s="14">
        <f>$B$3*COS(C354)</f>
        <v/>
      </c>
      <c r="E354" s="14">
        <f>$B$3*SIN(C354)</f>
        <v/>
      </c>
      <c r="F354" s="14">
        <f>SQRT(D354^2 + (E354+$B$4)^2)</f>
        <v/>
      </c>
      <c r="G354" s="14">
        <f>ATAN2(D354, E354+$B$4)</f>
        <v/>
      </c>
      <c r="H354" s="14">
        <f>-$B$3*$B$5*SIN(C354)</f>
        <v/>
      </c>
      <c r="I354" s="14">
        <f>$B$3*$B$5*COS(C354)</f>
        <v/>
      </c>
      <c r="J354" s="14">
        <f>H354*COS(G354) + I354*SIN(G354)</f>
        <v/>
      </c>
      <c r="K354" s="14">
        <f>(-H354*SIN(G354) + I354*COS(G354))/F354</f>
        <v/>
      </c>
      <c r="L354" s="15">
        <f>2*K354*J354</f>
        <v/>
      </c>
      <c r="M354" s="14">
        <f>-K354^2*F354</f>
        <v/>
      </c>
    </row>
    <row r="355">
      <c r="A355" s="8" t="n">
        <v>344</v>
      </c>
      <c r="B355" s="9">
        <f>A355*$B$6</f>
        <v/>
      </c>
      <c r="C355" s="10">
        <f>$B$5*B355</f>
        <v/>
      </c>
      <c r="D355" s="10">
        <f>$B$3*COS(C355)</f>
        <v/>
      </c>
      <c r="E355" s="10">
        <f>$B$3*SIN(C355)</f>
        <v/>
      </c>
      <c r="F355" s="10">
        <f>SQRT(D355^2 + (E355+$B$4)^2)</f>
        <v/>
      </c>
      <c r="G355" s="10">
        <f>ATAN2(D355, E355+$B$4)</f>
        <v/>
      </c>
      <c r="H355" s="10">
        <f>-$B$3*$B$5*SIN(C355)</f>
        <v/>
      </c>
      <c r="I355" s="10">
        <f>$B$3*$B$5*COS(C355)</f>
        <v/>
      </c>
      <c r="J355" s="10">
        <f>H355*COS(G355) + I355*SIN(G355)</f>
        <v/>
      </c>
      <c r="K355" s="10">
        <f>(-H355*SIN(G355) + I355*COS(G355))/F355</f>
        <v/>
      </c>
      <c r="L355" s="11">
        <f>2*K355*J355</f>
        <v/>
      </c>
      <c r="M355" s="10">
        <f>-K355^2*F355</f>
        <v/>
      </c>
    </row>
    <row r="356">
      <c r="A356" s="12" t="n">
        <v>345</v>
      </c>
      <c r="B356" s="13">
        <f>A356*$B$6</f>
        <v/>
      </c>
      <c r="C356" s="14">
        <f>$B$5*B356</f>
        <v/>
      </c>
      <c r="D356" s="14">
        <f>$B$3*COS(C356)</f>
        <v/>
      </c>
      <c r="E356" s="14">
        <f>$B$3*SIN(C356)</f>
        <v/>
      </c>
      <c r="F356" s="14">
        <f>SQRT(D356^2 + (E356+$B$4)^2)</f>
        <v/>
      </c>
      <c r="G356" s="14">
        <f>ATAN2(D356, E356+$B$4)</f>
        <v/>
      </c>
      <c r="H356" s="14">
        <f>-$B$3*$B$5*SIN(C356)</f>
        <v/>
      </c>
      <c r="I356" s="14">
        <f>$B$3*$B$5*COS(C356)</f>
        <v/>
      </c>
      <c r="J356" s="14">
        <f>H356*COS(G356) + I356*SIN(G356)</f>
        <v/>
      </c>
      <c r="K356" s="14">
        <f>(-H356*SIN(G356) + I356*COS(G356))/F356</f>
        <v/>
      </c>
      <c r="L356" s="15">
        <f>2*K356*J356</f>
        <v/>
      </c>
      <c r="M356" s="14">
        <f>-K356^2*F356</f>
        <v/>
      </c>
    </row>
    <row r="357">
      <c r="A357" s="8" t="n">
        <v>346</v>
      </c>
      <c r="B357" s="9">
        <f>A357*$B$6</f>
        <v/>
      </c>
      <c r="C357" s="10">
        <f>$B$5*B357</f>
        <v/>
      </c>
      <c r="D357" s="10">
        <f>$B$3*COS(C357)</f>
        <v/>
      </c>
      <c r="E357" s="10">
        <f>$B$3*SIN(C357)</f>
        <v/>
      </c>
      <c r="F357" s="10">
        <f>SQRT(D357^2 + (E357+$B$4)^2)</f>
        <v/>
      </c>
      <c r="G357" s="10">
        <f>ATAN2(D357, E357+$B$4)</f>
        <v/>
      </c>
      <c r="H357" s="10">
        <f>-$B$3*$B$5*SIN(C357)</f>
        <v/>
      </c>
      <c r="I357" s="10">
        <f>$B$3*$B$5*COS(C357)</f>
        <v/>
      </c>
      <c r="J357" s="10">
        <f>H357*COS(G357) + I357*SIN(G357)</f>
        <v/>
      </c>
      <c r="K357" s="10">
        <f>(-H357*SIN(G357) + I357*COS(G357))/F357</f>
        <v/>
      </c>
      <c r="L357" s="11">
        <f>2*K357*J357</f>
        <v/>
      </c>
      <c r="M357" s="10">
        <f>-K357^2*F357</f>
        <v/>
      </c>
    </row>
    <row r="358">
      <c r="A358" s="12" t="n">
        <v>347</v>
      </c>
      <c r="B358" s="13">
        <f>A358*$B$6</f>
        <v/>
      </c>
      <c r="C358" s="14">
        <f>$B$5*B358</f>
        <v/>
      </c>
      <c r="D358" s="14">
        <f>$B$3*COS(C358)</f>
        <v/>
      </c>
      <c r="E358" s="14">
        <f>$B$3*SIN(C358)</f>
        <v/>
      </c>
      <c r="F358" s="14">
        <f>SQRT(D358^2 + (E358+$B$4)^2)</f>
        <v/>
      </c>
      <c r="G358" s="14">
        <f>ATAN2(D358, E358+$B$4)</f>
        <v/>
      </c>
      <c r="H358" s="14">
        <f>-$B$3*$B$5*SIN(C358)</f>
        <v/>
      </c>
      <c r="I358" s="14">
        <f>$B$3*$B$5*COS(C358)</f>
        <v/>
      </c>
      <c r="J358" s="14">
        <f>H358*COS(G358) + I358*SIN(G358)</f>
        <v/>
      </c>
      <c r="K358" s="14">
        <f>(-H358*SIN(G358) + I358*COS(G358))/F358</f>
        <v/>
      </c>
      <c r="L358" s="15">
        <f>2*K358*J358</f>
        <v/>
      </c>
      <c r="M358" s="14">
        <f>-K358^2*F358</f>
        <v/>
      </c>
    </row>
    <row r="359">
      <c r="A359" s="8" t="n">
        <v>348</v>
      </c>
      <c r="B359" s="9">
        <f>A359*$B$6</f>
        <v/>
      </c>
      <c r="C359" s="10">
        <f>$B$5*B359</f>
        <v/>
      </c>
      <c r="D359" s="10">
        <f>$B$3*COS(C359)</f>
        <v/>
      </c>
      <c r="E359" s="10">
        <f>$B$3*SIN(C359)</f>
        <v/>
      </c>
      <c r="F359" s="10">
        <f>SQRT(D359^2 + (E359+$B$4)^2)</f>
        <v/>
      </c>
      <c r="G359" s="10">
        <f>ATAN2(D359, E359+$B$4)</f>
        <v/>
      </c>
      <c r="H359" s="10">
        <f>-$B$3*$B$5*SIN(C359)</f>
        <v/>
      </c>
      <c r="I359" s="10">
        <f>$B$3*$B$5*COS(C359)</f>
        <v/>
      </c>
      <c r="J359" s="10">
        <f>H359*COS(G359) + I359*SIN(G359)</f>
        <v/>
      </c>
      <c r="K359" s="10">
        <f>(-H359*SIN(G359) + I359*COS(G359))/F359</f>
        <v/>
      </c>
      <c r="L359" s="11">
        <f>2*K359*J359</f>
        <v/>
      </c>
      <c r="M359" s="10">
        <f>-K359^2*F359</f>
        <v/>
      </c>
    </row>
    <row r="360">
      <c r="A360" s="12" t="n">
        <v>349</v>
      </c>
      <c r="B360" s="13">
        <f>A360*$B$6</f>
        <v/>
      </c>
      <c r="C360" s="14">
        <f>$B$5*B360</f>
        <v/>
      </c>
      <c r="D360" s="14">
        <f>$B$3*COS(C360)</f>
        <v/>
      </c>
      <c r="E360" s="14">
        <f>$B$3*SIN(C360)</f>
        <v/>
      </c>
      <c r="F360" s="14">
        <f>SQRT(D360^2 + (E360+$B$4)^2)</f>
        <v/>
      </c>
      <c r="G360" s="14">
        <f>ATAN2(D360, E360+$B$4)</f>
        <v/>
      </c>
      <c r="H360" s="14">
        <f>-$B$3*$B$5*SIN(C360)</f>
        <v/>
      </c>
      <c r="I360" s="14">
        <f>$B$3*$B$5*COS(C360)</f>
        <v/>
      </c>
      <c r="J360" s="14">
        <f>H360*COS(G360) + I360*SIN(G360)</f>
        <v/>
      </c>
      <c r="K360" s="14">
        <f>(-H360*SIN(G360) + I360*COS(G360))/F360</f>
        <v/>
      </c>
      <c r="L360" s="15">
        <f>2*K360*J360</f>
        <v/>
      </c>
      <c r="M360" s="14">
        <f>-K360^2*F360</f>
        <v/>
      </c>
    </row>
    <row r="361">
      <c r="A361" s="8" t="n">
        <v>350</v>
      </c>
      <c r="B361" s="9">
        <f>A361*$B$6</f>
        <v/>
      </c>
      <c r="C361" s="10">
        <f>$B$5*B361</f>
        <v/>
      </c>
      <c r="D361" s="10">
        <f>$B$3*COS(C361)</f>
        <v/>
      </c>
      <c r="E361" s="10">
        <f>$B$3*SIN(C361)</f>
        <v/>
      </c>
      <c r="F361" s="10">
        <f>SQRT(D361^2 + (E361+$B$4)^2)</f>
        <v/>
      </c>
      <c r="G361" s="10">
        <f>ATAN2(D361, E361+$B$4)</f>
        <v/>
      </c>
      <c r="H361" s="10">
        <f>-$B$3*$B$5*SIN(C361)</f>
        <v/>
      </c>
      <c r="I361" s="10">
        <f>$B$3*$B$5*COS(C361)</f>
        <v/>
      </c>
      <c r="J361" s="10">
        <f>H361*COS(G361) + I361*SIN(G361)</f>
        <v/>
      </c>
      <c r="K361" s="10">
        <f>(-H361*SIN(G361) + I361*COS(G361))/F361</f>
        <v/>
      </c>
      <c r="L361" s="11">
        <f>2*K361*J361</f>
        <v/>
      </c>
      <c r="M361" s="10">
        <f>-K361^2*F361</f>
        <v/>
      </c>
    </row>
    <row r="362">
      <c r="A362" s="12" t="n">
        <v>351</v>
      </c>
      <c r="B362" s="13">
        <f>A362*$B$6</f>
        <v/>
      </c>
      <c r="C362" s="14">
        <f>$B$5*B362</f>
        <v/>
      </c>
      <c r="D362" s="14">
        <f>$B$3*COS(C362)</f>
        <v/>
      </c>
      <c r="E362" s="14">
        <f>$B$3*SIN(C362)</f>
        <v/>
      </c>
      <c r="F362" s="14">
        <f>SQRT(D362^2 + (E362+$B$4)^2)</f>
        <v/>
      </c>
      <c r="G362" s="14">
        <f>ATAN2(D362, E362+$B$4)</f>
        <v/>
      </c>
      <c r="H362" s="14">
        <f>-$B$3*$B$5*SIN(C362)</f>
        <v/>
      </c>
      <c r="I362" s="14">
        <f>$B$3*$B$5*COS(C362)</f>
        <v/>
      </c>
      <c r="J362" s="14">
        <f>H362*COS(G362) + I362*SIN(G362)</f>
        <v/>
      </c>
      <c r="K362" s="14">
        <f>(-H362*SIN(G362) + I362*COS(G362))/F362</f>
        <v/>
      </c>
      <c r="L362" s="15">
        <f>2*K362*J362</f>
        <v/>
      </c>
      <c r="M362" s="14">
        <f>-K362^2*F362</f>
        <v/>
      </c>
    </row>
    <row r="363">
      <c r="A363" s="8" t="n">
        <v>352</v>
      </c>
      <c r="B363" s="9">
        <f>A363*$B$6</f>
        <v/>
      </c>
      <c r="C363" s="10">
        <f>$B$5*B363</f>
        <v/>
      </c>
      <c r="D363" s="10">
        <f>$B$3*COS(C363)</f>
        <v/>
      </c>
      <c r="E363" s="10">
        <f>$B$3*SIN(C363)</f>
        <v/>
      </c>
      <c r="F363" s="10">
        <f>SQRT(D363^2 + (E363+$B$4)^2)</f>
        <v/>
      </c>
      <c r="G363" s="10">
        <f>ATAN2(D363, E363+$B$4)</f>
        <v/>
      </c>
      <c r="H363" s="10">
        <f>-$B$3*$B$5*SIN(C363)</f>
        <v/>
      </c>
      <c r="I363" s="10">
        <f>$B$3*$B$5*COS(C363)</f>
        <v/>
      </c>
      <c r="J363" s="10">
        <f>H363*COS(G363) + I363*SIN(G363)</f>
        <v/>
      </c>
      <c r="K363" s="10">
        <f>(-H363*SIN(G363) + I363*COS(G363))/F363</f>
        <v/>
      </c>
      <c r="L363" s="11">
        <f>2*K363*J363</f>
        <v/>
      </c>
      <c r="M363" s="10">
        <f>-K363^2*F363</f>
        <v/>
      </c>
    </row>
    <row r="364">
      <c r="A364" s="12" t="n">
        <v>353</v>
      </c>
      <c r="B364" s="13">
        <f>A364*$B$6</f>
        <v/>
      </c>
      <c r="C364" s="14">
        <f>$B$5*B364</f>
        <v/>
      </c>
      <c r="D364" s="14">
        <f>$B$3*COS(C364)</f>
        <v/>
      </c>
      <c r="E364" s="14">
        <f>$B$3*SIN(C364)</f>
        <v/>
      </c>
      <c r="F364" s="14">
        <f>SQRT(D364^2 + (E364+$B$4)^2)</f>
        <v/>
      </c>
      <c r="G364" s="14">
        <f>ATAN2(D364, E364+$B$4)</f>
        <v/>
      </c>
      <c r="H364" s="14">
        <f>-$B$3*$B$5*SIN(C364)</f>
        <v/>
      </c>
      <c r="I364" s="14">
        <f>$B$3*$B$5*COS(C364)</f>
        <v/>
      </c>
      <c r="J364" s="14">
        <f>H364*COS(G364) + I364*SIN(G364)</f>
        <v/>
      </c>
      <c r="K364" s="14">
        <f>(-H364*SIN(G364) + I364*COS(G364))/F364</f>
        <v/>
      </c>
      <c r="L364" s="15">
        <f>2*K364*J364</f>
        <v/>
      </c>
      <c r="M364" s="14">
        <f>-K364^2*F364</f>
        <v/>
      </c>
    </row>
    <row r="365">
      <c r="A365" s="8" t="n">
        <v>354</v>
      </c>
      <c r="B365" s="9">
        <f>A365*$B$6</f>
        <v/>
      </c>
      <c r="C365" s="10">
        <f>$B$5*B365</f>
        <v/>
      </c>
      <c r="D365" s="10">
        <f>$B$3*COS(C365)</f>
        <v/>
      </c>
      <c r="E365" s="10">
        <f>$B$3*SIN(C365)</f>
        <v/>
      </c>
      <c r="F365" s="10">
        <f>SQRT(D365^2 + (E365+$B$4)^2)</f>
        <v/>
      </c>
      <c r="G365" s="10">
        <f>ATAN2(D365, E365+$B$4)</f>
        <v/>
      </c>
      <c r="H365" s="10">
        <f>-$B$3*$B$5*SIN(C365)</f>
        <v/>
      </c>
      <c r="I365" s="10">
        <f>$B$3*$B$5*COS(C365)</f>
        <v/>
      </c>
      <c r="J365" s="10">
        <f>H365*COS(G365) + I365*SIN(G365)</f>
        <v/>
      </c>
      <c r="K365" s="10">
        <f>(-H365*SIN(G365) + I365*COS(G365))/F365</f>
        <v/>
      </c>
      <c r="L365" s="11">
        <f>2*K365*J365</f>
        <v/>
      </c>
      <c r="M365" s="10">
        <f>-K365^2*F365</f>
        <v/>
      </c>
    </row>
    <row r="366">
      <c r="A366" s="12" t="n">
        <v>355</v>
      </c>
      <c r="B366" s="13">
        <f>A366*$B$6</f>
        <v/>
      </c>
      <c r="C366" s="14">
        <f>$B$5*B366</f>
        <v/>
      </c>
      <c r="D366" s="14">
        <f>$B$3*COS(C366)</f>
        <v/>
      </c>
      <c r="E366" s="14">
        <f>$B$3*SIN(C366)</f>
        <v/>
      </c>
      <c r="F366" s="14">
        <f>SQRT(D366^2 + (E366+$B$4)^2)</f>
        <v/>
      </c>
      <c r="G366" s="14">
        <f>ATAN2(D366, E366+$B$4)</f>
        <v/>
      </c>
      <c r="H366" s="14">
        <f>-$B$3*$B$5*SIN(C366)</f>
        <v/>
      </c>
      <c r="I366" s="14">
        <f>$B$3*$B$5*COS(C366)</f>
        <v/>
      </c>
      <c r="J366" s="14">
        <f>H366*COS(G366) + I366*SIN(G366)</f>
        <v/>
      </c>
      <c r="K366" s="14">
        <f>(-H366*SIN(G366) + I366*COS(G366))/F366</f>
        <v/>
      </c>
      <c r="L366" s="15">
        <f>2*K366*J366</f>
        <v/>
      </c>
      <c r="M366" s="14">
        <f>-K366^2*F366</f>
        <v/>
      </c>
    </row>
    <row r="367">
      <c r="A367" s="8" t="n">
        <v>356</v>
      </c>
      <c r="B367" s="9">
        <f>A367*$B$6</f>
        <v/>
      </c>
      <c r="C367" s="10">
        <f>$B$5*B367</f>
        <v/>
      </c>
      <c r="D367" s="10">
        <f>$B$3*COS(C367)</f>
        <v/>
      </c>
      <c r="E367" s="10">
        <f>$B$3*SIN(C367)</f>
        <v/>
      </c>
      <c r="F367" s="10">
        <f>SQRT(D367^2 + (E367+$B$4)^2)</f>
        <v/>
      </c>
      <c r="G367" s="10">
        <f>ATAN2(D367, E367+$B$4)</f>
        <v/>
      </c>
      <c r="H367" s="10">
        <f>-$B$3*$B$5*SIN(C367)</f>
        <v/>
      </c>
      <c r="I367" s="10">
        <f>$B$3*$B$5*COS(C367)</f>
        <v/>
      </c>
      <c r="J367" s="10">
        <f>H367*COS(G367) + I367*SIN(G367)</f>
        <v/>
      </c>
      <c r="K367" s="10">
        <f>(-H367*SIN(G367) + I367*COS(G367))/F367</f>
        <v/>
      </c>
      <c r="L367" s="11">
        <f>2*K367*J367</f>
        <v/>
      </c>
      <c r="M367" s="10">
        <f>-K367^2*F367</f>
        <v/>
      </c>
    </row>
    <row r="368">
      <c r="A368" s="12" t="n">
        <v>357</v>
      </c>
      <c r="B368" s="13">
        <f>A368*$B$6</f>
        <v/>
      </c>
      <c r="C368" s="14">
        <f>$B$5*B368</f>
        <v/>
      </c>
      <c r="D368" s="14">
        <f>$B$3*COS(C368)</f>
        <v/>
      </c>
      <c r="E368" s="14">
        <f>$B$3*SIN(C368)</f>
        <v/>
      </c>
      <c r="F368" s="14">
        <f>SQRT(D368^2 + (E368+$B$4)^2)</f>
        <v/>
      </c>
      <c r="G368" s="14">
        <f>ATAN2(D368, E368+$B$4)</f>
        <v/>
      </c>
      <c r="H368" s="14">
        <f>-$B$3*$B$5*SIN(C368)</f>
        <v/>
      </c>
      <c r="I368" s="14">
        <f>$B$3*$B$5*COS(C368)</f>
        <v/>
      </c>
      <c r="J368" s="14">
        <f>H368*COS(G368) + I368*SIN(G368)</f>
        <v/>
      </c>
      <c r="K368" s="14">
        <f>(-H368*SIN(G368) + I368*COS(G368))/F368</f>
        <v/>
      </c>
      <c r="L368" s="15">
        <f>2*K368*J368</f>
        <v/>
      </c>
      <c r="M368" s="14">
        <f>-K368^2*F368</f>
        <v/>
      </c>
    </row>
    <row r="369">
      <c r="A369" s="8" t="n">
        <v>358</v>
      </c>
      <c r="B369" s="9">
        <f>A369*$B$6</f>
        <v/>
      </c>
      <c r="C369" s="10">
        <f>$B$5*B369</f>
        <v/>
      </c>
      <c r="D369" s="10">
        <f>$B$3*COS(C369)</f>
        <v/>
      </c>
      <c r="E369" s="10">
        <f>$B$3*SIN(C369)</f>
        <v/>
      </c>
      <c r="F369" s="10">
        <f>SQRT(D369^2 + (E369+$B$4)^2)</f>
        <v/>
      </c>
      <c r="G369" s="10">
        <f>ATAN2(D369, E369+$B$4)</f>
        <v/>
      </c>
      <c r="H369" s="10">
        <f>-$B$3*$B$5*SIN(C369)</f>
        <v/>
      </c>
      <c r="I369" s="10">
        <f>$B$3*$B$5*COS(C369)</f>
        <v/>
      </c>
      <c r="J369" s="10">
        <f>H369*COS(G369) + I369*SIN(G369)</f>
        <v/>
      </c>
      <c r="K369" s="10">
        <f>(-H369*SIN(G369) + I369*COS(G369))/F369</f>
        <v/>
      </c>
      <c r="L369" s="11">
        <f>2*K369*J369</f>
        <v/>
      </c>
      <c r="M369" s="10">
        <f>-K369^2*F369</f>
        <v/>
      </c>
    </row>
    <row r="370">
      <c r="A370" s="12" t="n">
        <v>359</v>
      </c>
      <c r="B370" s="13">
        <f>A370*$B$6</f>
        <v/>
      </c>
      <c r="C370" s="14">
        <f>$B$5*B370</f>
        <v/>
      </c>
      <c r="D370" s="14">
        <f>$B$3*COS(C370)</f>
        <v/>
      </c>
      <c r="E370" s="14">
        <f>$B$3*SIN(C370)</f>
        <v/>
      </c>
      <c r="F370" s="14">
        <f>SQRT(D370^2 + (E370+$B$4)^2)</f>
        <v/>
      </c>
      <c r="G370" s="14">
        <f>ATAN2(D370, E370+$B$4)</f>
        <v/>
      </c>
      <c r="H370" s="14">
        <f>-$B$3*$B$5*SIN(C370)</f>
        <v/>
      </c>
      <c r="I370" s="14">
        <f>$B$3*$B$5*COS(C370)</f>
        <v/>
      </c>
      <c r="J370" s="14">
        <f>H370*COS(G370) + I370*SIN(G370)</f>
        <v/>
      </c>
      <c r="K370" s="14">
        <f>(-H370*SIN(G370) + I370*COS(G370))/F370</f>
        <v/>
      </c>
      <c r="L370" s="15">
        <f>2*K370*J370</f>
        <v/>
      </c>
      <c r="M370" s="14">
        <f>-K370^2*F370</f>
        <v/>
      </c>
    </row>
    <row r="371">
      <c r="A371" s="8" t="n">
        <v>360</v>
      </c>
      <c r="B371" s="9">
        <f>A371*$B$6</f>
        <v/>
      </c>
      <c r="C371" s="10">
        <f>$B$5*B371</f>
        <v/>
      </c>
      <c r="D371" s="10">
        <f>$B$3*COS(C371)</f>
        <v/>
      </c>
      <c r="E371" s="10">
        <f>$B$3*SIN(C371)</f>
        <v/>
      </c>
      <c r="F371" s="10">
        <f>SQRT(D371^2 + (E371+$B$4)^2)</f>
        <v/>
      </c>
      <c r="G371" s="10">
        <f>ATAN2(D371, E371+$B$4)</f>
        <v/>
      </c>
      <c r="H371" s="10">
        <f>-$B$3*$B$5*SIN(C371)</f>
        <v/>
      </c>
      <c r="I371" s="10">
        <f>$B$3*$B$5*COS(C371)</f>
        <v/>
      </c>
      <c r="J371" s="10">
        <f>H371*COS(G371) + I371*SIN(G371)</f>
        <v/>
      </c>
      <c r="K371" s="10">
        <f>(-H371*SIN(G371) + I371*COS(G371))/F371</f>
        <v/>
      </c>
      <c r="L371" s="11">
        <f>2*K371*J371</f>
        <v/>
      </c>
      <c r="M371" s="10">
        <f>-K371^2*F371</f>
        <v/>
      </c>
    </row>
    <row r="372">
      <c r="A372" s="12" t="n">
        <v>361</v>
      </c>
      <c r="B372" s="13">
        <f>A372*$B$6</f>
        <v/>
      </c>
      <c r="C372" s="14">
        <f>$B$5*B372</f>
        <v/>
      </c>
      <c r="D372" s="14">
        <f>$B$3*COS(C372)</f>
        <v/>
      </c>
      <c r="E372" s="14">
        <f>$B$3*SIN(C372)</f>
        <v/>
      </c>
      <c r="F372" s="14">
        <f>SQRT(D372^2 + (E372+$B$4)^2)</f>
        <v/>
      </c>
      <c r="G372" s="14">
        <f>ATAN2(D372, E372+$B$4)</f>
        <v/>
      </c>
      <c r="H372" s="14">
        <f>-$B$3*$B$5*SIN(C372)</f>
        <v/>
      </c>
      <c r="I372" s="14">
        <f>$B$3*$B$5*COS(C372)</f>
        <v/>
      </c>
      <c r="J372" s="14">
        <f>H372*COS(G372) + I372*SIN(G372)</f>
        <v/>
      </c>
      <c r="K372" s="14">
        <f>(-H372*SIN(G372) + I372*COS(G372))/F372</f>
        <v/>
      </c>
      <c r="L372" s="15">
        <f>2*K372*J372</f>
        <v/>
      </c>
      <c r="M372" s="14">
        <f>-K372^2*F372</f>
        <v/>
      </c>
    </row>
    <row r="373">
      <c r="A373" s="8" t="n">
        <v>362</v>
      </c>
      <c r="B373" s="9">
        <f>A373*$B$6</f>
        <v/>
      </c>
      <c r="C373" s="10">
        <f>$B$5*B373</f>
        <v/>
      </c>
      <c r="D373" s="10">
        <f>$B$3*COS(C373)</f>
        <v/>
      </c>
      <c r="E373" s="10">
        <f>$B$3*SIN(C373)</f>
        <v/>
      </c>
      <c r="F373" s="10">
        <f>SQRT(D373^2 + (E373+$B$4)^2)</f>
        <v/>
      </c>
      <c r="G373" s="10">
        <f>ATAN2(D373, E373+$B$4)</f>
        <v/>
      </c>
      <c r="H373" s="10">
        <f>-$B$3*$B$5*SIN(C373)</f>
        <v/>
      </c>
      <c r="I373" s="10">
        <f>$B$3*$B$5*COS(C373)</f>
        <v/>
      </c>
      <c r="J373" s="10">
        <f>H373*COS(G373) + I373*SIN(G373)</f>
        <v/>
      </c>
      <c r="K373" s="10">
        <f>(-H373*SIN(G373) + I373*COS(G373))/F373</f>
        <v/>
      </c>
      <c r="L373" s="11">
        <f>2*K373*J373</f>
        <v/>
      </c>
      <c r="M373" s="10">
        <f>-K373^2*F373</f>
        <v/>
      </c>
    </row>
    <row r="374">
      <c r="A374" s="12" t="n">
        <v>363</v>
      </c>
      <c r="B374" s="13">
        <f>A374*$B$6</f>
        <v/>
      </c>
      <c r="C374" s="14">
        <f>$B$5*B374</f>
        <v/>
      </c>
      <c r="D374" s="14">
        <f>$B$3*COS(C374)</f>
        <v/>
      </c>
      <c r="E374" s="14">
        <f>$B$3*SIN(C374)</f>
        <v/>
      </c>
      <c r="F374" s="14">
        <f>SQRT(D374^2 + (E374+$B$4)^2)</f>
        <v/>
      </c>
      <c r="G374" s="14">
        <f>ATAN2(D374, E374+$B$4)</f>
        <v/>
      </c>
      <c r="H374" s="14">
        <f>-$B$3*$B$5*SIN(C374)</f>
        <v/>
      </c>
      <c r="I374" s="14">
        <f>$B$3*$B$5*COS(C374)</f>
        <v/>
      </c>
      <c r="J374" s="14">
        <f>H374*COS(G374) + I374*SIN(G374)</f>
        <v/>
      </c>
      <c r="K374" s="14">
        <f>(-H374*SIN(G374) + I374*COS(G374))/F374</f>
        <v/>
      </c>
      <c r="L374" s="15">
        <f>2*K374*J374</f>
        <v/>
      </c>
      <c r="M374" s="14">
        <f>-K374^2*F374</f>
        <v/>
      </c>
    </row>
    <row r="375">
      <c r="A375" s="8" t="n">
        <v>364</v>
      </c>
      <c r="B375" s="9">
        <f>A375*$B$6</f>
        <v/>
      </c>
      <c r="C375" s="10">
        <f>$B$5*B375</f>
        <v/>
      </c>
      <c r="D375" s="10">
        <f>$B$3*COS(C375)</f>
        <v/>
      </c>
      <c r="E375" s="10">
        <f>$B$3*SIN(C375)</f>
        <v/>
      </c>
      <c r="F375" s="10">
        <f>SQRT(D375^2 + (E375+$B$4)^2)</f>
        <v/>
      </c>
      <c r="G375" s="10">
        <f>ATAN2(D375, E375+$B$4)</f>
        <v/>
      </c>
      <c r="H375" s="10">
        <f>-$B$3*$B$5*SIN(C375)</f>
        <v/>
      </c>
      <c r="I375" s="10">
        <f>$B$3*$B$5*COS(C375)</f>
        <v/>
      </c>
      <c r="J375" s="10">
        <f>H375*COS(G375) + I375*SIN(G375)</f>
        <v/>
      </c>
      <c r="K375" s="10">
        <f>(-H375*SIN(G375) + I375*COS(G375))/F375</f>
        <v/>
      </c>
      <c r="L375" s="11">
        <f>2*K375*J375</f>
        <v/>
      </c>
      <c r="M375" s="10">
        <f>-K375^2*F375</f>
        <v/>
      </c>
    </row>
    <row r="376">
      <c r="A376" s="12" t="n">
        <v>365</v>
      </c>
      <c r="B376" s="13">
        <f>A376*$B$6</f>
        <v/>
      </c>
      <c r="C376" s="14">
        <f>$B$5*B376</f>
        <v/>
      </c>
      <c r="D376" s="14">
        <f>$B$3*COS(C376)</f>
        <v/>
      </c>
      <c r="E376" s="14">
        <f>$B$3*SIN(C376)</f>
        <v/>
      </c>
      <c r="F376" s="14">
        <f>SQRT(D376^2 + (E376+$B$4)^2)</f>
        <v/>
      </c>
      <c r="G376" s="14">
        <f>ATAN2(D376, E376+$B$4)</f>
        <v/>
      </c>
      <c r="H376" s="14">
        <f>-$B$3*$B$5*SIN(C376)</f>
        <v/>
      </c>
      <c r="I376" s="14">
        <f>$B$3*$B$5*COS(C376)</f>
        <v/>
      </c>
      <c r="J376" s="14">
        <f>H376*COS(G376) + I376*SIN(G376)</f>
        <v/>
      </c>
      <c r="K376" s="14">
        <f>(-H376*SIN(G376) + I376*COS(G376))/F376</f>
        <v/>
      </c>
      <c r="L376" s="15">
        <f>2*K376*J376</f>
        <v/>
      </c>
      <c r="M376" s="14">
        <f>-K376^2*F376</f>
        <v/>
      </c>
    </row>
    <row r="377">
      <c r="A377" s="8" t="n">
        <v>366</v>
      </c>
      <c r="B377" s="9">
        <f>A377*$B$6</f>
        <v/>
      </c>
      <c r="C377" s="10">
        <f>$B$5*B377</f>
        <v/>
      </c>
      <c r="D377" s="10">
        <f>$B$3*COS(C377)</f>
        <v/>
      </c>
      <c r="E377" s="10">
        <f>$B$3*SIN(C377)</f>
        <v/>
      </c>
      <c r="F377" s="10">
        <f>SQRT(D377^2 + (E377+$B$4)^2)</f>
        <v/>
      </c>
      <c r="G377" s="10">
        <f>ATAN2(D377, E377+$B$4)</f>
        <v/>
      </c>
      <c r="H377" s="10">
        <f>-$B$3*$B$5*SIN(C377)</f>
        <v/>
      </c>
      <c r="I377" s="10">
        <f>$B$3*$B$5*COS(C377)</f>
        <v/>
      </c>
      <c r="J377" s="10">
        <f>H377*COS(G377) + I377*SIN(G377)</f>
        <v/>
      </c>
      <c r="K377" s="10">
        <f>(-H377*SIN(G377) + I377*COS(G377))/F377</f>
        <v/>
      </c>
      <c r="L377" s="11">
        <f>2*K377*J377</f>
        <v/>
      </c>
      <c r="M377" s="10">
        <f>-K377^2*F377</f>
        <v/>
      </c>
    </row>
    <row r="378">
      <c r="A378" s="12" t="n">
        <v>367</v>
      </c>
      <c r="B378" s="13">
        <f>A378*$B$6</f>
        <v/>
      </c>
      <c r="C378" s="14">
        <f>$B$5*B378</f>
        <v/>
      </c>
      <c r="D378" s="14">
        <f>$B$3*COS(C378)</f>
        <v/>
      </c>
      <c r="E378" s="14">
        <f>$B$3*SIN(C378)</f>
        <v/>
      </c>
      <c r="F378" s="14">
        <f>SQRT(D378^2 + (E378+$B$4)^2)</f>
        <v/>
      </c>
      <c r="G378" s="14">
        <f>ATAN2(D378, E378+$B$4)</f>
        <v/>
      </c>
      <c r="H378" s="14">
        <f>-$B$3*$B$5*SIN(C378)</f>
        <v/>
      </c>
      <c r="I378" s="14">
        <f>$B$3*$B$5*COS(C378)</f>
        <v/>
      </c>
      <c r="J378" s="14">
        <f>H378*COS(G378) + I378*SIN(G378)</f>
        <v/>
      </c>
      <c r="K378" s="14">
        <f>(-H378*SIN(G378) + I378*COS(G378))/F378</f>
        <v/>
      </c>
      <c r="L378" s="15">
        <f>2*K378*J378</f>
        <v/>
      </c>
      <c r="M378" s="14">
        <f>-K378^2*F378</f>
        <v/>
      </c>
    </row>
    <row r="379">
      <c r="A379" s="8" t="n">
        <v>368</v>
      </c>
      <c r="B379" s="9">
        <f>A379*$B$6</f>
        <v/>
      </c>
      <c r="C379" s="10">
        <f>$B$5*B379</f>
        <v/>
      </c>
      <c r="D379" s="10">
        <f>$B$3*COS(C379)</f>
        <v/>
      </c>
      <c r="E379" s="10">
        <f>$B$3*SIN(C379)</f>
        <v/>
      </c>
      <c r="F379" s="10">
        <f>SQRT(D379^2 + (E379+$B$4)^2)</f>
        <v/>
      </c>
      <c r="G379" s="10">
        <f>ATAN2(D379, E379+$B$4)</f>
        <v/>
      </c>
      <c r="H379" s="10">
        <f>-$B$3*$B$5*SIN(C379)</f>
        <v/>
      </c>
      <c r="I379" s="10">
        <f>$B$3*$B$5*COS(C379)</f>
        <v/>
      </c>
      <c r="J379" s="10">
        <f>H379*COS(G379) + I379*SIN(G379)</f>
        <v/>
      </c>
      <c r="K379" s="10">
        <f>(-H379*SIN(G379) + I379*COS(G379))/F379</f>
        <v/>
      </c>
      <c r="L379" s="11">
        <f>2*K379*J379</f>
        <v/>
      </c>
      <c r="M379" s="10">
        <f>-K379^2*F379</f>
        <v/>
      </c>
    </row>
    <row r="380">
      <c r="A380" s="12" t="n">
        <v>369</v>
      </c>
      <c r="B380" s="13">
        <f>A380*$B$6</f>
        <v/>
      </c>
      <c r="C380" s="14">
        <f>$B$5*B380</f>
        <v/>
      </c>
      <c r="D380" s="14">
        <f>$B$3*COS(C380)</f>
        <v/>
      </c>
      <c r="E380" s="14">
        <f>$B$3*SIN(C380)</f>
        <v/>
      </c>
      <c r="F380" s="14">
        <f>SQRT(D380^2 + (E380+$B$4)^2)</f>
        <v/>
      </c>
      <c r="G380" s="14">
        <f>ATAN2(D380, E380+$B$4)</f>
        <v/>
      </c>
      <c r="H380" s="14">
        <f>-$B$3*$B$5*SIN(C380)</f>
        <v/>
      </c>
      <c r="I380" s="14">
        <f>$B$3*$B$5*COS(C380)</f>
        <v/>
      </c>
      <c r="J380" s="14">
        <f>H380*COS(G380) + I380*SIN(G380)</f>
        <v/>
      </c>
      <c r="K380" s="14">
        <f>(-H380*SIN(G380) + I380*COS(G380))/F380</f>
        <v/>
      </c>
      <c r="L380" s="15">
        <f>2*K380*J380</f>
        <v/>
      </c>
      <c r="M380" s="14">
        <f>-K380^2*F380</f>
        <v/>
      </c>
    </row>
    <row r="381">
      <c r="A381" s="8" t="n">
        <v>370</v>
      </c>
      <c r="B381" s="9">
        <f>A381*$B$6</f>
        <v/>
      </c>
      <c r="C381" s="10">
        <f>$B$5*B381</f>
        <v/>
      </c>
      <c r="D381" s="10">
        <f>$B$3*COS(C381)</f>
        <v/>
      </c>
      <c r="E381" s="10">
        <f>$B$3*SIN(C381)</f>
        <v/>
      </c>
      <c r="F381" s="10">
        <f>SQRT(D381^2 + (E381+$B$4)^2)</f>
        <v/>
      </c>
      <c r="G381" s="10">
        <f>ATAN2(D381, E381+$B$4)</f>
        <v/>
      </c>
      <c r="H381" s="10">
        <f>-$B$3*$B$5*SIN(C381)</f>
        <v/>
      </c>
      <c r="I381" s="10">
        <f>$B$3*$B$5*COS(C381)</f>
        <v/>
      </c>
      <c r="J381" s="10">
        <f>H381*COS(G381) + I381*SIN(G381)</f>
        <v/>
      </c>
      <c r="K381" s="10">
        <f>(-H381*SIN(G381) + I381*COS(G381))/F381</f>
        <v/>
      </c>
      <c r="L381" s="11">
        <f>2*K381*J381</f>
        <v/>
      </c>
      <c r="M381" s="10">
        <f>-K381^2*F381</f>
        <v/>
      </c>
    </row>
    <row r="382">
      <c r="A382" s="12" t="n">
        <v>371</v>
      </c>
      <c r="B382" s="13">
        <f>A382*$B$6</f>
        <v/>
      </c>
      <c r="C382" s="14">
        <f>$B$5*B382</f>
        <v/>
      </c>
      <c r="D382" s="14">
        <f>$B$3*COS(C382)</f>
        <v/>
      </c>
      <c r="E382" s="14">
        <f>$B$3*SIN(C382)</f>
        <v/>
      </c>
      <c r="F382" s="14">
        <f>SQRT(D382^2 + (E382+$B$4)^2)</f>
        <v/>
      </c>
      <c r="G382" s="14">
        <f>ATAN2(D382, E382+$B$4)</f>
        <v/>
      </c>
      <c r="H382" s="14">
        <f>-$B$3*$B$5*SIN(C382)</f>
        <v/>
      </c>
      <c r="I382" s="14">
        <f>$B$3*$B$5*COS(C382)</f>
        <v/>
      </c>
      <c r="J382" s="14">
        <f>H382*COS(G382) + I382*SIN(G382)</f>
        <v/>
      </c>
      <c r="K382" s="14">
        <f>(-H382*SIN(G382) + I382*COS(G382))/F382</f>
        <v/>
      </c>
      <c r="L382" s="15">
        <f>2*K382*J382</f>
        <v/>
      </c>
      <c r="M382" s="14">
        <f>-K382^2*F382</f>
        <v/>
      </c>
    </row>
    <row r="383">
      <c r="A383" s="8" t="n">
        <v>372</v>
      </c>
      <c r="B383" s="9">
        <f>A383*$B$6</f>
        <v/>
      </c>
      <c r="C383" s="10">
        <f>$B$5*B383</f>
        <v/>
      </c>
      <c r="D383" s="10">
        <f>$B$3*COS(C383)</f>
        <v/>
      </c>
      <c r="E383" s="10">
        <f>$B$3*SIN(C383)</f>
        <v/>
      </c>
      <c r="F383" s="10">
        <f>SQRT(D383^2 + (E383+$B$4)^2)</f>
        <v/>
      </c>
      <c r="G383" s="10">
        <f>ATAN2(D383, E383+$B$4)</f>
        <v/>
      </c>
      <c r="H383" s="10">
        <f>-$B$3*$B$5*SIN(C383)</f>
        <v/>
      </c>
      <c r="I383" s="10">
        <f>$B$3*$B$5*COS(C383)</f>
        <v/>
      </c>
      <c r="J383" s="10">
        <f>H383*COS(G383) + I383*SIN(G383)</f>
        <v/>
      </c>
      <c r="K383" s="10">
        <f>(-H383*SIN(G383) + I383*COS(G383))/F383</f>
        <v/>
      </c>
      <c r="L383" s="11">
        <f>2*K383*J383</f>
        <v/>
      </c>
      <c r="M383" s="10">
        <f>-K383^2*F383</f>
        <v/>
      </c>
    </row>
    <row r="384">
      <c r="A384" s="12" t="n">
        <v>373</v>
      </c>
      <c r="B384" s="13">
        <f>A384*$B$6</f>
        <v/>
      </c>
      <c r="C384" s="14">
        <f>$B$5*B384</f>
        <v/>
      </c>
      <c r="D384" s="14">
        <f>$B$3*COS(C384)</f>
        <v/>
      </c>
      <c r="E384" s="14">
        <f>$B$3*SIN(C384)</f>
        <v/>
      </c>
      <c r="F384" s="14">
        <f>SQRT(D384^2 + (E384+$B$4)^2)</f>
        <v/>
      </c>
      <c r="G384" s="14">
        <f>ATAN2(D384, E384+$B$4)</f>
        <v/>
      </c>
      <c r="H384" s="14">
        <f>-$B$3*$B$5*SIN(C384)</f>
        <v/>
      </c>
      <c r="I384" s="14">
        <f>$B$3*$B$5*COS(C384)</f>
        <v/>
      </c>
      <c r="J384" s="14">
        <f>H384*COS(G384) + I384*SIN(G384)</f>
        <v/>
      </c>
      <c r="K384" s="14">
        <f>(-H384*SIN(G384) + I384*COS(G384))/F384</f>
        <v/>
      </c>
      <c r="L384" s="15">
        <f>2*K384*J384</f>
        <v/>
      </c>
      <c r="M384" s="14">
        <f>-K384^2*F384</f>
        <v/>
      </c>
    </row>
    <row r="385">
      <c r="A385" s="8" t="n">
        <v>374</v>
      </c>
      <c r="B385" s="9">
        <f>A385*$B$6</f>
        <v/>
      </c>
      <c r="C385" s="10">
        <f>$B$5*B385</f>
        <v/>
      </c>
      <c r="D385" s="10">
        <f>$B$3*COS(C385)</f>
        <v/>
      </c>
      <c r="E385" s="10">
        <f>$B$3*SIN(C385)</f>
        <v/>
      </c>
      <c r="F385" s="10">
        <f>SQRT(D385^2 + (E385+$B$4)^2)</f>
        <v/>
      </c>
      <c r="G385" s="10">
        <f>ATAN2(D385, E385+$B$4)</f>
        <v/>
      </c>
      <c r="H385" s="10">
        <f>-$B$3*$B$5*SIN(C385)</f>
        <v/>
      </c>
      <c r="I385" s="10">
        <f>$B$3*$B$5*COS(C385)</f>
        <v/>
      </c>
      <c r="J385" s="10">
        <f>H385*COS(G385) + I385*SIN(G385)</f>
        <v/>
      </c>
      <c r="K385" s="10">
        <f>(-H385*SIN(G385) + I385*COS(G385))/F385</f>
        <v/>
      </c>
      <c r="L385" s="11">
        <f>2*K385*J385</f>
        <v/>
      </c>
      <c r="M385" s="10">
        <f>-K385^2*F385</f>
        <v/>
      </c>
    </row>
    <row r="386">
      <c r="A386" s="12" t="n">
        <v>375</v>
      </c>
      <c r="B386" s="13">
        <f>A386*$B$6</f>
        <v/>
      </c>
      <c r="C386" s="14">
        <f>$B$5*B386</f>
        <v/>
      </c>
      <c r="D386" s="14">
        <f>$B$3*COS(C386)</f>
        <v/>
      </c>
      <c r="E386" s="14">
        <f>$B$3*SIN(C386)</f>
        <v/>
      </c>
      <c r="F386" s="14">
        <f>SQRT(D386^2 + (E386+$B$4)^2)</f>
        <v/>
      </c>
      <c r="G386" s="14">
        <f>ATAN2(D386, E386+$B$4)</f>
        <v/>
      </c>
      <c r="H386" s="14">
        <f>-$B$3*$B$5*SIN(C386)</f>
        <v/>
      </c>
      <c r="I386" s="14">
        <f>$B$3*$B$5*COS(C386)</f>
        <v/>
      </c>
      <c r="J386" s="14">
        <f>H386*COS(G386) + I386*SIN(G386)</f>
        <v/>
      </c>
      <c r="K386" s="14">
        <f>(-H386*SIN(G386) + I386*COS(G386))/F386</f>
        <v/>
      </c>
      <c r="L386" s="15">
        <f>2*K386*J386</f>
        <v/>
      </c>
      <c r="M386" s="14">
        <f>-K386^2*F386</f>
        <v/>
      </c>
    </row>
    <row r="387">
      <c r="A387" s="8" t="n">
        <v>376</v>
      </c>
      <c r="B387" s="9">
        <f>A387*$B$6</f>
        <v/>
      </c>
      <c r="C387" s="10">
        <f>$B$5*B387</f>
        <v/>
      </c>
      <c r="D387" s="10">
        <f>$B$3*COS(C387)</f>
        <v/>
      </c>
      <c r="E387" s="10">
        <f>$B$3*SIN(C387)</f>
        <v/>
      </c>
      <c r="F387" s="10">
        <f>SQRT(D387^2 + (E387+$B$4)^2)</f>
        <v/>
      </c>
      <c r="G387" s="10">
        <f>ATAN2(D387, E387+$B$4)</f>
        <v/>
      </c>
      <c r="H387" s="10">
        <f>-$B$3*$B$5*SIN(C387)</f>
        <v/>
      </c>
      <c r="I387" s="10">
        <f>$B$3*$B$5*COS(C387)</f>
        <v/>
      </c>
      <c r="J387" s="10">
        <f>H387*COS(G387) + I387*SIN(G387)</f>
        <v/>
      </c>
      <c r="K387" s="10">
        <f>(-H387*SIN(G387) + I387*COS(G387))/F387</f>
        <v/>
      </c>
      <c r="L387" s="11">
        <f>2*K387*J387</f>
        <v/>
      </c>
      <c r="M387" s="10">
        <f>-K387^2*F387</f>
        <v/>
      </c>
    </row>
    <row r="388">
      <c r="A388" s="12" t="n">
        <v>377</v>
      </c>
      <c r="B388" s="13">
        <f>A388*$B$6</f>
        <v/>
      </c>
      <c r="C388" s="14">
        <f>$B$5*B388</f>
        <v/>
      </c>
      <c r="D388" s="14">
        <f>$B$3*COS(C388)</f>
        <v/>
      </c>
      <c r="E388" s="14">
        <f>$B$3*SIN(C388)</f>
        <v/>
      </c>
      <c r="F388" s="14">
        <f>SQRT(D388^2 + (E388+$B$4)^2)</f>
        <v/>
      </c>
      <c r="G388" s="14">
        <f>ATAN2(D388, E388+$B$4)</f>
        <v/>
      </c>
      <c r="H388" s="14">
        <f>-$B$3*$B$5*SIN(C388)</f>
        <v/>
      </c>
      <c r="I388" s="14">
        <f>$B$3*$B$5*COS(C388)</f>
        <v/>
      </c>
      <c r="J388" s="14">
        <f>H388*COS(G388) + I388*SIN(G388)</f>
        <v/>
      </c>
      <c r="K388" s="14">
        <f>(-H388*SIN(G388) + I388*COS(G388))/F388</f>
        <v/>
      </c>
      <c r="L388" s="15">
        <f>2*K388*J388</f>
        <v/>
      </c>
      <c r="M388" s="14">
        <f>-K388^2*F388</f>
        <v/>
      </c>
    </row>
    <row r="389">
      <c r="A389" s="8" t="n">
        <v>378</v>
      </c>
      <c r="B389" s="9">
        <f>A389*$B$6</f>
        <v/>
      </c>
      <c r="C389" s="10">
        <f>$B$5*B389</f>
        <v/>
      </c>
      <c r="D389" s="10">
        <f>$B$3*COS(C389)</f>
        <v/>
      </c>
      <c r="E389" s="10">
        <f>$B$3*SIN(C389)</f>
        <v/>
      </c>
      <c r="F389" s="10">
        <f>SQRT(D389^2 + (E389+$B$4)^2)</f>
        <v/>
      </c>
      <c r="G389" s="10">
        <f>ATAN2(D389, E389+$B$4)</f>
        <v/>
      </c>
      <c r="H389" s="10">
        <f>-$B$3*$B$5*SIN(C389)</f>
        <v/>
      </c>
      <c r="I389" s="10">
        <f>$B$3*$B$5*COS(C389)</f>
        <v/>
      </c>
      <c r="J389" s="10">
        <f>H389*COS(G389) + I389*SIN(G389)</f>
        <v/>
      </c>
      <c r="K389" s="10">
        <f>(-H389*SIN(G389) + I389*COS(G389))/F389</f>
        <v/>
      </c>
      <c r="L389" s="11">
        <f>2*K389*J389</f>
        <v/>
      </c>
      <c r="M389" s="10">
        <f>-K389^2*F389</f>
        <v/>
      </c>
    </row>
    <row r="390">
      <c r="A390" s="12" t="n">
        <v>379</v>
      </c>
      <c r="B390" s="13">
        <f>A390*$B$6</f>
        <v/>
      </c>
      <c r="C390" s="14">
        <f>$B$5*B390</f>
        <v/>
      </c>
      <c r="D390" s="14">
        <f>$B$3*COS(C390)</f>
        <v/>
      </c>
      <c r="E390" s="14">
        <f>$B$3*SIN(C390)</f>
        <v/>
      </c>
      <c r="F390" s="14">
        <f>SQRT(D390^2 + (E390+$B$4)^2)</f>
        <v/>
      </c>
      <c r="G390" s="14">
        <f>ATAN2(D390, E390+$B$4)</f>
        <v/>
      </c>
      <c r="H390" s="14">
        <f>-$B$3*$B$5*SIN(C390)</f>
        <v/>
      </c>
      <c r="I390" s="14">
        <f>$B$3*$B$5*COS(C390)</f>
        <v/>
      </c>
      <c r="J390" s="14">
        <f>H390*COS(G390) + I390*SIN(G390)</f>
        <v/>
      </c>
      <c r="K390" s="14">
        <f>(-H390*SIN(G390) + I390*COS(G390))/F390</f>
        <v/>
      </c>
      <c r="L390" s="15">
        <f>2*K390*J390</f>
        <v/>
      </c>
      <c r="M390" s="14">
        <f>-K390^2*F390</f>
        <v/>
      </c>
    </row>
    <row r="391">
      <c r="A391" s="8" t="n">
        <v>380</v>
      </c>
      <c r="B391" s="9">
        <f>A391*$B$6</f>
        <v/>
      </c>
      <c r="C391" s="10">
        <f>$B$5*B391</f>
        <v/>
      </c>
      <c r="D391" s="10">
        <f>$B$3*COS(C391)</f>
        <v/>
      </c>
      <c r="E391" s="10">
        <f>$B$3*SIN(C391)</f>
        <v/>
      </c>
      <c r="F391" s="10">
        <f>SQRT(D391^2 + (E391+$B$4)^2)</f>
        <v/>
      </c>
      <c r="G391" s="10">
        <f>ATAN2(D391, E391+$B$4)</f>
        <v/>
      </c>
      <c r="H391" s="10">
        <f>-$B$3*$B$5*SIN(C391)</f>
        <v/>
      </c>
      <c r="I391" s="10">
        <f>$B$3*$B$5*COS(C391)</f>
        <v/>
      </c>
      <c r="J391" s="10">
        <f>H391*COS(G391) + I391*SIN(G391)</f>
        <v/>
      </c>
      <c r="K391" s="10">
        <f>(-H391*SIN(G391) + I391*COS(G391))/F391</f>
        <v/>
      </c>
      <c r="L391" s="11">
        <f>2*K391*J391</f>
        <v/>
      </c>
      <c r="M391" s="10">
        <f>-K391^2*F391</f>
        <v/>
      </c>
    </row>
    <row r="392">
      <c r="A392" s="12" t="n">
        <v>381</v>
      </c>
      <c r="B392" s="13">
        <f>A392*$B$6</f>
        <v/>
      </c>
      <c r="C392" s="14">
        <f>$B$5*B392</f>
        <v/>
      </c>
      <c r="D392" s="14">
        <f>$B$3*COS(C392)</f>
        <v/>
      </c>
      <c r="E392" s="14">
        <f>$B$3*SIN(C392)</f>
        <v/>
      </c>
      <c r="F392" s="14">
        <f>SQRT(D392^2 + (E392+$B$4)^2)</f>
        <v/>
      </c>
      <c r="G392" s="14">
        <f>ATAN2(D392, E392+$B$4)</f>
        <v/>
      </c>
      <c r="H392" s="14">
        <f>-$B$3*$B$5*SIN(C392)</f>
        <v/>
      </c>
      <c r="I392" s="14">
        <f>$B$3*$B$5*COS(C392)</f>
        <v/>
      </c>
      <c r="J392" s="14">
        <f>H392*COS(G392) + I392*SIN(G392)</f>
        <v/>
      </c>
      <c r="K392" s="14">
        <f>(-H392*SIN(G392) + I392*COS(G392))/F392</f>
        <v/>
      </c>
      <c r="L392" s="15">
        <f>2*K392*J392</f>
        <v/>
      </c>
      <c r="M392" s="14">
        <f>-K392^2*F392</f>
        <v/>
      </c>
    </row>
    <row r="393">
      <c r="A393" s="8" t="n">
        <v>382</v>
      </c>
      <c r="B393" s="9">
        <f>A393*$B$6</f>
        <v/>
      </c>
      <c r="C393" s="10">
        <f>$B$5*B393</f>
        <v/>
      </c>
      <c r="D393" s="10">
        <f>$B$3*COS(C393)</f>
        <v/>
      </c>
      <c r="E393" s="10">
        <f>$B$3*SIN(C393)</f>
        <v/>
      </c>
      <c r="F393" s="10">
        <f>SQRT(D393^2 + (E393+$B$4)^2)</f>
        <v/>
      </c>
      <c r="G393" s="10">
        <f>ATAN2(D393, E393+$B$4)</f>
        <v/>
      </c>
      <c r="H393" s="10">
        <f>-$B$3*$B$5*SIN(C393)</f>
        <v/>
      </c>
      <c r="I393" s="10">
        <f>$B$3*$B$5*COS(C393)</f>
        <v/>
      </c>
      <c r="J393" s="10">
        <f>H393*COS(G393) + I393*SIN(G393)</f>
        <v/>
      </c>
      <c r="K393" s="10">
        <f>(-H393*SIN(G393) + I393*COS(G393))/F393</f>
        <v/>
      </c>
      <c r="L393" s="11">
        <f>2*K393*J393</f>
        <v/>
      </c>
      <c r="M393" s="10">
        <f>-K393^2*F393</f>
        <v/>
      </c>
    </row>
    <row r="394">
      <c r="A394" s="12" t="n">
        <v>383</v>
      </c>
      <c r="B394" s="13">
        <f>A394*$B$6</f>
        <v/>
      </c>
      <c r="C394" s="14">
        <f>$B$5*B394</f>
        <v/>
      </c>
      <c r="D394" s="14">
        <f>$B$3*COS(C394)</f>
        <v/>
      </c>
      <c r="E394" s="14">
        <f>$B$3*SIN(C394)</f>
        <v/>
      </c>
      <c r="F394" s="14">
        <f>SQRT(D394^2 + (E394+$B$4)^2)</f>
        <v/>
      </c>
      <c r="G394" s="14">
        <f>ATAN2(D394, E394+$B$4)</f>
        <v/>
      </c>
      <c r="H394" s="14">
        <f>-$B$3*$B$5*SIN(C394)</f>
        <v/>
      </c>
      <c r="I394" s="14">
        <f>$B$3*$B$5*COS(C394)</f>
        <v/>
      </c>
      <c r="J394" s="14">
        <f>H394*COS(G394) + I394*SIN(G394)</f>
        <v/>
      </c>
      <c r="K394" s="14">
        <f>(-H394*SIN(G394) + I394*COS(G394))/F394</f>
        <v/>
      </c>
      <c r="L394" s="15">
        <f>2*K394*J394</f>
        <v/>
      </c>
      <c r="M394" s="14">
        <f>-K394^2*F394</f>
        <v/>
      </c>
    </row>
    <row r="395">
      <c r="A395" s="8" t="n">
        <v>384</v>
      </c>
      <c r="B395" s="9">
        <f>A395*$B$6</f>
        <v/>
      </c>
      <c r="C395" s="10">
        <f>$B$5*B395</f>
        <v/>
      </c>
      <c r="D395" s="10">
        <f>$B$3*COS(C395)</f>
        <v/>
      </c>
      <c r="E395" s="10">
        <f>$B$3*SIN(C395)</f>
        <v/>
      </c>
      <c r="F395" s="10">
        <f>SQRT(D395^2 + (E395+$B$4)^2)</f>
        <v/>
      </c>
      <c r="G395" s="10">
        <f>ATAN2(D395, E395+$B$4)</f>
        <v/>
      </c>
      <c r="H395" s="10">
        <f>-$B$3*$B$5*SIN(C395)</f>
        <v/>
      </c>
      <c r="I395" s="10">
        <f>$B$3*$B$5*COS(C395)</f>
        <v/>
      </c>
      <c r="J395" s="10">
        <f>H395*COS(G395) + I395*SIN(G395)</f>
        <v/>
      </c>
      <c r="K395" s="10">
        <f>(-H395*SIN(G395) + I395*COS(G395))/F395</f>
        <v/>
      </c>
      <c r="L395" s="11">
        <f>2*K395*J395</f>
        <v/>
      </c>
      <c r="M395" s="10">
        <f>-K395^2*F395</f>
        <v/>
      </c>
    </row>
    <row r="396">
      <c r="A396" s="12" t="n">
        <v>385</v>
      </c>
      <c r="B396" s="13">
        <f>A396*$B$6</f>
        <v/>
      </c>
      <c r="C396" s="14">
        <f>$B$5*B396</f>
        <v/>
      </c>
      <c r="D396" s="14">
        <f>$B$3*COS(C396)</f>
        <v/>
      </c>
      <c r="E396" s="14">
        <f>$B$3*SIN(C396)</f>
        <v/>
      </c>
      <c r="F396" s="14">
        <f>SQRT(D396^2 + (E396+$B$4)^2)</f>
        <v/>
      </c>
      <c r="G396" s="14">
        <f>ATAN2(D396, E396+$B$4)</f>
        <v/>
      </c>
      <c r="H396" s="14">
        <f>-$B$3*$B$5*SIN(C396)</f>
        <v/>
      </c>
      <c r="I396" s="14">
        <f>$B$3*$B$5*COS(C396)</f>
        <v/>
      </c>
      <c r="J396" s="14">
        <f>H396*COS(G396) + I396*SIN(G396)</f>
        <v/>
      </c>
      <c r="K396" s="14">
        <f>(-H396*SIN(G396) + I396*COS(G396))/F396</f>
        <v/>
      </c>
      <c r="L396" s="15">
        <f>2*K396*J396</f>
        <v/>
      </c>
      <c r="M396" s="14">
        <f>-K396^2*F396</f>
        <v/>
      </c>
    </row>
    <row r="397">
      <c r="A397" s="8" t="n">
        <v>386</v>
      </c>
      <c r="B397" s="9">
        <f>A397*$B$6</f>
        <v/>
      </c>
      <c r="C397" s="10">
        <f>$B$5*B397</f>
        <v/>
      </c>
      <c r="D397" s="10">
        <f>$B$3*COS(C397)</f>
        <v/>
      </c>
      <c r="E397" s="10">
        <f>$B$3*SIN(C397)</f>
        <v/>
      </c>
      <c r="F397" s="10">
        <f>SQRT(D397^2 + (E397+$B$4)^2)</f>
        <v/>
      </c>
      <c r="G397" s="10">
        <f>ATAN2(D397, E397+$B$4)</f>
        <v/>
      </c>
      <c r="H397" s="10">
        <f>-$B$3*$B$5*SIN(C397)</f>
        <v/>
      </c>
      <c r="I397" s="10">
        <f>$B$3*$B$5*COS(C397)</f>
        <v/>
      </c>
      <c r="J397" s="10">
        <f>H397*COS(G397) + I397*SIN(G397)</f>
        <v/>
      </c>
      <c r="K397" s="10">
        <f>(-H397*SIN(G397) + I397*COS(G397))/F397</f>
        <v/>
      </c>
      <c r="L397" s="11">
        <f>2*K397*J397</f>
        <v/>
      </c>
      <c r="M397" s="10">
        <f>-K397^2*F397</f>
        <v/>
      </c>
    </row>
    <row r="398">
      <c r="A398" s="12" t="n">
        <v>387</v>
      </c>
      <c r="B398" s="13">
        <f>A398*$B$6</f>
        <v/>
      </c>
      <c r="C398" s="14">
        <f>$B$5*B398</f>
        <v/>
      </c>
      <c r="D398" s="14">
        <f>$B$3*COS(C398)</f>
        <v/>
      </c>
      <c r="E398" s="14">
        <f>$B$3*SIN(C398)</f>
        <v/>
      </c>
      <c r="F398" s="14">
        <f>SQRT(D398^2 + (E398+$B$4)^2)</f>
        <v/>
      </c>
      <c r="G398" s="14">
        <f>ATAN2(D398, E398+$B$4)</f>
        <v/>
      </c>
      <c r="H398" s="14">
        <f>-$B$3*$B$5*SIN(C398)</f>
        <v/>
      </c>
      <c r="I398" s="14">
        <f>$B$3*$B$5*COS(C398)</f>
        <v/>
      </c>
      <c r="J398" s="14">
        <f>H398*COS(G398) + I398*SIN(G398)</f>
        <v/>
      </c>
      <c r="K398" s="14">
        <f>(-H398*SIN(G398) + I398*COS(G398))/F398</f>
        <v/>
      </c>
      <c r="L398" s="15">
        <f>2*K398*J398</f>
        <v/>
      </c>
      <c r="M398" s="14">
        <f>-K398^2*F398</f>
        <v/>
      </c>
    </row>
    <row r="399">
      <c r="A399" s="8" t="n">
        <v>388</v>
      </c>
      <c r="B399" s="9">
        <f>A399*$B$6</f>
        <v/>
      </c>
      <c r="C399" s="10">
        <f>$B$5*B399</f>
        <v/>
      </c>
      <c r="D399" s="10">
        <f>$B$3*COS(C399)</f>
        <v/>
      </c>
      <c r="E399" s="10">
        <f>$B$3*SIN(C399)</f>
        <v/>
      </c>
      <c r="F399" s="10">
        <f>SQRT(D399^2 + (E399+$B$4)^2)</f>
        <v/>
      </c>
      <c r="G399" s="10">
        <f>ATAN2(D399, E399+$B$4)</f>
        <v/>
      </c>
      <c r="H399" s="10">
        <f>-$B$3*$B$5*SIN(C399)</f>
        <v/>
      </c>
      <c r="I399" s="10">
        <f>$B$3*$B$5*COS(C399)</f>
        <v/>
      </c>
      <c r="J399" s="10">
        <f>H399*COS(G399) + I399*SIN(G399)</f>
        <v/>
      </c>
      <c r="K399" s="10">
        <f>(-H399*SIN(G399) + I399*COS(G399))/F399</f>
        <v/>
      </c>
      <c r="L399" s="11">
        <f>2*K399*J399</f>
        <v/>
      </c>
      <c r="M399" s="10">
        <f>-K399^2*F399</f>
        <v/>
      </c>
    </row>
    <row r="400">
      <c r="A400" s="12" t="n">
        <v>389</v>
      </c>
      <c r="B400" s="13">
        <f>A400*$B$6</f>
        <v/>
      </c>
      <c r="C400" s="14">
        <f>$B$5*B400</f>
        <v/>
      </c>
      <c r="D400" s="14">
        <f>$B$3*COS(C400)</f>
        <v/>
      </c>
      <c r="E400" s="14">
        <f>$B$3*SIN(C400)</f>
        <v/>
      </c>
      <c r="F400" s="14">
        <f>SQRT(D400^2 + (E400+$B$4)^2)</f>
        <v/>
      </c>
      <c r="G400" s="14">
        <f>ATAN2(D400, E400+$B$4)</f>
        <v/>
      </c>
      <c r="H400" s="14">
        <f>-$B$3*$B$5*SIN(C400)</f>
        <v/>
      </c>
      <c r="I400" s="14">
        <f>$B$3*$B$5*COS(C400)</f>
        <v/>
      </c>
      <c r="J400" s="14">
        <f>H400*COS(G400) + I400*SIN(G400)</f>
        <v/>
      </c>
      <c r="K400" s="14">
        <f>(-H400*SIN(G400) + I400*COS(G400))/F400</f>
        <v/>
      </c>
      <c r="L400" s="15">
        <f>2*K400*J400</f>
        <v/>
      </c>
      <c r="M400" s="14">
        <f>-K400^2*F400</f>
        <v/>
      </c>
    </row>
    <row r="401">
      <c r="A401" s="8" t="n">
        <v>390</v>
      </c>
      <c r="B401" s="9">
        <f>A401*$B$6</f>
        <v/>
      </c>
      <c r="C401" s="10">
        <f>$B$5*B401</f>
        <v/>
      </c>
      <c r="D401" s="10">
        <f>$B$3*COS(C401)</f>
        <v/>
      </c>
      <c r="E401" s="10">
        <f>$B$3*SIN(C401)</f>
        <v/>
      </c>
      <c r="F401" s="10">
        <f>SQRT(D401^2 + (E401+$B$4)^2)</f>
        <v/>
      </c>
      <c r="G401" s="10">
        <f>ATAN2(D401, E401+$B$4)</f>
        <v/>
      </c>
      <c r="H401" s="10">
        <f>-$B$3*$B$5*SIN(C401)</f>
        <v/>
      </c>
      <c r="I401" s="10">
        <f>$B$3*$B$5*COS(C401)</f>
        <v/>
      </c>
      <c r="J401" s="10">
        <f>H401*COS(G401) + I401*SIN(G401)</f>
        <v/>
      </c>
      <c r="K401" s="10">
        <f>(-H401*SIN(G401) + I401*COS(G401))/F401</f>
        <v/>
      </c>
      <c r="L401" s="11">
        <f>2*K401*J401</f>
        <v/>
      </c>
      <c r="M401" s="10">
        <f>-K401^2*F401</f>
        <v/>
      </c>
    </row>
    <row r="402">
      <c r="A402" s="12" t="n">
        <v>391</v>
      </c>
      <c r="B402" s="13">
        <f>A402*$B$6</f>
        <v/>
      </c>
      <c r="C402" s="14">
        <f>$B$5*B402</f>
        <v/>
      </c>
      <c r="D402" s="14">
        <f>$B$3*COS(C402)</f>
        <v/>
      </c>
      <c r="E402" s="14">
        <f>$B$3*SIN(C402)</f>
        <v/>
      </c>
      <c r="F402" s="14">
        <f>SQRT(D402^2 + (E402+$B$4)^2)</f>
        <v/>
      </c>
      <c r="G402" s="14">
        <f>ATAN2(D402, E402+$B$4)</f>
        <v/>
      </c>
      <c r="H402" s="14">
        <f>-$B$3*$B$5*SIN(C402)</f>
        <v/>
      </c>
      <c r="I402" s="14">
        <f>$B$3*$B$5*COS(C402)</f>
        <v/>
      </c>
      <c r="J402" s="14">
        <f>H402*COS(G402) + I402*SIN(G402)</f>
        <v/>
      </c>
      <c r="K402" s="14">
        <f>(-H402*SIN(G402) + I402*COS(G402))/F402</f>
        <v/>
      </c>
      <c r="L402" s="15">
        <f>2*K402*J402</f>
        <v/>
      </c>
      <c r="M402" s="14">
        <f>-K402^2*F402</f>
        <v/>
      </c>
    </row>
    <row r="403">
      <c r="A403" s="8" t="n">
        <v>392</v>
      </c>
      <c r="B403" s="9">
        <f>A403*$B$6</f>
        <v/>
      </c>
      <c r="C403" s="10">
        <f>$B$5*B403</f>
        <v/>
      </c>
      <c r="D403" s="10">
        <f>$B$3*COS(C403)</f>
        <v/>
      </c>
      <c r="E403" s="10">
        <f>$B$3*SIN(C403)</f>
        <v/>
      </c>
      <c r="F403" s="10">
        <f>SQRT(D403^2 + (E403+$B$4)^2)</f>
        <v/>
      </c>
      <c r="G403" s="10">
        <f>ATAN2(D403, E403+$B$4)</f>
        <v/>
      </c>
      <c r="H403" s="10">
        <f>-$B$3*$B$5*SIN(C403)</f>
        <v/>
      </c>
      <c r="I403" s="10">
        <f>$B$3*$B$5*COS(C403)</f>
        <v/>
      </c>
      <c r="J403" s="10">
        <f>H403*COS(G403) + I403*SIN(G403)</f>
        <v/>
      </c>
      <c r="K403" s="10">
        <f>(-H403*SIN(G403) + I403*COS(G403))/F403</f>
        <v/>
      </c>
      <c r="L403" s="11">
        <f>2*K403*J403</f>
        <v/>
      </c>
      <c r="M403" s="10">
        <f>-K403^2*F403</f>
        <v/>
      </c>
    </row>
    <row r="404">
      <c r="A404" s="12" t="n">
        <v>393</v>
      </c>
      <c r="B404" s="13">
        <f>A404*$B$6</f>
        <v/>
      </c>
      <c r="C404" s="14">
        <f>$B$5*B404</f>
        <v/>
      </c>
      <c r="D404" s="14">
        <f>$B$3*COS(C404)</f>
        <v/>
      </c>
      <c r="E404" s="14">
        <f>$B$3*SIN(C404)</f>
        <v/>
      </c>
      <c r="F404" s="14">
        <f>SQRT(D404^2 + (E404+$B$4)^2)</f>
        <v/>
      </c>
      <c r="G404" s="14">
        <f>ATAN2(D404, E404+$B$4)</f>
        <v/>
      </c>
      <c r="H404" s="14">
        <f>-$B$3*$B$5*SIN(C404)</f>
        <v/>
      </c>
      <c r="I404" s="14">
        <f>$B$3*$B$5*COS(C404)</f>
        <v/>
      </c>
      <c r="J404" s="14">
        <f>H404*COS(G404) + I404*SIN(G404)</f>
        <v/>
      </c>
      <c r="K404" s="14">
        <f>(-H404*SIN(G404) + I404*COS(G404))/F404</f>
        <v/>
      </c>
      <c r="L404" s="15">
        <f>2*K404*J404</f>
        <v/>
      </c>
      <c r="M404" s="14">
        <f>-K404^2*F404</f>
        <v/>
      </c>
    </row>
    <row r="405">
      <c r="A405" s="8" t="n">
        <v>394</v>
      </c>
      <c r="B405" s="9">
        <f>A405*$B$6</f>
        <v/>
      </c>
      <c r="C405" s="10">
        <f>$B$5*B405</f>
        <v/>
      </c>
      <c r="D405" s="10">
        <f>$B$3*COS(C405)</f>
        <v/>
      </c>
      <c r="E405" s="10">
        <f>$B$3*SIN(C405)</f>
        <v/>
      </c>
      <c r="F405" s="10">
        <f>SQRT(D405^2 + (E405+$B$4)^2)</f>
        <v/>
      </c>
      <c r="G405" s="10">
        <f>ATAN2(D405, E405+$B$4)</f>
        <v/>
      </c>
      <c r="H405" s="10">
        <f>-$B$3*$B$5*SIN(C405)</f>
        <v/>
      </c>
      <c r="I405" s="10">
        <f>$B$3*$B$5*COS(C405)</f>
        <v/>
      </c>
      <c r="J405" s="10">
        <f>H405*COS(G405) + I405*SIN(G405)</f>
        <v/>
      </c>
      <c r="K405" s="10">
        <f>(-H405*SIN(G405) + I405*COS(G405))/F405</f>
        <v/>
      </c>
      <c r="L405" s="11">
        <f>2*K405*J405</f>
        <v/>
      </c>
      <c r="M405" s="10">
        <f>-K405^2*F405</f>
        <v/>
      </c>
    </row>
    <row r="406">
      <c r="A406" s="12" t="n">
        <v>395</v>
      </c>
      <c r="B406" s="13">
        <f>A406*$B$6</f>
        <v/>
      </c>
      <c r="C406" s="14">
        <f>$B$5*B406</f>
        <v/>
      </c>
      <c r="D406" s="14">
        <f>$B$3*COS(C406)</f>
        <v/>
      </c>
      <c r="E406" s="14">
        <f>$B$3*SIN(C406)</f>
        <v/>
      </c>
      <c r="F406" s="14">
        <f>SQRT(D406^2 + (E406+$B$4)^2)</f>
        <v/>
      </c>
      <c r="G406" s="14">
        <f>ATAN2(D406, E406+$B$4)</f>
        <v/>
      </c>
      <c r="H406" s="14">
        <f>-$B$3*$B$5*SIN(C406)</f>
        <v/>
      </c>
      <c r="I406" s="14">
        <f>$B$3*$B$5*COS(C406)</f>
        <v/>
      </c>
      <c r="J406" s="14">
        <f>H406*COS(G406) + I406*SIN(G406)</f>
        <v/>
      </c>
      <c r="K406" s="14">
        <f>(-H406*SIN(G406) + I406*COS(G406))/F406</f>
        <v/>
      </c>
      <c r="L406" s="15">
        <f>2*K406*J406</f>
        <v/>
      </c>
      <c r="M406" s="14">
        <f>-K406^2*F406</f>
        <v/>
      </c>
    </row>
    <row r="407">
      <c r="A407" s="8" t="n">
        <v>396</v>
      </c>
      <c r="B407" s="9">
        <f>A407*$B$6</f>
        <v/>
      </c>
      <c r="C407" s="10">
        <f>$B$5*B407</f>
        <v/>
      </c>
      <c r="D407" s="10">
        <f>$B$3*COS(C407)</f>
        <v/>
      </c>
      <c r="E407" s="10">
        <f>$B$3*SIN(C407)</f>
        <v/>
      </c>
      <c r="F407" s="10">
        <f>SQRT(D407^2 + (E407+$B$4)^2)</f>
        <v/>
      </c>
      <c r="G407" s="10">
        <f>ATAN2(D407, E407+$B$4)</f>
        <v/>
      </c>
      <c r="H407" s="10">
        <f>-$B$3*$B$5*SIN(C407)</f>
        <v/>
      </c>
      <c r="I407" s="10">
        <f>$B$3*$B$5*COS(C407)</f>
        <v/>
      </c>
      <c r="J407" s="10">
        <f>H407*COS(G407) + I407*SIN(G407)</f>
        <v/>
      </c>
      <c r="K407" s="10">
        <f>(-H407*SIN(G407) + I407*COS(G407))/F407</f>
        <v/>
      </c>
      <c r="L407" s="11">
        <f>2*K407*J407</f>
        <v/>
      </c>
      <c r="M407" s="10">
        <f>-K407^2*F407</f>
        <v/>
      </c>
    </row>
    <row r="408">
      <c r="A408" s="12" t="n">
        <v>397</v>
      </c>
      <c r="B408" s="13">
        <f>A408*$B$6</f>
        <v/>
      </c>
      <c r="C408" s="14">
        <f>$B$5*B408</f>
        <v/>
      </c>
      <c r="D408" s="14">
        <f>$B$3*COS(C408)</f>
        <v/>
      </c>
      <c r="E408" s="14">
        <f>$B$3*SIN(C408)</f>
        <v/>
      </c>
      <c r="F408" s="14">
        <f>SQRT(D408^2 + (E408+$B$4)^2)</f>
        <v/>
      </c>
      <c r="G408" s="14">
        <f>ATAN2(D408, E408+$B$4)</f>
        <v/>
      </c>
      <c r="H408" s="14">
        <f>-$B$3*$B$5*SIN(C408)</f>
        <v/>
      </c>
      <c r="I408" s="14">
        <f>$B$3*$B$5*COS(C408)</f>
        <v/>
      </c>
      <c r="J408" s="14">
        <f>H408*COS(G408) + I408*SIN(G408)</f>
        <v/>
      </c>
      <c r="K408" s="14">
        <f>(-H408*SIN(G408) + I408*COS(G408))/F408</f>
        <v/>
      </c>
      <c r="L408" s="15">
        <f>2*K408*J408</f>
        <v/>
      </c>
      <c r="M408" s="14">
        <f>-K408^2*F408</f>
        <v/>
      </c>
    </row>
    <row r="409">
      <c r="A409" s="8" t="n">
        <v>398</v>
      </c>
      <c r="B409" s="9">
        <f>A409*$B$6</f>
        <v/>
      </c>
      <c r="C409" s="10">
        <f>$B$5*B409</f>
        <v/>
      </c>
      <c r="D409" s="10">
        <f>$B$3*COS(C409)</f>
        <v/>
      </c>
      <c r="E409" s="10">
        <f>$B$3*SIN(C409)</f>
        <v/>
      </c>
      <c r="F409" s="10">
        <f>SQRT(D409^2 + (E409+$B$4)^2)</f>
        <v/>
      </c>
      <c r="G409" s="10">
        <f>ATAN2(D409, E409+$B$4)</f>
        <v/>
      </c>
      <c r="H409" s="10">
        <f>-$B$3*$B$5*SIN(C409)</f>
        <v/>
      </c>
      <c r="I409" s="10">
        <f>$B$3*$B$5*COS(C409)</f>
        <v/>
      </c>
      <c r="J409" s="10">
        <f>H409*COS(G409) + I409*SIN(G409)</f>
        <v/>
      </c>
      <c r="K409" s="10">
        <f>(-H409*SIN(G409) + I409*COS(G409))/F409</f>
        <v/>
      </c>
      <c r="L409" s="11">
        <f>2*K409*J409</f>
        <v/>
      </c>
      <c r="M409" s="10">
        <f>-K409^2*F409</f>
        <v/>
      </c>
    </row>
    <row r="410">
      <c r="A410" s="12" t="n">
        <v>399</v>
      </c>
      <c r="B410" s="13">
        <f>A410*$B$6</f>
        <v/>
      </c>
      <c r="C410" s="14">
        <f>$B$5*B410</f>
        <v/>
      </c>
      <c r="D410" s="14">
        <f>$B$3*COS(C410)</f>
        <v/>
      </c>
      <c r="E410" s="14">
        <f>$B$3*SIN(C410)</f>
        <v/>
      </c>
      <c r="F410" s="14">
        <f>SQRT(D410^2 + (E410+$B$4)^2)</f>
        <v/>
      </c>
      <c r="G410" s="14">
        <f>ATAN2(D410, E410+$B$4)</f>
        <v/>
      </c>
      <c r="H410" s="14">
        <f>-$B$3*$B$5*SIN(C410)</f>
        <v/>
      </c>
      <c r="I410" s="14">
        <f>$B$3*$B$5*COS(C410)</f>
        <v/>
      </c>
      <c r="J410" s="14">
        <f>H410*COS(G410) + I410*SIN(G410)</f>
        <v/>
      </c>
      <c r="K410" s="14">
        <f>(-H410*SIN(G410) + I410*COS(G410))/F410</f>
        <v/>
      </c>
      <c r="L410" s="15">
        <f>2*K410*J410</f>
        <v/>
      </c>
      <c r="M410" s="14">
        <f>-K410^2*F410</f>
        <v/>
      </c>
    </row>
    <row r="411"/>
    <row r="412">
      <c r="A412" s="16" t="inlineStr">
        <is>
          <t>MÁXIMO ABSOLUTO</t>
        </is>
      </c>
      <c r="L412" s="17">
        <f>MAX(L11:L410)</f>
        <v/>
      </c>
    </row>
    <row r="413">
      <c r="A413" s="16" t="inlineStr">
        <is>
          <t>MÍNIMO ABSOLUTO</t>
        </is>
      </c>
      <c r="L413" s="17">
        <f>MIN(L11:L410)</f>
        <v/>
      </c>
    </row>
    <row r="414">
      <c r="A414" s="16" t="inlineStr">
        <is>
          <t>PROMEDIO CUADRÁTICO (RMS)</t>
        </is>
      </c>
      <c r="L414" s="17">
        <f>SQRT(SUMSQ(L11:L410)/400)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2026-09-29T17:54:53Z</dcterms:created>
  <dcterms:modified xmlns:dcterms="http://purl.org/dc/terms/" xmlns:xsi="http://www.w3.org/2001/XMLSchema-instance" xsi:type="dcterms:W3CDTF">2026-09-29T17:54:53Z</dcterms:modified>
</cp:coreProperties>
</file>