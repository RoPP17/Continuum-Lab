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iral 3D y Proyecciones" sheetId="1" state="visible" r:id="rId1"/>
    <sheet xmlns:r="http://schemas.openxmlformats.org/officeDocument/2006/relationships" name="Identidad y Puntos Notables" sheetId="2" state="visible" r:id="rId2"/>
    <sheet xmlns:r="http://schemas.openxmlformats.org/officeDocument/2006/relationships" name="Convergencia Tayl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0 rad"/>
    <numFmt numFmtId="167" formatCode="0.0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name val="Calibri"/>
      <color rgb="0064748B"/>
      <sz val="9"/>
    </font>
    <font>
      <name val="Calibri"/>
      <b val="1"/>
      <color rgb="001E3A8A"/>
      <sz val="13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47556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right"/>
    </xf>
    <xf numFmtId="2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7" fillId="6" borderId="0" applyAlignment="1" pivotButton="0" quotePrefix="0" xfId="0">
      <alignment horizontal="center"/>
    </xf>
    <xf numFmtId="164" fontId="7" fillId="6" borderId="2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7" borderId="1" applyAlignment="1" pivotButton="0" quotePrefix="0" xfId="0">
      <alignment horizontal="center"/>
    </xf>
    <xf numFmtId="167" fontId="7" fillId="7" borderId="1" applyAlignment="1" pivotButton="0" quotePrefix="0" xfId="0">
      <alignment horizontal="right"/>
    </xf>
    <xf numFmtId="165" fontId="7" fillId="7" borderId="1" applyAlignment="1" pivotButton="0" quotePrefix="0" xfId="0">
      <alignment horizontal="right"/>
    </xf>
    <xf numFmtId="0" fontId="7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1" workbookViewId="0">
      <selection activeCell="A1" sqref="A1"/>
    </sheetView>
  </sheetViews>
  <sheetFormatPr baseColWidth="8" defaultRowHeight="15"/>
  <cols>
    <col width="130" customWidth="1" min="1" max="1"/>
    <col width="23" customWidth="1" min="2" max="2"/>
    <col width="20" customWidth="1" min="3" max="3"/>
    <col width="20" customWidth="1" min="4" max="4"/>
    <col width="28" customWidth="1" min="5" max="5"/>
    <col width="28" customWidth="1" min="6" max="6"/>
    <col width="30" customWidth="1" min="7" max="7"/>
    <col width="29" customWidth="1" min="8" max="8"/>
    <col width="23" customWidth="1" min="9" max="9"/>
    <col width="23" customWidth="1" min="10" max="10"/>
  </cols>
  <sheetData>
    <row r="1" ht="36" customHeight="1">
      <c r="A1" s="1" t="inlineStr">
        <is>
          <t>CONTINUUM LAB // IDENTIDAD DE EULER EN EL ESPACIO 3D Y PROYECCIONES CANÓNICAS</t>
        </is>
      </c>
    </row>
    <row r="2">
      <c r="A2" s="2" t="inlineStr">
        <is>
          <t>Eje X: Ángulo theta | Eje Y: Parte Real cos(theta) | Eje Z: Parte Imaginaria sin(theta) | Proyecciones XY (Coseno) y XZ (Seno)</t>
        </is>
      </c>
    </row>
    <row r="3"/>
    <row r="4">
      <c r="B4" s="3" t="inlineStr">
        <is>
          <t>MODULUS TEÓRICO |z|</t>
        </is>
      </c>
      <c r="E4" s="3" t="inlineStr">
        <is>
          <t>ERROR MÁXIMO UNITARIO</t>
        </is>
      </c>
      <c r="H4" s="3" t="inlineStr">
        <is>
          <t>TASA DE TRAYECTORIA TOTAL</t>
        </is>
      </c>
    </row>
    <row r="5">
      <c r="B5" s="4">
        <f>AVERAGE(G8:G72)</f>
        <v/>
      </c>
      <c r="E5" s="5">
        <f>MAX(H8:H72)</f>
        <v/>
      </c>
      <c r="H5" s="6">
        <f>MAX(B8:B72)</f>
        <v/>
      </c>
    </row>
    <row r="6"/>
    <row r="7" ht="24" customHeight="1">
      <c r="A7" s="7" t="inlineStr">
        <is>
          <t>Paso k</t>
        </is>
      </c>
      <c r="B7" s="7" t="inlineStr">
        <is>
          <t>Ángulo theta [rad]</t>
        </is>
      </c>
      <c r="C7" s="7" t="inlineStr">
        <is>
          <t>Ángulo [deg]</t>
        </is>
      </c>
      <c r="D7" s="7" t="inlineStr">
        <is>
          <t>Eje X (theta)</t>
        </is>
      </c>
      <c r="E7" s="7" t="inlineStr">
        <is>
          <t>Eje Y Re(z) = cos(theta)</t>
        </is>
      </c>
      <c r="F7" s="7" t="inlineStr">
        <is>
          <t>Eje Z Im(z) = sin(theta)</t>
        </is>
      </c>
      <c r="G7" s="7" t="inlineStr">
        <is>
          <t>Módulo |z| = sqrt(Y^2+Z^2)</t>
        </is>
      </c>
      <c r="H7" s="7" t="inlineStr">
        <is>
          <t>Desviación ||z|-1|</t>
        </is>
      </c>
      <c r="I7" s="7" t="inlineStr">
        <is>
          <t>Proy XY (t, cos, 0)</t>
        </is>
      </c>
      <c r="J7" s="7" t="inlineStr">
        <is>
          <t>Proy XZ (t, 0, sin)</t>
        </is>
      </c>
    </row>
    <row r="8" ht="19" customHeight="1">
      <c r="A8" s="8" t="n">
        <v>0</v>
      </c>
      <c r="B8" s="9" t="n">
        <v>0</v>
      </c>
      <c r="C8" s="10">
        <f>DEGREES(B8)</f>
        <v/>
      </c>
      <c r="D8" s="9">
        <f>B8</f>
        <v/>
      </c>
      <c r="E8" s="11">
        <f>COS(B8)</f>
        <v/>
      </c>
      <c r="F8" s="11">
        <f>SIN(B8)</f>
        <v/>
      </c>
      <c r="G8" s="12">
        <f>SQRT(E8^2+F8^2)</f>
        <v/>
      </c>
      <c r="H8" s="12">
        <f>ABS(G8-1)</f>
        <v/>
      </c>
      <c r="I8" s="11">
        <f>E8</f>
        <v/>
      </c>
      <c r="J8" s="11">
        <f>F8</f>
        <v/>
      </c>
    </row>
    <row r="9" ht="19" customHeight="1">
      <c r="A9" s="13" t="n">
        <v>1</v>
      </c>
      <c r="B9" s="14" t="n">
        <v>0.19635</v>
      </c>
      <c r="C9" s="15">
        <f>DEGREES(B9)</f>
        <v/>
      </c>
      <c r="D9" s="14">
        <f>B9</f>
        <v/>
      </c>
      <c r="E9" s="16">
        <f>COS(B9)</f>
        <v/>
      </c>
      <c r="F9" s="16">
        <f>SIN(B9)</f>
        <v/>
      </c>
      <c r="G9" s="17">
        <f>SQRT(E9^2+F9^2)</f>
        <v/>
      </c>
      <c r="H9" s="17">
        <f>ABS(G9-1)</f>
        <v/>
      </c>
      <c r="I9" s="16">
        <f>E9</f>
        <v/>
      </c>
      <c r="J9" s="16">
        <f>F9</f>
        <v/>
      </c>
    </row>
    <row r="10" ht="19" customHeight="1">
      <c r="A10" s="8" t="n">
        <v>2</v>
      </c>
      <c r="B10" s="9" t="n">
        <v>0.392699</v>
      </c>
      <c r="C10" s="10">
        <f>DEGREES(B10)</f>
        <v/>
      </c>
      <c r="D10" s="9">
        <f>B10</f>
        <v/>
      </c>
      <c r="E10" s="11">
        <f>COS(B10)</f>
        <v/>
      </c>
      <c r="F10" s="11">
        <f>SIN(B10)</f>
        <v/>
      </c>
      <c r="G10" s="12">
        <f>SQRT(E10^2+F10^2)</f>
        <v/>
      </c>
      <c r="H10" s="12">
        <f>ABS(G10-1)</f>
        <v/>
      </c>
      <c r="I10" s="11">
        <f>E10</f>
        <v/>
      </c>
      <c r="J10" s="11">
        <f>F10</f>
        <v/>
      </c>
    </row>
    <row r="11" ht="19" customHeight="1">
      <c r="A11" s="13" t="n">
        <v>3</v>
      </c>
      <c r="B11" s="14" t="n">
        <v>0.589049</v>
      </c>
      <c r="C11" s="15">
        <f>DEGREES(B11)</f>
        <v/>
      </c>
      <c r="D11" s="14">
        <f>B11</f>
        <v/>
      </c>
      <c r="E11" s="16">
        <f>COS(B11)</f>
        <v/>
      </c>
      <c r="F11" s="16">
        <f>SIN(B11)</f>
        <v/>
      </c>
      <c r="G11" s="17">
        <f>SQRT(E11^2+F11^2)</f>
        <v/>
      </c>
      <c r="H11" s="17">
        <f>ABS(G11-1)</f>
        <v/>
      </c>
      <c r="I11" s="16">
        <f>E11</f>
        <v/>
      </c>
      <c r="J11" s="16">
        <f>F11</f>
        <v/>
      </c>
    </row>
    <row r="12" ht="19" customHeight="1">
      <c r="A12" s="8" t="n">
        <v>4</v>
      </c>
      <c r="B12" s="9" t="n">
        <v>0.785398</v>
      </c>
      <c r="C12" s="10">
        <f>DEGREES(B12)</f>
        <v/>
      </c>
      <c r="D12" s="9">
        <f>B12</f>
        <v/>
      </c>
      <c r="E12" s="11">
        <f>COS(B12)</f>
        <v/>
      </c>
      <c r="F12" s="11">
        <f>SIN(B12)</f>
        <v/>
      </c>
      <c r="G12" s="12">
        <f>SQRT(E12^2+F12^2)</f>
        <v/>
      </c>
      <c r="H12" s="12">
        <f>ABS(G12-1)</f>
        <v/>
      </c>
      <c r="I12" s="11">
        <f>E12</f>
        <v/>
      </c>
      <c r="J12" s="11">
        <f>F12</f>
        <v/>
      </c>
    </row>
    <row r="13" ht="19" customHeight="1">
      <c r="A13" s="13" t="n">
        <v>5</v>
      </c>
      <c r="B13" s="14" t="n">
        <v>0.981748</v>
      </c>
      <c r="C13" s="15">
        <f>DEGREES(B13)</f>
        <v/>
      </c>
      <c r="D13" s="14">
        <f>B13</f>
        <v/>
      </c>
      <c r="E13" s="16">
        <f>COS(B13)</f>
        <v/>
      </c>
      <c r="F13" s="16">
        <f>SIN(B13)</f>
        <v/>
      </c>
      <c r="G13" s="17">
        <f>SQRT(E13^2+F13^2)</f>
        <v/>
      </c>
      <c r="H13" s="17">
        <f>ABS(G13-1)</f>
        <v/>
      </c>
      <c r="I13" s="16">
        <f>E13</f>
        <v/>
      </c>
      <c r="J13" s="16">
        <f>F13</f>
        <v/>
      </c>
    </row>
    <row r="14" ht="19" customHeight="1">
      <c r="A14" s="8" t="n">
        <v>6</v>
      </c>
      <c r="B14" s="9" t="n">
        <v>1.178097</v>
      </c>
      <c r="C14" s="10">
        <f>DEGREES(B14)</f>
        <v/>
      </c>
      <c r="D14" s="9">
        <f>B14</f>
        <v/>
      </c>
      <c r="E14" s="11">
        <f>COS(B14)</f>
        <v/>
      </c>
      <c r="F14" s="11">
        <f>SIN(B14)</f>
        <v/>
      </c>
      <c r="G14" s="12">
        <f>SQRT(E14^2+F14^2)</f>
        <v/>
      </c>
      <c r="H14" s="12">
        <f>ABS(G14-1)</f>
        <v/>
      </c>
      <c r="I14" s="11">
        <f>E14</f>
        <v/>
      </c>
      <c r="J14" s="11">
        <f>F14</f>
        <v/>
      </c>
    </row>
    <row r="15" ht="19" customHeight="1">
      <c r="A15" s="13" t="n">
        <v>7</v>
      </c>
      <c r="B15" s="14" t="n">
        <v>1.374447</v>
      </c>
      <c r="C15" s="15">
        <f>DEGREES(B15)</f>
        <v/>
      </c>
      <c r="D15" s="14">
        <f>B15</f>
        <v/>
      </c>
      <c r="E15" s="16">
        <f>COS(B15)</f>
        <v/>
      </c>
      <c r="F15" s="16">
        <f>SIN(B15)</f>
        <v/>
      </c>
      <c r="G15" s="17">
        <f>SQRT(E15^2+F15^2)</f>
        <v/>
      </c>
      <c r="H15" s="17">
        <f>ABS(G15-1)</f>
        <v/>
      </c>
      <c r="I15" s="16">
        <f>E15</f>
        <v/>
      </c>
      <c r="J15" s="16">
        <f>F15</f>
        <v/>
      </c>
    </row>
    <row r="16" ht="19" customHeight="1">
      <c r="A16" s="8" t="n">
        <v>8</v>
      </c>
      <c r="B16" s="9" t="n">
        <v>1.570796</v>
      </c>
      <c r="C16" s="10">
        <f>DEGREES(B16)</f>
        <v/>
      </c>
      <c r="D16" s="9">
        <f>B16</f>
        <v/>
      </c>
      <c r="E16" s="11">
        <f>COS(B16)</f>
        <v/>
      </c>
      <c r="F16" s="11">
        <f>SIN(B16)</f>
        <v/>
      </c>
      <c r="G16" s="12">
        <f>SQRT(E16^2+F16^2)</f>
        <v/>
      </c>
      <c r="H16" s="12">
        <f>ABS(G16-1)</f>
        <v/>
      </c>
      <c r="I16" s="11">
        <f>E16</f>
        <v/>
      </c>
      <c r="J16" s="11">
        <f>F16</f>
        <v/>
      </c>
    </row>
    <row r="17" ht="19" customHeight="1">
      <c r="A17" s="13" t="n">
        <v>9</v>
      </c>
      <c r="B17" s="14" t="n">
        <v>1.767146</v>
      </c>
      <c r="C17" s="15">
        <f>DEGREES(B17)</f>
        <v/>
      </c>
      <c r="D17" s="14">
        <f>B17</f>
        <v/>
      </c>
      <c r="E17" s="16">
        <f>COS(B17)</f>
        <v/>
      </c>
      <c r="F17" s="16">
        <f>SIN(B17)</f>
        <v/>
      </c>
      <c r="G17" s="17">
        <f>SQRT(E17^2+F17^2)</f>
        <v/>
      </c>
      <c r="H17" s="17">
        <f>ABS(G17-1)</f>
        <v/>
      </c>
      <c r="I17" s="16">
        <f>E17</f>
        <v/>
      </c>
      <c r="J17" s="16">
        <f>F17</f>
        <v/>
      </c>
    </row>
    <row r="18" ht="19" customHeight="1">
      <c r="A18" s="8" t="n">
        <v>10</v>
      </c>
      <c r="B18" s="9" t="n">
        <v>1.963495</v>
      </c>
      <c r="C18" s="10">
        <f>DEGREES(B18)</f>
        <v/>
      </c>
      <c r="D18" s="9">
        <f>B18</f>
        <v/>
      </c>
      <c r="E18" s="11">
        <f>COS(B18)</f>
        <v/>
      </c>
      <c r="F18" s="11">
        <f>SIN(B18)</f>
        <v/>
      </c>
      <c r="G18" s="12">
        <f>SQRT(E18^2+F18^2)</f>
        <v/>
      </c>
      <c r="H18" s="12">
        <f>ABS(G18-1)</f>
        <v/>
      </c>
      <c r="I18" s="11">
        <f>E18</f>
        <v/>
      </c>
      <c r="J18" s="11">
        <f>F18</f>
        <v/>
      </c>
    </row>
    <row r="19" ht="19" customHeight="1">
      <c r="A19" s="13" t="n">
        <v>11</v>
      </c>
      <c r="B19" s="14" t="n">
        <v>2.159845</v>
      </c>
      <c r="C19" s="15">
        <f>DEGREES(B19)</f>
        <v/>
      </c>
      <c r="D19" s="14">
        <f>B19</f>
        <v/>
      </c>
      <c r="E19" s="16">
        <f>COS(B19)</f>
        <v/>
      </c>
      <c r="F19" s="16">
        <f>SIN(B19)</f>
        <v/>
      </c>
      <c r="G19" s="17">
        <f>SQRT(E19^2+F19^2)</f>
        <v/>
      </c>
      <c r="H19" s="17">
        <f>ABS(G19-1)</f>
        <v/>
      </c>
      <c r="I19" s="16">
        <f>E19</f>
        <v/>
      </c>
      <c r="J19" s="16">
        <f>F19</f>
        <v/>
      </c>
    </row>
    <row r="20" ht="19" customHeight="1">
      <c r="A20" s="8" t="n">
        <v>12</v>
      </c>
      <c r="B20" s="9" t="n">
        <v>2.356194</v>
      </c>
      <c r="C20" s="10">
        <f>DEGREES(B20)</f>
        <v/>
      </c>
      <c r="D20" s="9">
        <f>B20</f>
        <v/>
      </c>
      <c r="E20" s="11">
        <f>COS(B20)</f>
        <v/>
      </c>
      <c r="F20" s="11">
        <f>SIN(B20)</f>
        <v/>
      </c>
      <c r="G20" s="12">
        <f>SQRT(E20^2+F20^2)</f>
        <v/>
      </c>
      <c r="H20" s="12">
        <f>ABS(G20-1)</f>
        <v/>
      </c>
      <c r="I20" s="11">
        <f>E20</f>
        <v/>
      </c>
      <c r="J20" s="11">
        <f>F20</f>
        <v/>
      </c>
    </row>
    <row r="21" ht="19" customHeight="1">
      <c r="A21" s="13" t="n">
        <v>13</v>
      </c>
      <c r="B21" s="14" t="n">
        <v>2.552544</v>
      </c>
      <c r="C21" s="15">
        <f>DEGREES(B21)</f>
        <v/>
      </c>
      <c r="D21" s="14">
        <f>B21</f>
        <v/>
      </c>
      <c r="E21" s="16">
        <f>COS(B21)</f>
        <v/>
      </c>
      <c r="F21" s="16">
        <f>SIN(B21)</f>
        <v/>
      </c>
      <c r="G21" s="17">
        <f>SQRT(E21^2+F21^2)</f>
        <v/>
      </c>
      <c r="H21" s="17">
        <f>ABS(G21-1)</f>
        <v/>
      </c>
      <c r="I21" s="16">
        <f>E21</f>
        <v/>
      </c>
      <c r="J21" s="16">
        <f>F21</f>
        <v/>
      </c>
    </row>
    <row r="22" ht="19" customHeight="1">
      <c r="A22" s="8" t="n">
        <v>14</v>
      </c>
      <c r="B22" s="9" t="n">
        <v>2.748894</v>
      </c>
      <c r="C22" s="10">
        <f>DEGREES(B22)</f>
        <v/>
      </c>
      <c r="D22" s="9">
        <f>B22</f>
        <v/>
      </c>
      <c r="E22" s="11">
        <f>COS(B22)</f>
        <v/>
      </c>
      <c r="F22" s="11">
        <f>SIN(B22)</f>
        <v/>
      </c>
      <c r="G22" s="12">
        <f>SQRT(E22^2+F22^2)</f>
        <v/>
      </c>
      <c r="H22" s="12">
        <f>ABS(G22-1)</f>
        <v/>
      </c>
      <c r="I22" s="11">
        <f>E22</f>
        <v/>
      </c>
      <c r="J22" s="11">
        <f>F22</f>
        <v/>
      </c>
    </row>
    <row r="23" ht="19" customHeight="1">
      <c r="A23" s="13" t="n">
        <v>15</v>
      </c>
      <c r="B23" s="14" t="n">
        <v>2.945243</v>
      </c>
      <c r="C23" s="15">
        <f>DEGREES(B23)</f>
        <v/>
      </c>
      <c r="D23" s="14">
        <f>B23</f>
        <v/>
      </c>
      <c r="E23" s="16">
        <f>COS(B23)</f>
        <v/>
      </c>
      <c r="F23" s="16">
        <f>SIN(B23)</f>
        <v/>
      </c>
      <c r="G23" s="17">
        <f>SQRT(E23^2+F23^2)</f>
        <v/>
      </c>
      <c r="H23" s="17">
        <f>ABS(G23-1)</f>
        <v/>
      </c>
      <c r="I23" s="16">
        <f>E23</f>
        <v/>
      </c>
      <c r="J23" s="16">
        <f>F23</f>
        <v/>
      </c>
    </row>
    <row r="24" ht="19" customHeight="1">
      <c r="A24" s="8" t="n">
        <v>16</v>
      </c>
      <c r="B24" s="9" t="n">
        <v>3.141593</v>
      </c>
      <c r="C24" s="10">
        <f>DEGREES(B24)</f>
        <v/>
      </c>
      <c r="D24" s="9">
        <f>B24</f>
        <v/>
      </c>
      <c r="E24" s="11">
        <f>COS(B24)</f>
        <v/>
      </c>
      <c r="F24" s="11">
        <f>SIN(B24)</f>
        <v/>
      </c>
      <c r="G24" s="12">
        <f>SQRT(E24^2+F24^2)</f>
        <v/>
      </c>
      <c r="H24" s="12">
        <f>ABS(G24-1)</f>
        <v/>
      </c>
      <c r="I24" s="11">
        <f>E24</f>
        <v/>
      </c>
      <c r="J24" s="11">
        <f>F24</f>
        <v/>
      </c>
    </row>
    <row r="25" ht="19" customHeight="1">
      <c r="A25" s="13" t="n">
        <v>17</v>
      </c>
      <c r="B25" s="14" t="n">
        <v>3.337942</v>
      </c>
      <c r="C25" s="15">
        <f>DEGREES(B25)</f>
        <v/>
      </c>
      <c r="D25" s="14">
        <f>B25</f>
        <v/>
      </c>
      <c r="E25" s="16">
        <f>COS(B25)</f>
        <v/>
      </c>
      <c r="F25" s="16">
        <f>SIN(B25)</f>
        <v/>
      </c>
      <c r="G25" s="17">
        <f>SQRT(E25^2+F25^2)</f>
        <v/>
      </c>
      <c r="H25" s="17">
        <f>ABS(G25-1)</f>
        <v/>
      </c>
      <c r="I25" s="16">
        <f>E25</f>
        <v/>
      </c>
      <c r="J25" s="16">
        <f>F25</f>
        <v/>
      </c>
    </row>
    <row r="26" ht="19" customHeight="1">
      <c r="A26" s="8" t="n">
        <v>18</v>
      </c>
      <c r="B26" s="9" t="n">
        <v>3.534292</v>
      </c>
      <c r="C26" s="10">
        <f>DEGREES(B26)</f>
        <v/>
      </c>
      <c r="D26" s="9">
        <f>B26</f>
        <v/>
      </c>
      <c r="E26" s="11">
        <f>COS(B26)</f>
        <v/>
      </c>
      <c r="F26" s="11">
        <f>SIN(B26)</f>
        <v/>
      </c>
      <c r="G26" s="12">
        <f>SQRT(E26^2+F26^2)</f>
        <v/>
      </c>
      <c r="H26" s="12">
        <f>ABS(G26-1)</f>
        <v/>
      </c>
      <c r="I26" s="11">
        <f>E26</f>
        <v/>
      </c>
      <c r="J26" s="11">
        <f>F26</f>
        <v/>
      </c>
    </row>
    <row r="27" ht="19" customHeight="1">
      <c r="A27" s="13" t="n">
        <v>19</v>
      </c>
      <c r="B27" s="14" t="n">
        <v>3.730641</v>
      </c>
      <c r="C27" s="15">
        <f>DEGREES(B27)</f>
        <v/>
      </c>
      <c r="D27" s="14">
        <f>B27</f>
        <v/>
      </c>
      <c r="E27" s="16">
        <f>COS(B27)</f>
        <v/>
      </c>
      <c r="F27" s="16">
        <f>SIN(B27)</f>
        <v/>
      </c>
      <c r="G27" s="17">
        <f>SQRT(E27^2+F27^2)</f>
        <v/>
      </c>
      <c r="H27" s="17">
        <f>ABS(G27-1)</f>
        <v/>
      </c>
      <c r="I27" s="16">
        <f>E27</f>
        <v/>
      </c>
      <c r="J27" s="16">
        <f>F27</f>
        <v/>
      </c>
    </row>
    <row r="28" ht="19" customHeight="1">
      <c r="A28" s="8" t="n">
        <v>20</v>
      </c>
      <c r="B28" s="9" t="n">
        <v>3.926991</v>
      </c>
      <c r="C28" s="10">
        <f>DEGREES(B28)</f>
        <v/>
      </c>
      <c r="D28" s="9">
        <f>B28</f>
        <v/>
      </c>
      <c r="E28" s="11">
        <f>COS(B28)</f>
        <v/>
      </c>
      <c r="F28" s="11">
        <f>SIN(B28)</f>
        <v/>
      </c>
      <c r="G28" s="12">
        <f>SQRT(E28^2+F28^2)</f>
        <v/>
      </c>
      <c r="H28" s="12">
        <f>ABS(G28-1)</f>
        <v/>
      </c>
      <c r="I28" s="11">
        <f>E28</f>
        <v/>
      </c>
      <c r="J28" s="11">
        <f>F28</f>
        <v/>
      </c>
    </row>
    <row r="29" ht="19" customHeight="1">
      <c r="A29" s="13" t="n">
        <v>21</v>
      </c>
      <c r="B29" s="14" t="n">
        <v>4.12334</v>
      </c>
      <c r="C29" s="15">
        <f>DEGREES(B29)</f>
        <v/>
      </c>
      <c r="D29" s="14">
        <f>B29</f>
        <v/>
      </c>
      <c r="E29" s="16">
        <f>COS(B29)</f>
        <v/>
      </c>
      <c r="F29" s="16">
        <f>SIN(B29)</f>
        <v/>
      </c>
      <c r="G29" s="17">
        <f>SQRT(E29^2+F29^2)</f>
        <v/>
      </c>
      <c r="H29" s="17">
        <f>ABS(G29-1)</f>
        <v/>
      </c>
      <c r="I29" s="16">
        <f>E29</f>
        <v/>
      </c>
      <c r="J29" s="16">
        <f>F29</f>
        <v/>
      </c>
    </row>
    <row r="30" ht="19" customHeight="1">
      <c r="A30" s="8" t="n">
        <v>22</v>
      </c>
      <c r="B30" s="9" t="n">
        <v>4.31969</v>
      </c>
      <c r="C30" s="10">
        <f>DEGREES(B30)</f>
        <v/>
      </c>
      <c r="D30" s="9">
        <f>B30</f>
        <v/>
      </c>
      <c r="E30" s="11">
        <f>COS(B30)</f>
        <v/>
      </c>
      <c r="F30" s="11">
        <f>SIN(B30)</f>
        <v/>
      </c>
      <c r="G30" s="12">
        <f>SQRT(E30^2+F30^2)</f>
        <v/>
      </c>
      <c r="H30" s="12">
        <f>ABS(G30-1)</f>
        <v/>
      </c>
      <c r="I30" s="11">
        <f>E30</f>
        <v/>
      </c>
      <c r="J30" s="11">
        <f>F30</f>
        <v/>
      </c>
    </row>
    <row r="31" ht="19" customHeight="1">
      <c r="A31" s="13" t="n">
        <v>23</v>
      </c>
      <c r="B31" s="14" t="n">
        <v>4.516039</v>
      </c>
      <c r="C31" s="15">
        <f>DEGREES(B31)</f>
        <v/>
      </c>
      <c r="D31" s="14">
        <f>B31</f>
        <v/>
      </c>
      <c r="E31" s="16">
        <f>COS(B31)</f>
        <v/>
      </c>
      <c r="F31" s="16">
        <f>SIN(B31)</f>
        <v/>
      </c>
      <c r="G31" s="17">
        <f>SQRT(E31^2+F31^2)</f>
        <v/>
      </c>
      <c r="H31" s="17">
        <f>ABS(G31-1)</f>
        <v/>
      </c>
      <c r="I31" s="16">
        <f>E31</f>
        <v/>
      </c>
      <c r="J31" s="16">
        <f>F31</f>
        <v/>
      </c>
    </row>
    <row r="32" ht="19" customHeight="1">
      <c r="A32" s="8" t="n">
        <v>24</v>
      </c>
      <c r="B32" s="9" t="n">
        <v>4.712389</v>
      </c>
      <c r="C32" s="10">
        <f>DEGREES(B32)</f>
        <v/>
      </c>
      <c r="D32" s="9">
        <f>B32</f>
        <v/>
      </c>
      <c r="E32" s="11">
        <f>COS(B32)</f>
        <v/>
      </c>
      <c r="F32" s="11">
        <f>SIN(B32)</f>
        <v/>
      </c>
      <c r="G32" s="12">
        <f>SQRT(E32^2+F32^2)</f>
        <v/>
      </c>
      <c r="H32" s="12">
        <f>ABS(G32-1)</f>
        <v/>
      </c>
      <c r="I32" s="11">
        <f>E32</f>
        <v/>
      </c>
      <c r="J32" s="11">
        <f>F32</f>
        <v/>
      </c>
    </row>
    <row r="33" ht="19" customHeight="1">
      <c r="A33" s="13" t="n">
        <v>25</v>
      </c>
      <c r="B33" s="14" t="n">
        <v>4.908739</v>
      </c>
      <c r="C33" s="15">
        <f>DEGREES(B33)</f>
        <v/>
      </c>
      <c r="D33" s="14">
        <f>B33</f>
        <v/>
      </c>
      <c r="E33" s="16">
        <f>COS(B33)</f>
        <v/>
      </c>
      <c r="F33" s="16">
        <f>SIN(B33)</f>
        <v/>
      </c>
      <c r="G33" s="17">
        <f>SQRT(E33^2+F33^2)</f>
        <v/>
      </c>
      <c r="H33" s="17">
        <f>ABS(G33-1)</f>
        <v/>
      </c>
      <c r="I33" s="16">
        <f>E33</f>
        <v/>
      </c>
      <c r="J33" s="16">
        <f>F33</f>
        <v/>
      </c>
    </row>
    <row r="34" ht="19" customHeight="1">
      <c r="A34" s="8" t="n">
        <v>26</v>
      </c>
      <c r="B34" s="9" t="n">
        <v>5.105088</v>
      </c>
      <c r="C34" s="10">
        <f>DEGREES(B34)</f>
        <v/>
      </c>
      <c r="D34" s="9">
        <f>B34</f>
        <v/>
      </c>
      <c r="E34" s="11">
        <f>COS(B34)</f>
        <v/>
      </c>
      <c r="F34" s="11">
        <f>SIN(B34)</f>
        <v/>
      </c>
      <c r="G34" s="12">
        <f>SQRT(E34^2+F34^2)</f>
        <v/>
      </c>
      <c r="H34" s="12">
        <f>ABS(G34-1)</f>
        <v/>
      </c>
      <c r="I34" s="11">
        <f>E34</f>
        <v/>
      </c>
      <c r="J34" s="11">
        <f>F34</f>
        <v/>
      </c>
    </row>
    <row r="35" ht="19" customHeight="1">
      <c r="A35" s="13" t="n">
        <v>27</v>
      </c>
      <c r="B35" s="14" t="n">
        <v>5.301438</v>
      </c>
      <c r="C35" s="15">
        <f>DEGREES(B35)</f>
        <v/>
      </c>
      <c r="D35" s="14">
        <f>B35</f>
        <v/>
      </c>
      <c r="E35" s="16">
        <f>COS(B35)</f>
        <v/>
      </c>
      <c r="F35" s="16">
        <f>SIN(B35)</f>
        <v/>
      </c>
      <c r="G35" s="17">
        <f>SQRT(E35^2+F35^2)</f>
        <v/>
      </c>
      <c r="H35" s="17">
        <f>ABS(G35-1)</f>
        <v/>
      </c>
      <c r="I35" s="16">
        <f>E35</f>
        <v/>
      </c>
      <c r="J35" s="16">
        <f>F35</f>
        <v/>
      </c>
    </row>
    <row r="36" ht="19" customHeight="1">
      <c r="A36" s="8" t="n">
        <v>28</v>
      </c>
      <c r="B36" s="9" t="n">
        <v>5.497787</v>
      </c>
      <c r="C36" s="10">
        <f>DEGREES(B36)</f>
        <v/>
      </c>
      <c r="D36" s="9">
        <f>B36</f>
        <v/>
      </c>
      <c r="E36" s="11">
        <f>COS(B36)</f>
        <v/>
      </c>
      <c r="F36" s="11">
        <f>SIN(B36)</f>
        <v/>
      </c>
      <c r="G36" s="12">
        <f>SQRT(E36^2+F36^2)</f>
        <v/>
      </c>
      <c r="H36" s="12">
        <f>ABS(G36-1)</f>
        <v/>
      </c>
      <c r="I36" s="11">
        <f>E36</f>
        <v/>
      </c>
      <c r="J36" s="11">
        <f>F36</f>
        <v/>
      </c>
    </row>
    <row r="37" ht="19" customHeight="1">
      <c r="A37" s="13" t="n">
        <v>29</v>
      </c>
      <c r="B37" s="14" t="n">
        <v>5.694137</v>
      </c>
      <c r="C37" s="15">
        <f>DEGREES(B37)</f>
        <v/>
      </c>
      <c r="D37" s="14">
        <f>B37</f>
        <v/>
      </c>
      <c r="E37" s="16">
        <f>COS(B37)</f>
        <v/>
      </c>
      <c r="F37" s="16">
        <f>SIN(B37)</f>
        <v/>
      </c>
      <c r="G37" s="17">
        <f>SQRT(E37^2+F37^2)</f>
        <v/>
      </c>
      <c r="H37" s="17">
        <f>ABS(G37-1)</f>
        <v/>
      </c>
      <c r="I37" s="16">
        <f>E37</f>
        <v/>
      </c>
      <c r="J37" s="16">
        <f>F37</f>
        <v/>
      </c>
    </row>
    <row r="38" ht="19" customHeight="1">
      <c r="A38" s="8" t="n">
        <v>30</v>
      </c>
      <c r="B38" s="9" t="n">
        <v>5.890486</v>
      </c>
      <c r="C38" s="10">
        <f>DEGREES(B38)</f>
        <v/>
      </c>
      <c r="D38" s="9">
        <f>B38</f>
        <v/>
      </c>
      <c r="E38" s="11">
        <f>COS(B38)</f>
        <v/>
      </c>
      <c r="F38" s="11">
        <f>SIN(B38)</f>
        <v/>
      </c>
      <c r="G38" s="12">
        <f>SQRT(E38^2+F38^2)</f>
        <v/>
      </c>
      <c r="H38" s="12">
        <f>ABS(G38-1)</f>
        <v/>
      </c>
      <c r="I38" s="11">
        <f>E38</f>
        <v/>
      </c>
      <c r="J38" s="11">
        <f>F38</f>
        <v/>
      </c>
    </row>
    <row r="39" ht="19" customHeight="1">
      <c r="A39" s="13" t="n">
        <v>31</v>
      </c>
      <c r="B39" s="14" t="n">
        <v>6.086836</v>
      </c>
      <c r="C39" s="15">
        <f>DEGREES(B39)</f>
        <v/>
      </c>
      <c r="D39" s="14">
        <f>B39</f>
        <v/>
      </c>
      <c r="E39" s="16">
        <f>COS(B39)</f>
        <v/>
      </c>
      <c r="F39" s="16">
        <f>SIN(B39)</f>
        <v/>
      </c>
      <c r="G39" s="17">
        <f>SQRT(E39^2+F39^2)</f>
        <v/>
      </c>
      <c r="H39" s="17">
        <f>ABS(G39-1)</f>
        <v/>
      </c>
      <c r="I39" s="16">
        <f>E39</f>
        <v/>
      </c>
      <c r="J39" s="16">
        <f>F39</f>
        <v/>
      </c>
    </row>
    <row r="40" ht="19" customHeight="1">
      <c r="A40" s="8" t="n">
        <v>32</v>
      </c>
      <c r="B40" s="9" t="n">
        <v>6.283185</v>
      </c>
      <c r="C40" s="10">
        <f>DEGREES(B40)</f>
        <v/>
      </c>
      <c r="D40" s="9">
        <f>B40</f>
        <v/>
      </c>
      <c r="E40" s="11">
        <f>COS(B40)</f>
        <v/>
      </c>
      <c r="F40" s="11">
        <f>SIN(B40)</f>
        <v/>
      </c>
      <c r="G40" s="12">
        <f>SQRT(E40^2+F40^2)</f>
        <v/>
      </c>
      <c r="H40" s="12">
        <f>ABS(G40-1)</f>
        <v/>
      </c>
      <c r="I40" s="11">
        <f>E40</f>
        <v/>
      </c>
      <c r="J40" s="11">
        <f>F40</f>
        <v/>
      </c>
    </row>
    <row r="41" ht="19" customHeight="1">
      <c r="A41" s="13" t="n">
        <v>33</v>
      </c>
      <c r="B41" s="14" t="n">
        <v>6.479535</v>
      </c>
      <c r="C41" s="15">
        <f>DEGREES(B41)</f>
        <v/>
      </c>
      <c r="D41" s="14">
        <f>B41</f>
        <v/>
      </c>
      <c r="E41" s="16">
        <f>COS(B41)</f>
        <v/>
      </c>
      <c r="F41" s="16">
        <f>SIN(B41)</f>
        <v/>
      </c>
      <c r="G41" s="17">
        <f>SQRT(E41^2+F41^2)</f>
        <v/>
      </c>
      <c r="H41" s="17">
        <f>ABS(G41-1)</f>
        <v/>
      </c>
      <c r="I41" s="16">
        <f>E41</f>
        <v/>
      </c>
      <c r="J41" s="16">
        <f>F41</f>
        <v/>
      </c>
    </row>
    <row r="42" ht="19" customHeight="1">
      <c r="A42" s="8" t="n">
        <v>34</v>
      </c>
      <c r="B42" s="9" t="n">
        <v>6.675884</v>
      </c>
      <c r="C42" s="10">
        <f>DEGREES(B42)</f>
        <v/>
      </c>
      <c r="D42" s="9">
        <f>B42</f>
        <v/>
      </c>
      <c r="E42" s="11">
        <f>COS(B42)</f>
        <v/>
      </c>
      <c r="F42" s="11">
        <f>SIN(B42)</f>
        <v/>
      </c>
      <c r="G42" s="12">
        <f>SQRT(E42^2+F42^2)</f>
        <v/>
      </c>
      <c r="H42" s="12">
        <f>ABS(G42-1)</f>
        <v/>
      </c>
      <c r="I42" s="11">
        <f>E42</f>
        <v/>
      </c>
      <c r="J42" s="11">
        <f>F42</f>
        <v/>
      </c>
    </row>
    <row r="43" ht="19" customHeight="1">
      <c r="A43" s="13" t="n">
        <v>35</v>
      </c>
      <c r="B43" s="14" t="n">
        <v>6.872234</v>
      </c>
      <c r="C43" s="15">
        <f>DEGREES(B43)</f>
        <v/>
      </c>
      <c r="D43" s="14">
        <f>B43</f>
        <v/>
      </c>
      <c r="E43" s="16">
        <f>COS(B43)</f>
        <v/>
      </c>
      <c r="F43" s="16">
        <f>SIN(B43)</f>
        <v/>
      </c>
      <c r="G43" s="17">
        <f>SQRT(E43^2+F43^2)</f>
        <v/>
      </c>
      <c r="H43" s="17">
        <f>ABS(G43-1)</f>
        <v/>
      </c>
      <c r="I43" s="16">
        <f>E43</f>
        <v/>
      </c>
      <c r="J43" s="16">
        <f>F43</f>
        <v/>
      </c>
    </row>
    <row r="44" ht="19" customHeight="1">
      <c r="A44" s="8" t="n">
        <v>36</v>
      </c>
      <c r="B44" s="9" t="n">
        <v>7.068583</v>
      </c>
      <c r="C44" s="10">
        <f>DEGREES(B44)</f>
        <v/>
      </c>
      <c r="D44" s="9">
        <f>B44</f>
        <v/>
      </c>
      <c r="E44" s="11">
        <f>COS(B44)</f>
        <v/>
      </c>
      <c r="F44" s="11">
        <f>SIN(B44)</f>
        <v/>
      </c>
      <c r="G44" s="12">
        <f>SQRT(E44^2+F44^2)</f>
        <v/>
      </c>
      <c r="H44" s="12">
        <f>ABS(G44-1)</f>
        <v/>
      </c>
      <c r="I44" s="11">
        <f>E44</f>
        <v/>
      </c>
      <c r="J44" s="11">
        <f>F44</f>
        <v/>
      </c>
    </row>
    <row r="45" ht="19" customHeight="1">
      <c r="A45" s="13" t="n">
        <v>37</v>
      </c>
      <c r="B45" s="14" t="n">
        <v>7.264933</v>
      </c>
      <c r="C45" s="15">
        <f>DEGREES(B45)</f>
        <v/>
      </c>
      <c r="D45" s="14">
        <f>B45</f>
        <v/>
      </c>
      <c r="E45" s="16">
        <f>COS(B45)</f>
        <v/>
      </c>
      <c r="F45" s="16">
        <f>SIN(B45)</f>
        <v/>
      </c>
      <c r="G45" s="17">
        <f>SQRT(E45^2+F45^2)</f>
        <v/>
      </c>
      <c r="H45" s="17">
        <f>ABS(G45-1)</f>
        <v/>
      </c>
      <c r="I45" s="16">
        <f>E45</f>
        <v/>
      </c>
      <c r="J45" s="16">
        <f>F45</f>
        <v/>
      </c>
    </row>
    <row r="46" ht="19" customHeight="1">
      <c r="A46" s="8" t="n">
        <v>38</v>
      </c>
      <c r="B46" s="9" t="n">
        <v>7.461283</v>
      </c>
      <c r="C46" s="10">
        <f>DEGREES(B46)</f>
        <v/>
      </c>
      <c r="D46" s="9">
        <f>B46</f>
        <v/>
      </c>
      <c r="E46" s="11">
        <f>COS(B46)</f>
        <v/>
      </c>
      <c r="F46" s="11">
        <f>SIN(B46)</f>
        <v/>
      </c>
      <c r="G46" s="12">
        <f>SQRT(E46^2+F46^2)</f>
        <v/>
      </c>
      <c r="H46" s="12">
        <f>ABS(G46-1)</f>
        <v/>
      </c>
      <c r="I46" s="11">
        <f>E46</f>
        <v/>
      </c>
      <c r="J46" s="11">
        <f>F46</f>
        <v/>
      </c>
    </row>
    <row r="47" ht="19" customHeight="1">
      <c r="A47" s="13" t="n">
        <v>39</v>
      </c>
      <c r="B47" s="14" t="n">
        <v>7.657632</v>
      </c>
      <c r="C47" s="15">
        <f>DEGREES(B47)</f>
        <v/>
      </c>
      <c r="D47" s="14">
        <f>B47</f>
        <v/>
      </c>
      <c r="E47" s="16">
        <f>COS(B47)</f>
        <v/>
      </c>
      <c r="F47" s="16">
        <f>SIN(B47)</f>
        <v/>
      </c>
      <c r="G47" s="17">
        <f>SQRT(E47^2+F47^2)</f>
        <v/>
      </c>
      <c r="H47" s="17">
        <f>ABS(G47-1)</f>
        <v/>
      </c>
      <c r="I47" s="16">
        <f>E47</f>
        <v/>
      </c>
      <c r="J47" s="16">
        <f>F47</f>
        <v/>
      </c>
    </row>
    <row r="48" ht="19" customHeight="1">
      <c r="A48" s="8" t="n">
        <v>40</v>
      </c>
      <c r="B48" s="9" t="n">
        <v>7.853982</v>
      </c>
      <c r="C48" s="10">
        <f>DEGREES(B48)</f>
        <v/>
      </c>
      <c r="D48" s="9">
        <f>B48</f>
        <v/>
      </c>
      <c r="E48" s="11">
        <f>COS(B48)</f>
        <v/>
      </c>
      <c r="F48" s="11">
        <f>SIN(B48)</f>
        <v/>
      </c>
      <c r="G48" s="12">
        <f>SQRT(E48^2+F48^2)</f>
        <v/>
      </c>
      <c r="H48" s="12">
        <f>ABS(G48-1)</f>
        <v/>
      </c>
      <c r="I48" s="11">
        <f>E48</f>
        <v/>
      </c>
      <c r="J48" s="11">
        <f>F48</f>
        <v/>
      </c>
    </row>
    <row r="49" ht="19" customHeight="1">
      <c r="A49" s="13" t="n">
        <v>41</v>
      </c>
      <c r="B49" s="14" t="n">
        <v>8.050331</v>
      </c>
      <c r="C49" s="15">
        <f>DEGREES(B49)</f>
        <v/>
      </c>
      <c r="D49" s="14">
        <f>B49</f>
        <v/>
      </c>
      <c r="E49" s="16">
        <f>COS(B49)</f>
        <v/>
      </c>
      <c r="F49" s="16">
        <f>SIN(B49)</f>
        <v/>
      </c>
      <c r="G49" s="17">
        <f>SQRT(E49^2+F49^2)</f>
        <v/>
      </c>
      <c r="H49" s="17">
        <f>ABS(G49-1)</f>
        <v/>
      </c>
      <c r="I49" s="16">
        <f>E49</f>
        <v/>
      </c>
      <c r="J49" s="16">
        <f>F49</f>
        <v/>
      </c>
    </row>
    <row r="50" ht="19" customHeight="1">
      <c r="A50" s="8" t="n">
        <v>42</v>
      </c>
      <c r="B50" s="9" t="n">
        <v>8.246681000000001</v>
      </c>
      <c r="C50" s="10">
        <f>DEGREES(B50)</f>
        <v/>
      </c>
      <c r="D50" s="9">
        <f>B50</f>
        <v/>
      </c>
      <c r="E50" s="11">
        <f>COS(B50)</f>
        <v/>
      </c>
      <c r="F50" s="11">
        <f>SIN(B50)</f>
        <v/>
      </c>
      <c r="G50" s="12">
        <f>SQRT(E50^2+F50^2)</f>
        <v/>
      </c>
      <c r="H50" s="12">
        <f>ABS(G50-1)</f>
        <v/>
      </c>
      <c r="I50" s="11">
        <f>E50</f>
        <v/>
      </c>
      <c r="J50" s="11">
        <f>F50</f>
        <v/>
      </c>
    </row>
    <row r="51" ht="19" customHeight="1">
      <c r="A51" s="13" t="n">
        <v>43</v>
      </c>
      <c r="B51" s="14" t="n">
        <v>8.44303</v>
      </c>
      <c r="C51" s="15">
        <f>DEGREES(B51)</f>
        <v/>
      </c>
      <c r="D51" s="14">
        <f>B51</f>
        <v/>
      </c>
      <c r="E51" s="16">
        <f>COS(B51)</f>
        <v/>
      </c>
      <c r="F51" s="16">
        <f>SIN(B51)</f>
        <v/>
      </c>
      <c r="G51" s="17">
        <f>SQRT(E51^2+F51^2)</f>
        <v/>
      </c>
      <c r="H51" s="17">
        <f>ABS(G51-1)</f>
        <v/>
      </c>
      <c r="I51" s="16">
        <f>E51</f>
        <v/>
      </c>
      <c r="J51" s="16">
        <f>F51</f>
        <v/>
      </c>
    </row>
    <row r="52" ht="19" customHeight="1">
      <c r="A52" s="8" t="n">
        <v>44</v>
      </c>
      <c r="B52" s="9" t="n">
        <v>8.639379999999999</v>
      </c>
      <c r="C52" s="10">
        <f>DEGREES(B52)</f>
        <v/>
      </c>
      <c r="D52" s="9">
        <f>B52</f>
        <v/>
      </c>
      <c r="E52" s="11">
        <f>COS(B52)</f>
        <v/>
      </c>
      <c r="F52" s="11">
        <f>SIN(B52)</f>
        <v/>
      </c>
      <c r="G52" s="12">
        <f>SQRT(E52^2+F52^2)</f>
        <v/>
      </c>
      <c r="H52" s="12">
        <f>ABS(G52-1)</f>
        <v/>
      </c>
      <c r="I52" s="11">
        <f>E52</f>
        <v/>
      </c>
      <c r="J52" s="11">
        <f>F52</f>
        <v/>
      </c>
    </row>
    <row r="53" ht="19" customHeight="1">
      <c r="A53" s="13" t="n">
        <v>45</v>
      </c>
      <c r="B53" s="14" t="n">
        <v>8.835729000000001</v>
      </c>
      <c r="C53" s="15">
        <f>DEGREES(B53)</f>
        <v/>
      </c>
      <c r="D53" s="14">
        <f>B53</f>
        <v/>
      </c>
      <c r="E53" s="16">
        <f>COS(B53)</f>
        <v/>
      </c>
      <c r="F53" s="16">
        <f>SIN(B53)</f>
        <v/>
      </c>
      <c r="G53" s="17">
        <f>SQRT(E53^2+F53^2)</f>
        <v/>
      </c>
      <c r="H53" s="17">
        <f>ABS(G53-1)</f>
        <v/>
      </c>
      <c r="I53" s="16">
        <f>E53</f>
        <v/>
      </c>
      <c r="J53" s="16">
        <f>F53</f>
        <v/>
      </c>
    </row>
    <row r="54" ht="19" customHeight="1">
      <c r="A54" s="8" t="n">
        <v>46</v>
      </c>
      <c r="B54" s="9" t="n">
        <v>9.032079</v>
      </c>
      <c r="C54" s="10">
        <f>DEGREES(B54)</f>
        <v/>
      </c>
      <c r="D54" s="9">
        <f>B54</f>
        <v/>
      </c>
      <c r="E54" s="11">
        <f>COS(B54)</f>
        <v/>
      </c>
      <c r="F54" s="11">
        <f>SIN(B54)</f>
        <v/>
      </c>
      <c r="G54" s="12">
        <f>SQRT(E54^2+F54^2)</f>
        <v/>
      </c>
      <c r="H54" s="12">
        <f>ABS(G54-1)</f>
        <v/>
      </c>
      <c r="I54" s="11">
        <f>E54</f>
        <v/>
      </c>
      <c r="J54" s="11">
        <f>F54</f>
        <v/>
      </c>
    </row>
    <row r="55" ht="19" customHeight="1">
      <c r="A55" s="13" t="n">
        <v>47</v>
      </c>
      <c r="B55" s="14" t="n">
        <v>9.228427999999999</v>
      </c>
      <c r="C55" s="15">
        <f>DEGREES(B55)</f>
        <v/>
      </c>
      <c r="D55" s="14">
        <f>B55</f>
        <v/>
      </c>
      <c r="E55" s="16">
        <f>COS(B55)</f>
        <v/>
      </c>
      <c r="F55" s="16">
        <f>SIN(B55)</f>
        <v/>
      </c>
      <c r="G55" s="17">
        <f>SQRT(E55^2+F55^2)</f>
        <v/>
      </c>
      <c r="H55" s="17">
        <f>ABS(G55-1)</f>
        <v/>
      </c>
      <c r="I55" s="16">
        <f>E55</f>
        <v/>
      </c>
      <c r="J55" s="16">
        <f>F55</f>
        <v/>
      </c>
    </row>
    <row r="56" ht="19" customHeight="1">
      <c r="A56" s="8" t="n">
        <v>48</v>
      </c>
      <c r="B56" s="9" t="n">
        <v>9.424778</v>
      </c>
      <c r="C56" s="10">
        <f>DEGREES(B56)</f>
        <v/>
      </c>
      <c r="D56" s="9">
        <f>B56</f>
        <v/>
      </c>
      <c r="E56" s="11">
        <f>COS(B56)</f>
        <v/>
      </c>
      <c r="F56" s="11">
        <f>SIN(B56)</f>
        <v/>
      </c>
      <c r="G56" s="12">
        <f>SQRT(E56^2+F56^2)</f>
        <v/>
      </c>
      <c r="H56" s="12">
        <f>ABS(G56-1)</f>
        <v/>
      </c>
      <c r="I56" s="11">
        <f>E56</f>
        <v/>
      </c>
      <c r="J56" s="11">
        <f>F56</f>
        <v/>
      </c>
    </row>
    <row r="57" ht="19" customHeight="1">
      <c r="A57" s="13" t="n">
        <v>49</v>
      </c>
      <c r="B57" s="14" t="n">
        <v>9.621128000000001</v>
      </c>
      <c r="C57" s="15">
        <f>DEGREES(B57)</f>
        <v/>
      </c>
      <c r="D57" s="14">
        <f>B57</f>
        <v/>
      </c>
      <c r="E57" s="16">
        <f>COS(B57)</f>
        <v/>
      </c>
      <c r="F57" s="16">
        <f>SIN(B57)</f>
        <v/>
      </c>
      <c r="G57" s="17">
        <f>SQRT(E57^2+F57^2)</f>
        <v/>
      </c>
      <c r="H57" s="17">
        <f>ABS(G57-1)</f>
        <v/>
      </c>
      <c r="I57" s="16">
        <f>E57</f>
        <v/>
      </c>
      <c r="J57" s="16">
        <f>F57</f>
        <v/>
      </c>
    </row>
    <row r="58" ht="19" customHeight="1">
      <c r="A58" s="8" t="n">
        <v>50</v>
      </c>
      <c r="B58" s="9" t="n">
        <v>9.817477</v>
      </c>
      <c r="C58" s="10">
        <f>DEGREES(B58)</f>
        <v/>
      </c>
      <c r="D58" s="9">
        <f>B58</f>
        <v/>
      </c>
      <c r="E58" s="11">
        <f>COS(B58)</f>
        <v/>
      </c>
      <c r="F58" s="11">
        <f>SIN(B58)</f>
        <v/>
      </c>
      <c r="G58" s="12">
        <f>SQRT(E58^2+F58^2)</f>
        <v/>
      </c>
      <c r="H58" s="12">
        <f>ABS(G58-1)</f>
        <v/>
      </c>
      <c r="I58" s="11">
        <f>E58</f>
        <v/>
      </c>
      <c r="J58" s="11">
        <f>F58</f>
        <v/>
      </c>
    </row>
    <row r="59" ht="19" customHeight="1">
      <c r="A59" s="13" t="n">
        <v>51</v>
      </c>
      <c r="B59" s="14" t="n">
        <v>10.013827</v>
      </c>
      <c r="C59" s="15">
        <f>DEGREES(B59)</f>
        <v/>
      </c>
      <c r="D59" s="14">
        <f>B59</f>
        <v/>
      </c>
      <c r="E59" s="16">
        <f>COS(B59)</f>
        <v/>
      </c>
      <c r="F59" s="16">
        <f>SIN(B59)</f>
        <v/>
      </c>
      <c r="G59" s="17">
        <f>SQRT(E59^2+F59^2)</f>
        <v/>
      </c>
      <c r="H59" s="17">
        <f>ABS(G59-1)</f>
        <v/>
      </c>
      <c r="I59" s="16">
        <f>E59</f>
        <v/>
      </c>
      <c r="J59" s="16">
        <f>F59</f>
        <v/>
      </c>
    </row>
    <row r="60" ht="19" customHeight="1">
      <c r="A60" s="8" t="n">
        <v>52</v>
      </c>
      <c r="B60" s="9" t="n">
        <v>10.210176</v>
      </c>
      <c r="C60" s="10">
        <f>DEGREES(B60)</f>
        <v/>
      </c>
      <c r="D60" s="9">
        <f>B60</f>
        <v/>
      </c>
      <c r="E60" s="11">
        <f>COS(B60)</f>
        <v/>
      </c>
      <c r="F60" s="11">
        <f>SIN(B60)</f>
        <v/>
      </c>
      <c r="G60" s="12">
        <f>SQRT(E60^2+F60^2)</f>
        <v/>
      </c>
      <c r="H60" s="12">
        <f>ABS(G60-1)</f>
        <v/>
      </c>
      <c r="I60" s="11">
        <f>E60</f>
        <v/>
      </c>
      <c r="J60" s="11">
        <f>F60</f>
        <v/>
      </c>
    </row>
    <row r="61" ht="19" customHeight="1">
      <c r="A61" s="13" t="n">
        <v>53</v>
      </c>
      <c r="B61" s="14" t="n">
        <v>10.406526</v>
      </c>
      <c r="C61" s="15">
        <f>DEGREES(B61)</f>
        <v/>
      </c>
      <c r="D61" s="14">
        <f>B61</f>
        <v/>
      </c>
      <c r="E61" s="16">
        <f>COS(B61)</f>
        <v/>
      </c>
      <c r="F61" s="16">
        <f>SIN(B61)</f>
        <v/>
      </c>
      <c r="G61" s="17">
        <f>SQRT(E61^2+F61^2)</f>
        <v/>
      </c>
      <c r="H61" s="17">
        <f>ABS(G61-1)</f>
        <v/>
      </c>
      <c r="I61" s="16">
        <f>E61</f>
        <v/>
      </c>
      <c r="J61" s="16">
        <f>F61</f>
        <v/>
      </c>
    </row>
    <row r="62" ht="19" customHeight="1">
      <c r="A62" s="8" t="n">
        <v>54</v>
      </c>
      <c r="B62" s="9" t="n">
        <v>10.602875</v>
      </c>
      <c r="C62" s="10">
        <f>DEGREES(B62)</f>
        <v/>
      </c>
      <c r="D62" s="9">
        <f>B62</f>
        <v/>
      </c>
      <c r="E62" s="11">
        <f>COS(B62)</f>
        <v/>
      </c>
      <c r="F62" s="11">
        <f>SIN(B62)</f>
        <v/>
      </c>
      <c r="G62" s="12">
        <f>SQRT(E62^2+F62^2)</f>
        <v/>
      </c>
      <c r="H62" s="12">
        <f>ABS(G62-1)</f>
        <v/>
      </c>
      <c r="I62" s="11">
        <f>E62</f>
        <v/>
      </c>
      <c r="J62" s="11">
        <f>F62</f>
        <v/>
      </c>
    </row>
    <row r="63" ht="19" customHeight="1">
      <c r="A63" s="13" t="n">
        <v>55</v>
      </c>
      <c r="B63" s="14" t="n">
        <v>10.799225</v>
      </c>
      <c r="C63" s="15">
        <f>DEGREES(B63)</f>
        <v/>
      </c>
      <c r="D63" s="14">
        <f>B63</f>
        <v/>
      </c>
      <c r="E63" s="16">
        <f>COS(B63)</f>
        <v/>
      </c>
      <c r="F63" s="16">
        <f>SIN(B63)</f>
        <v/>
      </c>
      <c r="G63" s="17">
        <f>SQRT(E63^2+F63^2)</f>
        <v/>
      </c>
      <c r="H63" s="17">
        <f>ABS(G63-1)</f>
        <v/>
      </c>
      <c r="I63" s="16">
        <f>E63</f>
        <v/>
      </c>
      <c r="J63" s="16">
        <f>F63</f>
        <v/>
      </c>
    </row>
    <row r="64" ht="19" customHeight="1">
      <c r="A64" s="8" t="n">
        <v>56</v>
      </c>
      <c r="B64" s="9" t="n">
        <v>10.995574</v>
      </c>
      <c r="C64" s="10">
        <f>DEGREES(B64)</f>
        <v/>
      </c>
      <c r="D64" s="9">
        <f>B64</f>
        <v/>
      </c>
      <c r="E64" s="11">
        <f>COS(B64)</f>
        <v/>
      </c>
      <c r="F64" s="11">
        <f>SIN(B64)</f>
        <v/>
      </c>
      <c r="G64" s="12">
        <f>SQRT(E64^2+F64^2)</f>
        <v/>
      </c>
      <c r="H64" s="12">
        <f>ABS(G64-1)</f>
        <v/>
      </c>
      <c r="I64" s="11">
        <f>E64</f>
        <v/>
      </c>
      <c r="J64" s="11">
        <f>F64</f>
        <v/>
      </c>
    </row>
    <row r="65" ht="19" customHeight="1">
      <c r="A65" s="13" t="n">
        <v>57</v>
      </c>
      <c r="B65" s="14" t="n">
        <v>11.191924</v>
      </c>
      <c r="C65" s="15">
        <f>DEGREES(B65)</f>
        <v/>
      </c>
      <c r="D65" s="14">
        <f>B65</f>
        <v/>
      </c>
      <c r="E65" s="16">
        <f>COS(B65)</f>
        <v/>
      </c>
      <c r="F65" s="16">
        <f>SIN(B65)</f>
        <v/>
      </c>
      <c r="G65" s="17">
        <f>SQRT(E65^2+F65^2)</f>
        <v/>
      </c>
      <c r="H65" s="17">
        <f>ABS(G65-1)</f>
        <v/>
      </c>
      <c r="I65" s="16">
        <f>E65</f>
        <v/>
      </c>
      <c r="J65" s="16">
        <f>F65</f>
        <v/>
      </c>
    </row>
    <row r="66" ht="19" customHeight="1">
      <c r="A66" s="8" t="n">
        <v>58</v>
      </c>
      <c r="B66" s="9" t="n">
        <v>11.388273</v>
      </c>
      <c r="C66" s="10">
        <f>DEGREES(B66)</f>
        <v/>
      </c>
      <c r="D66" s="9">
        <f>B66</f>
        <v/>
      </c>
      <c r="E66" s="11">
        <f>COS(B66)</f>
        <v/>
      </c>
      <c r="F66" s="11">
        <f>SIN(B66)</f>
        <v/>
      </c>
      <c r="G66" s="12">
        <f>SQRT(E66^2+F66^2)</f>
        <v/>
      </c>
      <c r="H66" s="12">
        <f>ABS(G66-1)</f>
        <v/>
      </c>
      <c r="I66" s="11">
        <f>E66</f>
        <v/>
      </c>
      <c r="J66" s="11">
        <f>F66</f>
        <v/>
      </c>
    </row>
    <row r="67" ht="19" customHeight="1">
      <c r="A67" s="13" t="n">
        <v>59</v>
      </c>
      <c r="B67" s="14" t="n">
        <v>11.584623</v>
      </c>
      <c r="C67" s="15">
        <f>DEGREES(B67)</f>
        <v/>
      </c>
      <c r="D67" s="14">
        <f>B67</f>
        <v/>
      </c>
      <c r="E67" s="16">
        <f>COS(B67)</f>
        <v/>
      </c>
      <c r="F67" s="16">
        <f>SIN(B67)</f>
        <v/>
      </c>
      <c r="G67" s="17">
        <f>SQRT(E67^2+F67^2)</f>
        <v/>
      </c>
      <c r="H67" s="17">
        <f>ABS(G67-1)</f>
        <v/>
      </c>
      <c r="I67" s="16">
        <f>E67</f>
        <v/>
      </c>
      <c r="J67" s="16">
        <f>F67</f>
        <v/>
      </c>
    </row>
    <row r="68" ht="19" customHeight="1">
      <c r="A68" s="8" t="n">
        <v>60</v>
      </c>
      <c r="B68" s="9" t="n">
        <v>11.780972</v>
      </c>
      <c r="C68" s="10">
        <f>DEGREES(B68)</f>
        <v/>
      </c>
      <c r="D68" s="9">
        <f>B68</f>
        <v/>
      </c>
      <c r="E68" s="11">
        <f>COS(B68)</f>
        <v/>
      </c>
      <c r="F68" s="11">
        <f>SIN(B68)</f>
        <v/>
      </c>
      <c r="G68" s="12">
        <f>SQRT(E68^2+F68^2)</f>
        <v/>
      </c>
      <c r="H68" s="12">
        <f>ABS(G68-1)</f>
        <v/>
      </c>
      <c r="I68" s="11">
        <f>E68</f>
        <v/>
      </c>
      <c r="J68" s="11">
        <f>F68</f>
        <v/>
      </c>
    </row>
    <row r="69" ht="19" customHeight="1">
      <c r="A69" s="13" t="n">
        <v>61</v>
      </c>
      <c r="B69" s="14" t="n">
        <v>11.977322</v>
      </c>
      <c r="C69" s="15">
        <f>DEGREES(B69)</f>
        <v/>
      </c>
      <c r="D69" s="14">
        <f>B69</f>
        <v/>
      </c>
      <c r="E69" s="16">
        <f>COS(B69)</f>
        <v/>
      </c>
      <c r="F69" s="16">
        <f>SIN(B69)</f>
        <v/>
      </c>
      <c r="G69" s="17">
        <f>SQRT(E69^2+F69^2)</f>
        <v/>
      </c>
      <c r="H69" s="17">
        <f>ABS(G69-1)</f>
        <v/>
      </c>
      <c r="I69" s="16">
        <f>E69</f>
        <v/>
      </c>
      <c r="J69" s="16">
        <f>F69</f>
        <v/>
      </c>
    </row>
    <row r="70" ht="19" customHeight="1">
      <c r="A70" s="8" t="n">
        <v>62</v>
      </c>
      <c r="B70" s="9" t="n">
        <v>12.173672</v>
      </c>
      <c r="C70" s="10">
        <f>DEGREES(B70)</f>
        <v/>
      </c>
      <c r="D70" s="9">
        <f>B70</f>
        <v/>
      </c>
      <c r="E70" s="11">
        <f>COS(B70)</f>
        <v/>
      </c>
      <c r="F70" s="11">
        <f>SIN(B70)</f>
        <v/>
      </c>
      <c r="G70" s="12">
        <f>SQRT(E70^2+F70^2)</f>
        <v/>
      </c>
      <c r="H70" s="12">
        <f>ABS(G70-1)</f>
        <v/>
      </c>
      <c r="I70" s="11">
        <f>E70</f>
        <v/>
      </c>
      <c r="J70" s="11">
        <f>F70</f>
        <v/>
      </c>
    </row>
    <row r="71" ht="19" customHeight="1">
      <c r="A71" s="13" t="n">
        <v>63</v>
      </c>
      <c r="B71" s="14" t="n">
        <v>12.370021</v>
      </c>
      <c r="C71" s="15">
        <f>DEGREES(B71)</f>
        <v/>
      </c>
      <c r="D71" s="14">
        <f>B71</f>
        <v/>
      </c>
      <c r="E71" s="16">
        <f>COS(B71)</f>
        <v/>
      </c>
      <c r="F71" s="16">
        <f>SIN(B71)</f>
        <v/>
      </c>
      <c r="G71" s="17">
        <f>SQRT(E71^2+F71^2)</f>
        <v/>
      </c>
      <c r="H71" s="17">
        <f>ABS(G71-1)</f>
        <v/>
      </c>
      <c r="I71" s="16">
        <f>E71</f>
        <v/>
      </c>
      <c r="J71" s="16">
        <f>F71</f>
        <v/>
      </c>
    </row>
    <row r="72" ht="19" customHeight="1">
      <c r="A72" s="8" t="n">
        <v>64</v>
      </c>
      <c r="B72" s="9" t="n">
        <v>12.566371</v>
      </c>
      <c r="C72" s="10">
        <f>DEGREES(B72)</f>
        <v/>
      </c>
      <c r="D72" s="9">
        <f>B72</f>
        <v/>
      </c>
      <c r="E72" s="11">
        <f>COS(B72)</f>
        <v/>
      </c>
      <c r="F72" s="11">
        <f>SIN(B72)</f>
        <v/>
      </c>
      <c r="G72" s="12">
        <f>SQRT(E72^2+F72^2)</f>
        <v/>
      </c>
      <c r="H72" s="12">
        <f>ABS(G72-1)</f>
        <v/>
      </c>
      <c r="I72" s="11">
        <f>E72</f>
        <v/>
      </c>
      <c r="J72" s="11">
        <f>F72</f>
        <v/>
      </c>
    </row>
    <row r="73" ht="22" customHeight="1">
      <c r="A73" s="18" t="inlineStr">
        <is>
          <t>PROMEDIO</t>
        </is>
      </c>
      <c r="B73" s="19">
        <f>AVERAGE(B8:B72)</f>
        <v/>
      </c>
      <c r="C73" s="19">
        <f>AVERAGE(C8:C72)</f>
        <v/>
      </c>
      <c r="D73" s="19">
        <f>AVERAGE(D8:D72)</f>
        <v/>
      </c>
      <c r="E73" s="19">
        <f>AVERAGE(E8:E72)</f>
        <v/>
      </c>
      <c r="F73" s="19">
        <f>AVERAGE(F8:F72)</f>
        <v/>
      </c>
      <c r="G73" s="19">
        <f>AVERAGE(G8:G72)</f>
        <v/>
      </c>
      <c r="H73" s="19">
        <f>AVERAGE(H8:H72)</f>
        <v/>
      </c>
      <c r="I73" s="19">
        <f>AVERAGE(I8:I72)</f>
        <v/>
      </c>
      <c r="J73" s="19">
        <f>AVERAGE(J8:J72)</f>
        <v/>
      </c>
    </row>
  </sheetData>
  <mergeCells count="7">
    <mergeCell ref="E4:F4"/>
    <mergeCell ref="A1:J1"/>
    <mergeCell ref="B5:C5"/>
    <mergeCell ref="E5:F5"/>
    <mergeCell ref="H5:I5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24" customWidth="1" min="3" max="3"/>
    <col width="22" customWidth="1" min="4" max="4"/>
    <col width="22" customWidth="1" min="5" max="5"/>
    <col width="59" customWidth="1" min="6" max="6"/>
    <col width="29" customWidth="1" min="7" max="7"/>
    <col width="58" customWidth="1" min="8" max="8"/>
  </cols>
  <sheetData>
    <row r="1" ht="36" customHeight="1">
      <c r="A1" s="1" t="inlineStr">
        <is>
          <t>CONTINUUM LAB // HITOS CARDINALES DE LA FÓRMULA E IDENTIDAD DE EULER</t>
        </is>
      </c>
    </row>
    <row r="2">
      <c r="A2" s="2" t="inlineStr">
        <is>
          <t>Evaluación exacta en múltiplos de pi/4: Demostración de e^{i pi} + 1 = 0</t>
        </is>
      </c>
    </row>
    <row r="3"/>
    <row r="4" ht="24" customHeight="1">
      <c r="A4" s="7" t="inlineStr">
        <is>
          <t>Hito</t>
        </is>
      </c>
      <c r="B4" s="7" t="inlineStr">
        <is>
          <t>Ángulo theta</t>
        </is>
      </c>
      <c r="C4" s="7" t="inlineStr">
        <is>
          <t>Valor Numérico [rad]</t>
        </is>
      </c>
      <c r="D4" s="7" t="inlineStr">
        <is>
          <t>Re(z) = cos(theta)</t>
        </is>
      </c>
      <c r="E4" s="7" t="inlineStr">
        <is>
          <t>Im(z) = sin(theta)</t>
        </is>
      </c>
      <c r="F4" s="7" t="inlineStr">
        <is>
          <t>Forma Compleja z = x + iy</t>
        </is>
      </c>
      <c r="G4" s="7" t="inlineStr">
        <is>
          <t>Identidad e^{i theta} + 1</t>
        </is>
      </c>
      <c r="H4" s="7" t="inlineStr">
        <is>
          <t>Significado Geométrico / Físico</t>
        </is>
      </c>
    </row>
    <row r="5" ht="22" customHeight="1">
      <c r="A5" s="8" t="inlineStr">
        <is>
          <t>P0</t>
        </is>
      </c>
      <c r="B5" s="8" t="inlineStr">
        <is>
          <t>0</t>
        </is>
      </c>
      <c r="C5" s="11" t="n">
        <v>0</v>
      </c>
      <c r="D5" s="11">
        <f>COS(C5)</f>
        <v/>
      </c>
      <c r="E5" s="11">
        <f>SIN(C5)</f>
        <v/>
      </c>
      <c r="F5" s="8">
        <f>TEXT(D5, "0.000") &amp; " + " &amp; TEXT(E5, "0.000") &amp; " i"</f>
        <v/>
      </c>
      <c r="G5" s="12">
        <f>SQRT((D5+1)^2 + E5^2)</f>
        <v/>
      </c>
      <c r="H5" s="20" t="inlineStr">
        <is>
          <t>Inicio en el eje Real positivo</t>
        </is>
      </c>
    </row>
    <row r="6" ht="22" customHeight="1">
      <c r="A6" s="8" t="inlineStr">
        <is>
          <t>P1</t>
        </is>
      </c>
      <c r="B6" s="8" t="inlineStr">
        <is>
          <t>pi / 4</t>
        </is>
      </c>
      <c r="C6" s="11" t="n">
        <v>0.785398</v>
      </c>
      <c r="D6" s="11">
        <f>COS(C6)</f>
        <v/>
      </c>
      <c r="E6" s="11">
        <f>SIN(C6)</f>
        <v/>
      </c>
      <c r="F6" s="8">
        <f>TEXT(D6, "0.000") &amp; " + " &amp; TEXT(E6, "0.000") &amp; " i"</f>
        <v/>
      </c>
      <c r="G6" s="12">
        <f>SQRT((D6+1)^2 + E6^2)</f>
        <v/>
      </c>
      <c r="H6" s="20" t="inlineStr">
        <is>
          <t>Bisectriz primer cuadrante (cos = sin = 1/sqrt(2))</t>
        </is>
      </c>
    </row>
    <row r="7" ht="22" customHeight="1">
      <c r="A7" s="8" t="inlineStr">
        <is>
          <t>P2</t>
        </is>
      </c>
      <c r="B7" s="8" t="inlineStr">
        <is>
          <t>pi / 2</t>
        </is>
      </c>
      <c r="C7" s="11" t="n">
        <v>1.570796</v>
      </c>
      <c r="D7" s="11">
        <f>COS(C7)</f>
        <v/>
      </c>
      <c r="E7" s="11">
        <f>SIN(C7)</f>
        <v/>
      </c>
      <c r="F7" s="8">
        <f>TEXT(D7, "0.000") &amp; " + " &amp; TEXT(E7, "0.000") &amp; " i"</f>
        <v/>
      </c>
      <c r="G7" s="12">
        <f>SQRT((D7+1)^2 + E7^2)</f>
        <v/>
      </c>
      <c r="H7" s="20" t="inlineStr">
        <is>
          <t>Unidad Imaginaria pura +i</t>
        </is>
      </c>
    </row>
    <row r="8" ht="22" customHeight="1">
      <c r="A8" s="8" t="inlineStr">
        <is>
          <t>P3</t>
        </is>
      </c>
      <c r="B8" s="8" t="inlineStr">
        <is>
          <t>3*pi / 4</t>
        </is>
      </c>
      <c r="C8" s="11" t="n">
        <v>2.356194</v>
      </c>
      <c r="D8" s="11">
        <f>COS(C8)</f>
        <v/>
      </c>
      <c r="E8" s="11">
        <f>SIN(C8)</f>
        <v/>
      </c>
      <c r="F8" s="8">
        <f>TEXT(D8, "0.000") &amp; " + " &amp; TEXT(E8, "0.000") &amp; " i"</f>
        <v/>
      </c>
      <c r="G8" s="12">
        <f>SQRT((D8+1)^2 + E8^2)</f>
        <v/>
      </c>
      <c r="H8" s="20" t="inlineStr">
        <is>
          <t>Bisectriz segundo cuadrante</t>
        </is>
      </c>
    </row>
    <row r="9" ht="22" customHeight="1">
      <c r="A9" s="21" t="inlineStr">
        <is>
          <t>P4 [EULER]</t>
        </is>
      </c>
      <c r="B9" s="21" t="inlineStr">
        <is>
          <t>pi</t>
        </is>
      </c>
      <c r="C9" s="22" t="n">
        <v>3.141593</v>
      </c>
      <c r="D9" s="22">
        <f>COS(C9)</f>
        <v/>
      </c>
      <c r="E9" s="22">
        <f>SIN(C9)</f>
        <v/>
      </c>
      <c r="F9" s="21">
        <f>TEXT(D9, "0.000") &amp; " + " &amp; TEXT(E9, "0.000") &amp; " i"</f>
        <v/>
      </c>
      <c r="G9" s="23">
        <f>SQRT((D9+1)^2 + E9^2)</f>
        <v/>
      </c>
      <c r="H9" s="24" t="inlineStr">
        <is>
          <t>IDENTIDAD DE EULER: e^{i pi} = -1 ==&gt; e^{i pi} + 1 = 0</t>
        </is>
      </c>
    </row>
    <row r="10" ht="22" customHeight="1">
      <c r="A10" s="8" t="inlineStr">
        <is>
          <t>P5</t>
        </is>
      </c>
      <c r="B10" s="8" t="inlineStr">
        <is>
          <t>5*pi / 4</t>
        </is>
      </c>
      <c r="C10" s="11" t="n">
        <v>3.926991</v>
      </c>
      <c r="D10" s="11">
        <f>COS(C10)</f>
        <v/>
      </c>
      <c r="E10" s="11">
        <f>SIN(C10)</f>
        <v/>
      </c>
      <c r="F10" s="8">
        <f>TEXT(D10, "0.000") &amp; " + " &amp; TEXT(E10, "0.000") &amp; " i"</f>
        <v/>
      </c>
      <c r="G10" s="12">
        <f>SQRT((D10+1)^2 + E10^2)</f>
        <v/>
      </c>
      <c r="H10" s="20" t="inlineStr">
        <is>
          <t>Bisectriz tercer cuadrante</t>
        </is>
      </c>
    </row>
    <row r="11" ht="22" customHeight="1">
      <c r="A11" s="8" t="inlineStr">
        <is>
          <t>P6</t>
        </is>
      </c>
      <c r="B11" s="8" t="inlineStr">
        <is>
          <t>3*pi / 2</t>
        </is>
      </c>
      <c r="C11" s="11" t="n">
        <v>4.712389</v>
      </c>
      <c r="D11" s="11">
        <f>COS(C11)</f>
        <v/>
      </c>
      <c r="E11" s="11">
        <f>SIN(C11)</f>
        <v/>
      </c>
      <c r="F11" s="8">
        <f>TEXT(D11, "0.000") &amp; " + " &amp; TEXT(E11, "0.000") &amp; " i"</f>
        <v/>
      </c>
      <c r="G11" s="12">
        <f>SQRT((D11+1)^2 + E11^2)</f>
        <v/>
      </c>
      <c r="H11" s="20" t="inlineStr">
        <is>
          <t>Unidad Imaginaria pura negativa -i</t>
        </is>
      </c>
    </row>
    <row r="12" ht="22" customHeight="1">
      <c r="A12" s="8" t="inlineStr">
        <is>
          <t>P7</t>
        </is>
      </c>
      <c r="B12" s="8" t="inlineStr">
        <is>
          <t>7*pi / 4</t>
        </is>
      </c>
      <c r="C12" s="11" t="n">
        <v>5.497787</v>
      </c>
      <c r="D12" s="11">
        <f>COS(C12)</f>
        <v/>
      </c>
      <c r="E12" s="11">
        <f>SIN(C12)</f>
        <v/>
      </c>
      <c r="F12" s="8">
        <f>TEXT(D12, "0.000") &amp; " + " &amp; TEXT(E12, "0.000") &amp; " i"</f>
        <v/>
      </c>
      <c r="G12" s="12">
        <f>SQRT((D12+1)^2 + E12^2)</f>
        <v/>
      </c>
      <c r="H12" s="20" t="inlineStr">
        <is>
          <t>Bisectriz cuarto cuadrante</t>
        </is>
      </c>
    </row>
    <row r="13" ht="22" customHeight="1">
      <c r="A13" s="8" t="inlineStr">
        <is>
          <t>P8 [PERIODO]</t>
        </is>
      </c>
      <c r="B13" s="8" t="inlineStr">
        <is>
          <t>2*pi</t>
        </is>
      </c>
      <c r="C13" s="11" t="n">
        <v>6.283185</v>
      </c>
      <c r="D13" s="11">
        <f>COS(C13)</f>
        <v/>
      </c>
      <c r="E13" s="11">
        <f>SIN(C13)</f>
        <v/>
      </c>
      <c r="F13" s="8">
        <f>TEXT(D13, "0.000") &amp; " + " &amp; TEXT(E13, "0.000") &amp; " i"</f>
        <v/>
      </c>
      <c r="G13" s="12">
        <f>SQRT((D13+1)^2 + E13^2)</f>
        <v/>
      </c>
      <c r="H13" s="20" t="inlineStr">
        <is>
          <t>Ciclo cerrado completo: e^{i 2 pi} = 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17" customWidth="1" min="3" max="3"/>
    <col width="25" customWidth="1" min="4" max="4"/>
    <col width="31" customWidth="1" min="5" max="5"/>
    <col width="17" customWidth="1" min="6" max="6"/>
    <col width="25" customWidth="1" min="7" max="7"/>
    <col width="34" customWidth="1" min="8" max="8"/>
    <col width="33" customWidth="1" min="9" max="9"/>
  </cols>
  <sheetData>
    <row r="1" ht="36" customHeight="1">
      <c r="A1" s="1" t="inlineStr">
        <is>
          <t>CONTINUUM LAB // DEMOSTRACIÓN DE LA FÓRMULA DE EULER VÍA SERIES DE TAYLOR</t>
        </is>
      </c>
    </row>
    <row r="2">
      <c r="A2" s="2" t="inlineStr">
        <is>
          <t>e^{it} = sum_{k=0}^infty (it)^k / k! = [1 - t^2/2! + t^4/4! - ...] + i [t - t^3/3! + t^5/5! - ...]</t>
        </is>
      </c>
    </row>
    <row r="3"/>
    <row r="4" ht="24" customHeight="1">
      <c r="A4" s="7" t="inlineStr">
        <is>
          <t>Paso</t>
        </is>
      </c>
      <c r="B4" s="7" t="inlineStr">
        <is>
          <t>t [rad]</t>
        </is>
      </c>
      <c r="C4" s="7" t="inlineStr">
        <is>
          <t>cos(t) Exacto</t>
        </is>
      </c>
      <c r="D4" s="7" t="inlineStr">
        <is>
          <t>cos Orden 2 (1-t^2/2)</t>
        </is>
      </c>
      <c r="E4" s="7" t="inlineStr">
        <is>
          <t>cos Orden 4 (P2+t^4/24)</t>
        </is>
      </c>
      <c r="F4" s="7" t="inlineStr">
        <is>
          <t>sin(t) Exacto</t>
        </is>
      </c>
      <c r="G4" s="7" t="inlineStr">
        <is>
          <t>sin Orden 3 (t-t^3/6)</t>
        </is>
      </c>
      <c r="H4" s="7" t="inlineStr">
        <is>
          <t>sin Orden 5 (P3+t^5/120)</t>
        </is>
      </c>
      <c r="I4" s="7" t="inlineStr">
        <is>
          <t>Error Residual Modulus</t>
        </is>
      </c>
    </row>
    <row r="5" ht="20" customHeight="1">
      <c r="A5" s="8" t="n">
        <v>0</v>
      </c>
      <c r="B5" s="9" t="n">
        <v>0</v>
      </c>
      <c r="C5" s="11">
        <f>COS(B5)</f>
        <v/>
      </c>
      <c r="D5" s="11">
        <f>1 - (B5^2)/2</f>
        <v/>
      </c>
      <c r="E5" s="11">
        <f>1 - (B5^2)/2 + (B5^4)/24</f>
        <v/>
      </c>
      <c r="F5" s="11">
        <f>SIN(B5)</f>
        <v/>
      </c>
      <c r="G5" s="11">
        <f>B5 - (B5^3)/6</f>
        <v/>
      </c>
      <c r="H5" s="11">
        <f>B5 - (B5^3)/6 + (B5^5)/120</f>
        <v/>
      </c>
      <c r="I5" s="11">
        <f>ABS(SQRT(E5^2 + H5^2) - 1)</f>
        <v/>
      </c>
    </row>
    <row r="6" ht="20" customHeight="1">
      <c r="A6" s="13" t="n">
        <v>1</v>
      </c>
      <c r="B6" s="14" t="n">
        <v>0.25</v>
      </c>
      <c r="C6" s="16">
        <f>COS(B6)</f>
        <v/>
      </c>
      <c r="D6" s="16">
        <f>1 - (B6^2)/2</f>
        <v/>
      </c>
      <c r="E6" s="16">
        <f>1 - (B6^2)/2 + (B6^4)/24</f>
        <v/>
      </c>
      <c r="F6" s="16">
        <f>SIN(B6)</f>
        <v/>
      </c>
      <c r="G6" s="16">
        <f>B6 - (B6^3)/6</f>
        <v/>
      </c>
      <c r="H6" s="16">
        <f>B6 - (B6^3)/6 + (B6^5)/120</f>
        <v/>
      </c>
      <c r="I6" s="16">
        <f>ABS(SQRT(E6^2 + H6^2) - 1)</f>
        <v/>
      </c>
    </row>
    <row r="7" ht="20" customHeight="1">
      <c r="A7" s="8" t="n">
        <v>2</v>
      </c>
      <c r="B7" s="9" t="n">
        <v>0.5</v>
      </c>
      <c r="C7" s="11">
        <f>COS(B7)</f>
        <v/>
      </c>
      <c r="D7" s="11">
        <f>1 - (B7^2)/2</f>
        <v/>
      </c>
      <c r="E7" s="11">
        <f>1 - (B7^2)/2 + (B7^4)/24</f>
        <v/>
      </c>
      <c r="F7" s="11">
        <f>SIN(B7)</f>
        <v/>
      </c>
      <c r="G7" s="11">
        <f>B7 - (B7^3)/6</f>
        <v/>
      </c>
      <c r="H7" s="11">
        <f>B7 - (B7^3)/6 + (B7^5)/120</f>
        <v/>
      </c>
      <c r="I7" s="11">
        <f>ABS(SQRT(E7^2 + H7^2) - 1)</f>
        <v/>
      </c>
    </row>
    <row r="8" ht="20" customHeight="1">
      <c r="A8" s="13" t="n">
        <v>3</v>
      </c>
      <c r="B8" s="14" t="n">
        <v>0.75</v>
      </c>
      <c r="C8" s="16">
        <f>COS(B8)</f>
        <v/>
      </c>
      <c r="D8" s="16">
        <f>1 - (B8^2)/2</f>
        <v/>
      </c>
      <c r="E8" s="16">
        <f>1 - (B8^2)/2 + (B8^4)/24</f>
        <v/>
      </c>
      <c r="F8" s="16">
        <f>SIN(B8)</f>
        <v/>
      </c>
      <c r="G8" s="16">
        <f>B8 - (B8^3)/6</f>
        <v/>
      </c>
      <c r="H8" s="16">
        <f>B8 - (B8^3)/6 + (B8^5)/120</f>
        <v/>
      </c>
      <c r="I8" s="16">
        <f>ABS(SQRT(E8^2 + H8^2) - 1)</f>
        <v/>
      </c>
    </row>
    <row r="9" ht="20" customHeight="1">
      <c r="A9" s="8" t="n">
        <v>4</v>
      </c>
      <c r="B9" s="9" t="n">
        <v>1</v>
      </c>
      <c r="C9" s="11">
        <f>COS(B9)</f>
        <v/>
      </c>
      <c r="D9" s="11">
        <f>1 - (B9^2)/2</f>
        <v/>
      </c>
      <c r="E9" s="11">
        <f>1 - (B9^2)/2 + (B9^4)/24</f>
        <v/>
      </c>
      <c r="F9" s="11">
        <f>SIN(B9)</f>
        <v/>
      </c>
      <c r="G9" s="11">
        <f>B9 - (B9^3)/6</f>
        <v/>
      </c>
      <c r="H9" s="11">
        <f>B9 - (B9^3)/6 + (B9^5)/120</f>
        <v/>
      </c>
      <c r="I9" s="11">
        <f>ABS(SQRT(E9^2 + H9^2) - 1)</f>
        <v/>
      </c>
    </row>
    <row r="10" ht="20" customHeight="1">
      <c r="A10" s="13" t="n">
        <v>5</v>
      </c>
      <c r="B10" s="14" t="n">
        <v>1.25</v>
      </c>
      <c r="C10" s="16">
        <f>COS(B10)</f>
        <v/>
      </c>
      <c r="D10" s="16">
        <f>1 - (B10^2)/2</f>
        <v/>
      </c>
      <c r="E10" s="16">
        <f>1 - (B10^2)/2 + (B10^4)/24</f>
        <v/>
      </c>
      <c r="F10" s="16">
        <f>SIN(B10)</f>
        <v/>
      </c>
      <c r="G10" s="16">
        <f>B10 - (B10^3)/6</f>
        <v/>
      </c>
      <c r="H10" s="16">
        <f>B10 - (B10^3)/6 + (B10^5)/120</f>
        <v/>
      </c>
      <c r="I10" s="16">
        <f>ABS(SQRT(E10^2 + H10^2) - 1)</f>
        <v/>
      </c>
    </row>
    <row r="11" ht="20" customHeight="1">
      <c r="A11" s="8" t="n">
        <v>6</v>
      </c>
      <c r="B11" s="9" t="n">
        <v>1.5</v>
      </c>
      <c r="C11" s="11">
        <f>COS(B11)</f>
        <v/>
      </c>
      <c r="D11" s="11">
        <f>1 - (B11^2)/2</f>
        <v/>
      </c>
      <c r="E11" s="11">
        <f>1 - (B11^2)/2 + (B11^4)/24</f>
        <v/>
      </c>
      <c r="F11" s="11">
        <f>SIN(B11)</f>
        <v/>
      </c>
      <c r="G11" s="11">
        <f>B11 - (B11^3)/6</f>
        <v/>
      </c>
      <c r="H11" s="11">
        <f>B11 - (B11^3)/6 + (B11^5)/120</f>
        <v/>
      </c>
      <c r="I11" s="11">
        <f>ABS(SQRT(E11^2 + H11^2) - 1)</f>
        <v/>
      </c>
    </row>
    <row r="12" ht="20" customHeight="1">
      <c r="A12" s="13" t="n">
        <v>7</v>
      </c>
      <c r="B12" s="14" t="n">
        <v>1.75</v>
      </c>
      <c r="C12" s="16">
        <f>COS(B12)</f>
        <v/>
      </c>
      <c r="D12" s="16">
        <f>1 - (B12^2)/2</f>
        <v/>
      </c>
      <c r="E12" s="16">
        <f>1 - (B12^2)/2 + (B12^4)/24</f>
        <v/>
      </c>
      <c r="F12" s="16">
        <f>SIN(B12)</f>
        <v/>
      </c>
      <c r="G12" s="16">
        <f>B12 - (B12^3)/6</f>
        <v/>
      </c>
      <c r="H12" s="16">
        <f>B12 - (B12^3)/6 + (B12^5)/120</f>
        <v/>
      </c>
      <c r="I12" s="16">
        <f>ABS(SQRT(E12^2 + H12^2) - 1)</f>
        <v/>
      </c>
    </row>
    <row r="13" ht="20" customHeight="1">
      <c r="A13" s="8" t="n">
        <v>8</v>
      </c>
      <c r="B13" s="9" t="n">
        <v>2</v>
      </c>
      <c r="C13" s="11">
        <f>COS(B13)</f>
        <v/>
      </c>
      <c r="D13" s="11">
        <f>1 - (B13^2)/2</f>
        <v/>
      </c>
      <c r="E13" s="11">
        <f>1 - (B13^2)/2 + (B13^4)/24</f>
        <v/>
      </c>
      <c r="F13" s="11">
        <f>SIN(B13)</f>
        <v/>
      </c>
      <c r="G13" s="11">
        <f>B13 - (B13^3)/6</f>
        <v/>
      </c>
      <c r="H13" s="11">
        <f>B13 - (B13^3)/6 + (B13^5)/120</f>
        <v/>
      </c>
      <c r="I13" s="11">
        <f>ABS(SQRT(E13^2 + H13^2) - 1)</f>
        <v/>
      </c>
    </row>
    <row r="14" ht="20" customHeight="1">
      <c r="A14" s="13" t="n">
        <v>9</v>
      </c>
      <c r="B14" s="14" t="n">
        <v>2.5</v>
      </c>
      <c r="C14" s="16">
        <f>COS(B14)</f>
        <v/>
      </c>
      <c r="D14" s="16">
        <f>1 - (B14^2)/2</f>
        <v/>
      </c>
      <c r="E14" s="16">
        <f>1 - (B14^2)/2 + (B14^4)/24</f>
        <v/>
      </c>
      <c r="F14" s="16">
        <f>SIN(B14)</f>
        <v/>
      </c>
      <c r="G14" s="16">
        <f>B14 - (B14^3)/6</f>
        <v/>
      </c>
      <c r="H14" s="16">
        <f>B14 - (B14^3)/6 + (B14^5)/120</f>
        <v/>
      </c>
      <c r="I14" s="16">
        <f>ABS(SQRT(E14^2 + H14^2) - 1)</f>
        <v/>
      </c>
    </row>
    <row r="15" ht="20" customHeight="1">
      <c r="A15" s="8" t="n">
        <v>10</v>
      </c>
      <c r="B15" s="9" t="n">
        <v>3</v>
      </c>
      <c r="C15" s="11">
        <f>COS(B15)</f>
        <v/>
      </c>
      <c r="D15" s="11">
        <f>1 - (B15^2)/2</f>
        <v/>
      </c>
      <c r="E15" s="11">
        <f>1 - (B15^2)/2 + (B15^4)/24</f>
        <v/>
      </c>
      <c r="F15" s="11">
        <f>SIN(B15)</f>
        <v/>
      </c>
      <c r="G15" s="11">
        <f>B15 - (B15^3)/6</f>
        <v/>
      </c>
      <c r="H15" s="11">
        <f>B15 - (B15^3)/6 + (B15^5)/120</f>
        <v/>
      </c>
      <c r="I15" s="11">
        <f>ABS(SQRT(E15^2 + H15^2) - 1)</f>
        <v/>
      </c>
    </row>
    <row r="16" ht="20" customHeight="1">
      <c r="A16" s="13" t="n">
        <v>11</v>
      </c>
      <c r="B16" s="14" t="n">
        <v>3.14159</v>
      </c>
      <c r="C16" s="16">
        <f>COS(B16)</f>
        <v/>
      </c>
      <c r="D16" s="16">
        <f>1 - (B16^2)/2</f>
        <v/>
      </c>
      <c r="E16" s="16">
        <f>1 - (B16^2)/2 + (B16^4)/24</f>
        <v/>
      </c>
      <c r="F16" s="16">
        <f>SIN(B16)</f>
        <v/>
      </c>
      <c r="G16" s="16">
        <f>B16 - (B16^3)/6</f>
        <v/>
      </c>
      <c r="H16" s="16">
        <f>B16 - (B16^3)/6 + (B16^5)/120</f>
        <v/>
      </c>
      <c r="I16" s="16">
        <f>ABS(SQRT(E16^2 + H16^2) - 1)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2026-09-26T20:26:09Z</dcterms:created>
  <dcterms:modified xmlns:dcterms="http://purl.org/dc/terms/" xmlns:xsi="http://www.w3.org/2001/XMLSchema-instance" xsi:type="dcterms:W3CDTF">2026-09-26T20:26:09Z</dcterms:modified>
</cp:coreProperties>
</file>