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y_Materiales" sheetId="1" state="visible" r:id="rId1"/>
    <sheet xmlns:r="http://schemas.openxmlformats.org/officeDocument/2006/relationships" name="Espectro_Modal_Chlad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0 &quot;N·m&quot;"/>
    <numFmt numFmtId="165" formatCode="#,##0.0 &quot;m/s&quot;"/>
    <numFmt numFmtId="166" formatCode="0.0 &quot;Hz&quot;"/>
    <numFmt numFmtId="167" formatCode="#,##0 &quot;partículas&quot;"/>
    <numFmt numFmtId="168" formatCode="0.000"/>
    <numFmt numFmtId="169" formatCode="0.0000"/>
    <numFmt numFmtId="170" formatCode="0.0"/>
    <numFmt numFmtId="171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00F0FF"/>
      <sz val="16"/>
    </font>
    <font>
      <name val="Calibri"/>
      <i val="1"/>
      <color rgb="0094A3B8"/>
      <sz val="10"/>
    </font>
    <font>
      <name val="Calibri"/>
      <b val="1"/>
      <color rgb="0094A3B8"/>
      <sz val="8"/>
    </font>
    <font>
      <name val="Calibri"/>
      <b val="1"/>
      <color rgb="0000F0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E2E8F0"/>
      <sz val="10"/>
    </font>
  </fonts>
  <fills count="7">
    <fill>
      <patternFill/>
    </fill>
    <fill>
      <patternFill patternType="gray125"/>
    </fill>
    <fill>
      <patternFill patternType="solid">
        <fgColor rgb="0010172A"/>
        <bgColor rgb="0010172A"/>
      </patternFill>
    </fill>
    <fill>
      <patternFill patternType="solid">
        <fgColor rgb="00111C2E"/>
        <bgColor rgb="00111C2E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141E33"/>
        <bgColor rgb="00141E33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top style="thin">
        <color rgb="0000F0FF"/>
      </top>
      <bottom style="double">
        <color rgb="0000F0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5" borderId="1" pivotButton="0" quotePrefix="0" xfId="0"/>
    <xf numFmtId="168" fontId="7" fillId="5" borderId="1" pivotButton="0" quotePrefix="0" xfId="0"/>
    <xf numFmtId="0" fontId="2" fillId="5" borderId="1" pivotButton="0" quotePrefix="0" xfId="0"/>
    <xf numFmtId="0" fontId="7" fillId="6" borderId="1" pivotButton="0" quotePrefix="0" xfId="0"/>
    <xf numFmtId="168" fontId="7" fillId="6" borderId="1" pivotButton="0" quotePrefix="0" xfId="0"/>
    <xf numFmtId="0" fontId="2" fillId="6" borderId="1" pivotButton="0" quotePrefix="0" xfId="0"/>
    <xf numFmtId="169" fontId="7" fillId="5" borderId="1" pivotButton="0" quotePrefix="0" xfId="0"/>
    <xf numFmtId="2" fontId="7" fillId="6" borderId="1" pivotButton="0" quotePrefix="0" xfId="0"/>
    <xf numFmtId="3" fontId="7" fillId="5" borderId="1" pivotButton="0" quotePrefix="0" xfId="0"/>
    <xf numFmtId="170" fontId="7" fillId="5" borderId="1" pivotButton="0" quotePrefix="0" xfId="0"/>
    <xf numFmtId="2" fontId="7" fillId="5" borderId="1" pivotButton="0" quotePrefix="0" xfId="0"/>
    <xf numFmtId="171" fontId="7" fillId="5" borderId="1" pivotButton="0" quotePrefix="0" xfId="0"/>
    <xf numFmtId="170" fontId="7" fillId="6" borderId="1" pivotButton="0" quotePrefix="0" xfId="0"/>
    <xf numFmtId="3" fontId="7" fillId="6" borderId="1" pivotButton="0" quotePrefix="0" xfId="0"/>
    <xf numFmtId="169" fontId="7" fillId="6" borderId="1" pivotButton="0" quotePrefix="0" xfId="0"/>
    <xf numFmtId="171" fontId="7" fillId="6" borderId="1" pivotButton="0" quotePrefix="0" xfId="0"/>
    <xf numFmtId="0" fontId="6" fillId="4" borderId="2" pivotButton="0" quotePrefix="0" xfId="0"/>
    <xf numFmtId="0" fontId="0" fillId="4" borderId="2" pivotButton="0" quotePrefix="0" xfId="0"/>
    <xf numFmtId="170" fontId="6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4" customWidth="1" min="2" max="2"/>
    <col width="22" customWidth="1" min="3" max="3"/>
    <col width="14" customWidth="1" min="4" max="4"/>
    <col width="49" customWidth="1" min="5" max="5"/>
    <col width="27" customWidth="1" min="6" max="6"/>
    <col width="24" customWidth="1" min="7" max="7"/>
  </cols>
  <sheetData>
    <row r="1" ht="25" customHeight="1">
      <c r="A1" s="1" t="inlineStr">
        <is>
          <t>CONTINUUM LAB // RESONANCIA DE PLACAS Y FIGURAS DE CHLADNI</t>
        </is>
      </c>
    </row>
    <row r="2" ht="18" customHeight="1">
      <c r="A2" s="2" t="inlineStr">
        <is>
          <t>Modelo Analítico de Elasticidad de Kirchhoff-Love &amp; Estudio Comparativo de Materiales</t>
        </is>
      </c>
    </row>
    <row r="3"/>
    <row r="4" ht="15" customHeight="1">
      <c r="A4" s="3" t="inlineStr">
        <is>
          <t>RIGIDEZ FLEXION D (Ti)</t>
        </is>
      </c>
      <c r="C4" s="3" t="inlineStr">
        <is>
          <t>VELOCIDAD ONDA c_p</t>
        </is>
      </c>
      <c r="E4" s="3" t="inlineStr">
        <is>
          <t>MODO FUNDAMENTAL f_11</t>
        </is>
      </c>
      <c r="G4" s="3" t="inlineStr">
        <is>
          <t>GRANOS ARENA</t>
        </is>
      </c>
    </row>
    <row r="5" ht="24" customHeight="1">
      <c r="A5" s="4">
        <f>E17</f>
        <v/>
      </c>
      <c r="C5" s="5">
        <f>F17</f>
        <v/>
      </c>
      <c r="E5" s="6">
        <f>G17</f>
        <v/>
      </c>
      <c r="G5" s="7" t="inlineStr">
        <is>
          <t>15000</t>
        </is>
      </c>
    </row>
    <row r="6"/>
    <row r="7" ht="20" customHeight="1">
      <c r="A7" s="8" t="inlineStr">
        <is>
          <t>1. ESPECIFICACIONES GEOMÉTRICAS Y DE ENSAYO</t>
        </is>
      </c>
    </row>
    <row r="8">
      <c r="A8" s="9" t="inlineStr">
        <is>
          <t>Parámetro</t>
        </is>
      </c>
      <c r="B8" s="10" t="inlineStr">
        <is>
          <t>Símbolo</t>
        </is>
      </c>
      <c r="C8" s="10" t="inlineStr">
        <is>
          <t>Valor Nominal</t>
        </is>
      </c>
      <c r="D8" s="10" t="inlineStr">
        <is>
          <t>Unidad</t>
        </is>
      </c>
      <c r="E8" s="9" t="inlineStr">
        <is>
          <t>Descripción</t>
        </is>
      </c>
    </row>
    <row r="9">
      <c r="A9" s="11" t="inlineStr">
        <is>
          <t>Longitud de la Placa</t>
        </is>
      </c>
      <c r="B9" s="11" t="inlineStr">
        <is>
          <t>L</t>
        </is>
      </c>
      <c r="C9" s="12" t="n">
        <v>0.3</v>
      </c>
      <c r="D9" s="11" t="inlineStr">
        <is>
          <t>m</t>
        </is>
      </c>
      <c r="E9" s="13" t="inlineStr">
        <is>
          <t>Placa cuadrada de 30 cm de lado</t>
        </is>
      </c>
    </row>
    <row r="10">
      <c r="A10" s="14" t="inlineStr">
        <is>
          <t>Espesor de la Placa</t>
        </is>
      </c>
      <c r="B10" s="14" t="inlineStr">
        <is>
          <t>h</t>
        </is>
      </c>
      <c r="C10" s="15" t="n">
        <v>0.001</v>
      </c>
      <c r="D10" s="14" t="inlineStr">
        <is>
          <t>m</t>
        </is>
      </c>
      <c r="E10" s="16" t="inlineStr">
        <is>
          <t>Chapa calibrada de 1.0 mm</t>
        </is>
      </c>
    </row>
    <row r="11">
      <c r="A11" s="11" t="inlineStr">
        <is>
          <t>Área Superficial</t>
        </is>
      </c>
      <c r="B11" s="11" t="inlineStr">
        <is>
          <t>A</t>
        </is>
      </c>
      <c r="C11" s="17">
        <f>C9*C9</f>
        <v/>
      </c>
      <c r="D11" s="11" t="inlineStr">
        <is>
          <t>m²</t>
        </is>
      </c>
      <c r="E11" s="13" t="inlineStr">
        <is>
          <t>Área de resonancia continua</t>
        </is>
      </c>
    </row>
    <row r="12">
      <c r="A12" s="14" t="inlineStr">
        <is>
          <t>Aceleración Gravitatoria</t>
        </is>
      </c>
      <c r="B12" s="14" t="inlineStr">
        <is>
          <t>g</t>
        </is>
      </c>
      <c r="C12" s="18" t="n">
        <v>9.81</v>
      </c>
      <c r="D12" s="14" t="inlineStr">
        <is>
          <t>m/s²</t>
        </is>
      </c>
      <c r="E12" s="16" t="inlineStr">
        <is>
          <t>Aceleración de gravedad estándar</t>
        </is>
      </c>
    </row>
    <row r="13">
      <c r="A13" s="11" t="inlineStr">
        <is>
          <t>Número de Partículas</t>
        </is>
      </c>
      <c r="B13" s="11" t="inlineStr">
        <is>
          <t>N</t>
        </is>
      </c>
      <c r="C13" s="19" t="n">
        <v>15000</v>
      </c>
      <c r="D13" s="11" t="inlineStr">
        <is>
          <t>-</t>
        </is>
      </c>
      <c r="E13" s="13" t="inlineStr">
        <is>
          <t>Granulometría de arena de sílice (d ~ 150 μm)</t>
        </is>
      </c>
    </row>
    <row r="14"/>
    <row r="15" ht="20" customHeight="1">
      <c r="A15" s="8" t="inlineStr">
        <is>
          <t>2. ESTUDIO COMPARATIVO DE MATERIALES ELASTOMÉTRICOS</t>
        </is>
      </c>
    </row>
    <row r="16">
      <c r="A16" s="10" t="inlineStr">
        <is>
          <t>Material</t>
        </is>
      </c>
      <c r="B16" s="10" t="inlineStr">
        <is>
          <t>Módulo Young E (GPa)</t>
        </is>
      </c>
      <c r="C16" s="10" t="inlineStr">
        <is>
          <t>Densidad ρ (kg/m³)</t>
        </is>
      </c>
      <c r="D16" s="10" t="inlineStr">
        <is>
          <t>Poisson ν</t>
        </is>
      </c>
      <c r="E16" s="10" t="inlineStr">
        <is>
          <t>Rigidez Flexión D (N·m)</t>
        </is>
      </c>
      <c r="F16" s="10" t="inlineStr">
        <is>
          <t>Velocidad Onda cp (m/s)</t>
        </is>
      </c>
      <c r="G16" s="10" t="inlineStr">
        <is>
          <t>Frec. Base f_11 (Hz)</t>
        </is>
      </c>
    </row>
    <row r="17">
      <c r="A17" s="11" t="inlineStr">
        <is>
          <t>Titanio Grado 5 (Ti-6Al-4V)</t>
        </is>
      </c>
      <c r="B17" s="20" t="n">
        <v>114</v>
      </c>
      <c r="C17" s="19" t="n">
        <v>4430</v>
      </c>
      <c r="D17" s="21" t="n">
        <v>0.34</v>
      </c>
      <c r="E17" s="17">
        <f>(B17*10^9)*($C$10^3)/(12*(1-D17^2))</f>
        <v/>
      </c>
      <c r="F17" s="22">
        <f>SQRT((B17*10^9)/(C17*(1-D17^2)))</f>
        <v/>
      </c>
      <c r="G17" s="20">
        <f>(PI()/(2*$C$9^2))*SQRT(E17/(C17*$C$10))*(1^2+1^2)*0.85</f>
        <v/>
      </c>
    </row>
    <row r="18">
      <c r="A18" s="14" t="inlineStr">
        <is>
          <t>Acero Inoxidable AISI 304</t>
        </is>
      </c>
      <c r="B18" s="23" t="n">
        <v>193</v>
      </c>
      <c r="C18" s="24" t="n">
        <v>8000</v>
      </c>
      <c r="D18" s="18" t="n">
        <v>0.29</v>
      </c>
      <c r="E18" s="25">
        <f>(B18*10^9)*($C$10^3)/(12*(1-D18^2))</f>
        <v/>
      </c>
      <c r="F18" s="26">
        <f>SQRT((B18*10^9)/(C18*(1-D18^2)))</f>
        <v/>
      </c>
      <c r="G18" s="23">
        <f>(PI()/(2*$C$9^2))*SQRT(E18/(C18*$C$10))*(1^2+1^2)*0.85</f>
        <v/>
      </c>
    </row>
    <row r="19">
      <c r="A19" s="11" t="inlineStr">
        <is>
          <t>Aluminio Aeroespacial 6061-T6</t>
        </is>
      </c>
      <c r="B19" s="20" t="n">
        <v>68.90000000000001</v>
      </c>
      <c r="C19" s="19" t="n">
        <v>2700</v>
      </c>
      <c r="D19" s="21" t="n">
        <v>0.33</v>
      </c>
      <c r="E19" s="17">
        <f>(B19*10^9)*($C$10^3)/(12*(1-D19^2))</f>
        <v/>
      </c>
      <c r="F19" s="22">
        <f>SQRT((B19*10^9)/(C19*(1-D19^2)))</f>
        <v/>
      </c>
      <c r="G19" s="20">
        <f>(PI()/(2*$C$9^2))*SQRT(E19/(C19*$C$10))*(1^2+1^2)*0.85</f>
        <v/>
      </c>
    </row>
    <row r="20">
      <c r="A20" s="14" t="inlineStr">
        <is>
          <t>Latón para Instrumentos C36000</t>
        </is>
      </c>
      <c r="B20" s="23" t="n">
        <v>105</v>
      </c>
      <c r="C20" s="24" t="n">
        <v>8500</v>
      </c>
      <c r="D20" s="18" t="n">
        <v>0.35</v>
      </c>
      <c r="E20" s="25">
        <f>(B20*10^9)*($C$10^3)/(12*(1-D20^2))</f>
        <v/>
      </c>
      <c r="F20" s="26">
        <f>SQRT((B20*10^9)/(C20*(1-D20^2)))</f>
        <v/>
      </c>
      <c r="G20" s="23">
        <f>(PI()/(2*$C$9^2))*SQRT(E20/(C20*$C$10))*(1^2+1^2)*0.85</f>
        <v/>
      </c>
    </row>
  </sheetData>
  <mergeCells count="10">
    <mergeCell ref="A4:B4"/>
    <mergeCell ref="E4:F4"/>
    <mergeCell ref="A1:G1"/>
    <mergeCell ref="C5:D5"/>
    <mergeCell ref="A5:B5"/>
    <mergeCell ref="E5:F5"/>
    <mergeCell ref="A2:G2"/>
    <mergeCell ref="A15:G15"/>
    <mergeCell ref="A7:G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4" customWidth="1" min="3" max="3"/>
    <col width="32" customWidth="1" min="4" max="4"/>
    <col width="31" customWidth="1" min="5" max="5"/>
    <col width="27" customWidth="1" min="6" max="6"/>
    <col width="30" customWidth="1" min="7" max="7"/>
  </cols>
  <sheetData>
    <row r="1" ht="25" customHeight="1">
      <c r="A1" s="1" t="inlineStr">
        <is>
          <t>ESPECTRO DE FRECUENCIAS NATURALES Y MODOS PROPIOS (CHLADNI-GERMAIN)</t>
        </is>
      </c>
    </row>
    <row r="2" ht="18" customHeight="1">
      <c r="A2" s="2" t="inlineStr">
        <is>
          <t>Solución Analítica por Superposición de Modos Degenerados de Kirchhoff-Love</t>
        </is>
      </c>
    </row>
    <row r="3"/>
    <row r="4">
      <c r="A4" s="10" t="inlineStr">
        <is>
          <t>Régimen</t>
        </is>
      </c>
      <c r="B4" s="10" t="inlineStr">
        <is>
          <t>Modo (m)</t>
        </is>
      </c>
      <c r="C4" s="10" t="inlineStr">
        <is>
          <t>Modo (n)</t>
        </is>
      </c>
      <c r="D4" s="10" t="inlineStr">
        <is>
          <t>Frecuencia Teórica f_mn (Hz)</t>
        </is>
      </c>
      <c r="E4" s="10" t="inlineStr">
        <is>
          <t>Frecuencia Sintonizada (Hz)</t>
        </is>
      </c>
      <c r="F4" s="10" t="inlineStr">
        <is>
          <t>Aceleración az/g (Peak)</t>
        </is>
      </c>
      <c r="G4" s="10" t="inlineStr">
        <is>
          <t>Topología Nodal</t>
        </is>
      </c>
    </row>
    <row r="5">
      <c r="A5" s="11" t="inlineStr">
        <is>
          <t>Modo 1</t>
        </is>
      </c>
      <c r="B5" s="11" t="n">
        <v>1</v>
      </c>
      <c r="C5" s="11" t="n">
        <v>3</v>
      </c>
      <c r="D5" s="20">
        <f>(PI()/(2*Parametros_y_Materiales!$C$9^2))*SQRT(Parametros_y_Materiales!$E$17/(Parametros_y_Materiales!$C$17*Parametros_y_Materiales!$C$10))*(B5^2+C5^2)*0.85</f>
        <v/>
      </c>
      <c r="E5" s="20" t="n">
        <v>432</v>
      </c>
      <c r="F5" s="20">
        <f>((2*PI()*E5)^2)*0.00012/9.81</f>
        <v/>
      </c>
      <c r="G5" s="13" t="inlineStr">
        <is>
          <t>Cruz y Diamante Central</t>
        </is>
      </c>
    </row>
    <row r="6">
      <c r="A6" s="14" t="inlineStr">
        <is>
          <t>Transición 1</t>
        </is>
      </c>
      <c r="B6" s="14" t="n">
        <v>2</v>
      </c>
      <c r="C6" s="14" t="n">
        <v>4</v>
      </c>
      <c r="D6" s="23">
        <f>(PI()/(2*Parametros_y_Materiales!$C$9^2))*SQRT(Parametros_y_Materiales!$E$17/(Parametros_y_Materiales!$C$17*Parametros_y_Materiales!$C$10))*(B6^2+C6^2)*0.85</f>
        <v/>
      </c>
      <c r="E6" s="23" t="n">
        <v>880</v>
      </c>
      <c r="F6" s="23">
        <f>((2*PI()*E6)^2)*0.00012/9.81</f>
        <v/>
      </c>
      <c r="G6" s="16" t="inlineStr">
        <is>
          <t>Anillo Cuádruple</t>
        </is>
      </c>
    </row>
    <row r="7">
      <c r="A7" s="11" t="inlineStr">
        <is>
          <t>Modo 2</t>
        </is>
      </c>
      <c r="B7" s="11" t="n">
        <v>3</v>
      </c>
      <c r="C7" s="11" t="n">
        <v>3</v>
      </c>
      <c r="D7" s="20">
        <f>(PI()/(2*Parametros_y_Materiales!$C$9^2))*SQRT(Parametros_y_Materiales!$E$17/(Parametros_y_Materiales!$C$17*Parametros_y_Materiales!$C$10))*(B7^2+C7^2)*0.85</f>
        <v/>
      </c>
      <c r="E7" s="20" t="n">
        <v>1420</v>
      </c>
      <c r="F7" s="20">
        <f>((2*PI()*E7)^2)*0.00012/9.81</f>
        <v/>
      </c>
      <c r="G7" s="13" t="inlineStr">
        <is>
          <t>Mandala Nodal Simétrico</t>
        </is>
      </c>
    </row>
    <row r="8">
      <c r="A8" s="14" t="inlineStr">
        <is>
          <t>Transición 2</t>
        </is>
      </c>
      <c r="B8" s="14" t="n">
        <v>2</v>
      </c>
      <c r="C8" s="14" t="n">
        <v>6</v>
      </c>
      <c r="D8" s="23">
        <f>(PI()/(2*Parametros_y_Materiales!$C$9^2))*SQRT(Parametros_y_Materiales!$E$17/(Parametros_y_Materiales!$C$17*Parametros_y_Materiales!$C$10))*(B8^2+C8^2)*0.85</f>
        <v/>
      </c>
      <c r="E8" s="23" t="n">
        <v>2150</v>
      </c>
      <c r="F8" s="23">
        <f>((2*PI()*E8)^2)*0.00012/9.81</f>
        <v/>
      </c>
      <c r="G8" s="16" t="inlineStr">
        <is>
          <t>Celosía Elíptica</t>
        </is>
      </c>
    </row>
    <row r="9">
      <c r="A9" s="11" t="inlineStr">
        <is>
          <t>Modo 3</t>
        </is>
      </c>
      <c r="B9" s="11" t="n">
        <v>3</v>
      </c>
      <c r="C9" s="11" t="n">
        <v>5</v>
      </c>
      <c r="D9" s="20">
        <f>(PI()/(2*Parametros_y_Materiales!$C$9^2))*SQRT(Parametros_y_Materiales!$E$17/(Parametros_y_Materiales!$C$17*Parametros_y_Materiales!$C$10))*(B9^2+C9^2)*0.85</f>
        <v/>
      </c>
      <c r="E9" s="20" t="n">
        <v>2860</v>
      </c>
      <c r="F9" s="20">
        <f>((2*PI()*E9)^2)*0.00012/9.81</f>
        <v/>
      </c>
      <c r="G9" s="13" t="inlineStr">
        <is>
          <t>Red Hiperbólica 12 Lóbulos</t>
        </is>
      </c>
    </row>
    <row r="10">
      <c r="A10" s="14" t="inlineStr">
        <is>
          <t>Modo 4 (Clímax)</t>
        </is>
      </c>
      <c r="B10" s="14" t="n">
        <v>5</v>
      </c>
      <c r="C10" s="14" t="n">
        <v>5</v>
      </c>
      <c r="D10" s="23">
        <f>(PI()/(2*Parametros_y_Materiales!$C$9^2))*SQRT(Parametros_y_Materiales!$E$17/(Parametros_y_Materiales!$C$17*Parametros_y_Materiales!$C$10))*(B10^2+C10^2)*0.85</f>
        <v/>
      </c>
      <c r="E10" s="23" t="n">
        <v>4320</v>
      </c>
      <c r="F10" s="23">
        <f>((2*PI()*E10)^2)*0.00012/9.81</f>
        <v/>
      </c>
      <c r="G10" s="16" t="inlineStr">
        <is>
          <t>Celosía Fractal 25 Celdas</t>
        </is>
      </c>
    </row>
    <row r="11">
      <c r="A11" s="27" t="inlineStr">
        <is>
          <t>PROMEDIO GENERAL</t>
        </is>
      </c>
      <c r="B11" s="28" t="n"/>
      <c r="C11" s="28" t="n"/>
      <c r="D11" s="29">
        <f>AVERAGE(D5:D10)</f>
        <v/>
      </c>
      <c r="E11" s="29">
        <f>AVERAGE(E5:E10)</f>
        <v/>
      </c>
      <c r="F11" s="29">
        <f>AVERAGE(F5:F10)</f>
        <v/>
      </c>
      <c r="G11" s="28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2026-10-18T19:11:50Z</dcterms:created>
  <dcterms:modified xmlns:dcterms="http://purl.org/dc/terms/" xmlns:xsi="http://www.w3.org/2001/XMLSchema-instance" xsi:type="dcterms:W3CDTF">2026-10-18T19:11:50Z</dcterms:modified>
</cp:coreProperties>
</file>