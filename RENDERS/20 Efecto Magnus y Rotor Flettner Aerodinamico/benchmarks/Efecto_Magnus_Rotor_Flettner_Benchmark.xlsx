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del_Rotor" sheetId="1" state="visible" r:id="rId1"/>
    <sheet xmlns:r="http://schemas.openxmlformats.org/officeDocument/2006/relationships" name="Analisis_Potencial_vs_Real" sheetId="2" state="visible" r:id="rId2"/>
    <sheet xmlns:r="http://schemas.openxmlformats.org/officeDocument/2006/relationships" name="Caso_Buque_Carga_Flettner" sheetId="3" state="visible" r:id="rId3"/>
    <sheet xmlns:r="http://schemas.openxmlformats.org/officeDocument/2006/relationships" name="Distribucion_Presion_C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#,##0.0"/>
    <numFmt numFmtId="166" formatCode="0.0"/>
    <numFmt numFmtId="167" formatCode="0.0%"/>
    <numFmt numFmtId="168" formatCode="$#,##0"/>
    <numFmt numFmtId="169" formatCode="0.000"/>
  </numFmts>
  <fonts count="7">
    <font>
      <name val="Calibri"/>
      <family val="2"/>
      <color theme="1"/>
      <sz val="11"/>
      <scheme val="minor"/>
    </font>
    <font>
      <name val="Segoe UI"/>
      <b val="1"/>
      <color rgb="000369A1"/>
      <sz val="12"/>
    </font>
    <font>
      <name val="Segoe UI"/>
      <b val="1"/>
      <color rgb="000F172A"/>
      <sz val="16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4" fontId="5" fillId="3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3" fillId="0" borderId="1" pivotButton="0" quotePrefix="0" xfId="0"/>
    <xf numFmtId="4" fontId="5" fillId="0" borderId="1" pivotButton="0" quotePrefix="0" xfId="0"/>
    <xf numFmtId="4" fontId="6" fillId="4" borderId="1" pivotButton="0" quotePrefix="0" xfId="0"/>
    <xf numFmtId="3" fontId="6" fillId="4" borderId="1" pivotButton="0" quotePrefix="0" xfId="0"/>
    <xf numFmtId="165" fontId="5" fillId="0" borderId="1" pivotButton="0" quotePrefix="0" xfId="0"/>
    <xf numFmtId="165" fontId="6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166" fontId="5" fillId="0" borderId="1" pivotButton="0" quotePrefix="0" xfId="0"/>
    <xf numFmtId="2" fontId="5" fillId="0" borderId="1" pivotButton="0" quotePrefix="0" xfId="0"/>
    <xf numFmtId="166" fontId="5" fillId="3" borderId="1" pivotButton="0" quotePrefix="0" xfId="0"/>
    <xf numFmtId="2" fontId="5" fillId="3" borderId="1" pivotButton="0" quotePrefix="0" xfId="0"/>
    <xf numFmtId="0" fontId="6" fillId="4" borderId="1" pivotButton="0" quotePrefix="0" xfId="0"/>
    <xf numFmtId="167" fontId="6" fillId="4" borderId="1" pivotButton="0" quotePrefix="0" xfId="0"/>
    <xf numFmtId="168" fontId="6" fillId="4" borderId="1" pivotButton="0" quotePrefix="0" xfId="0"/>
    <xf numFmtId="1" fontId="5" fillId="0" borderId="1" pivotButton="0" quotePrefix="0" xfId="0"/>
    <xf numFmtId="169" fontId="5" fillId="0" borderId="1" pivotButton="0" quotePrefix="0" xfId="0"/>
    <xf numFmtId="1" fontId="5" fillId="3" borderId="1" pivotButton="0" quotePrefix="0" xfId="0"/>
    <xf numFmtId="169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2" customWidth="1" min="2" max="2"/>
    <col width="27" customWidth="1" min="3" max="3"/>
    <col width="12" customWidth="1" min="4" max="4"/>
    <col width="46" customWidth="1" min="5" max="5"/>
  </cols>
  <sheetData>
    <row r="1">
      <c r="A1" s="1" t="inlineStr">
        <is>
          <t>CONTINUUM LAB // MECÁNICA DE FLUIDOS Y AERODINÁMICA</t>
        </is>
      </c>
    </row>
    <row r="2">
      <c r="A2" s="2" t="inlineStr">
        <is>
          <t>MODELO DE EFECTO MAGNUS Y ROTOR FLETTNER</t>
        </is>
      </c>
    </row>
    <row r="3">
      <c r="A3" s="3" t="inlineStr">
        <is>
          <t>Parámetros del Fluido, Geometría del Cilindro y Condiciones de Flujo</t>
        </is>
      </c>
    </row>
    <row r="4"/>
    <row r="5" ht="24" customHeight="1">
      <c r="A5" s="4" t="inlineStr">
        <is>
          <t>Parámetro Físico</t>
        </is>
      </c>
      <c r="B5" s="4" t="inlineStr">
        <is>
          <t>Símbolo</t>
        </is>
      </c>
      <c r="C5" s="4" t="inlineStr">
        <is>
          <t>Valor / Fórmula Dinámica</t>
        </is>
      </c>
      <c r="D5" s="4" t="inlineStr">
        <is>
          <t>Unidad</t>
        </is>
      </c>
      <c r="E5" s="4" t="inlineStr">
        <is>
          <t>Descripción y Referencia</t>
        </is>
      </c>
    </row>
    <row r="6">
      <c r="A6" s="5" t="inlineStr">
        <is>
          <t>Densidad del Aire</t>
        </is>
      </c>
      <c r="B6" s="6" t="inlineStr">
        <is>
          <t>rho</t>
        </is>
      </c>
      <c r="C6" s="7" t="n">
        <v>1.225</v>
      </c>
      <c r="D6" s="8" t="inlineStr">
        <is>
          <t>kg/m³</t>
        </is>
      </c>
      <c r="E6" s="5" t="inlineStr">
        <is>
          <t>Densidad atmosférica ISA a nivel del mar</t>
        </is>
      </c>
    </row>
    <row r="7">
      <c r="A7" s="9" t="inlineStr">
        <is>
          <t>Viscosidad Cinemática del Aire</t>
        </is>
      </c>
      <c r="B7" s="10" t="inlineStr">
        <is>
          <t>nu</t>
        </is>
      </c>
      <c r="C7" s="11" t="n">
        <v>1.5e-05</v>
      </c>
      <c r="D7" s="12" t="inlineStr">
        <is>
          <t>m²/s</t>
        </is>
      </c>
      <c r="E7" s="9" t="inlineStr">
        <is>
          <t>Viscosidad a 15°C y 1 atm</t>
        </is>
      </c>
    </row>
    <row r="8">
      <c r="A8" s="5" t="inlineStr">
        <is>
          <t>Velocidad de Flujo Libre</t>
        </is>
      </c>
      <c r="B8" s="6" t="inlineStr">
        <is>
          <t>U_inf</t>
        </is>
      </c>
      <c r="C8" s="7" t="n">
        <v>10</v>
      </c>
      <c r="D8" s="8" t="inlineStr">
        <is>
          <t>m/s</t>
        </is>
      </c>
      <c r="E8" s="5" t="inlineStr">
        <is>
          <t>Velocidad del viento relativo incidente</t>
        </is>
      </c>
    </row>
    <row r="9">
      <c r="A9" s="9" t="inlineStr">
        <is>
          <t>Radio del Cilindro</t>
        </is>
      </c>
      <c r="B9" s="10" t="inlineStr">
        <is>
          <t>R</t>
        </is>
      </c>
      <c r="C9" s="13" t="n">
        <v>1</v>
      </c>
      <c r="D9" s="12" t="inlineStr">
        <is>
          <t>m</t>
        </is>
      </c>
      <c r="E9" s="9" t="inlineStr">
        <is>
          <t>Radio exterior del rotor</t>
        </is>
      </c>
    </row>
    <row r="10">
      <c r="A10" s="9" t="inlineStr">
        <is>
          <t>Diámetro del Cilindro</t>
        </is>
      </c>
      <c r="B10" s="10" t="inlineStr">
        <is>
          <t>D</t>
        </is>
      </c>
      <c r="C10" s="14">
        <f>2*C9</f>
        <v/>
      </c>
      <c r="D10" s="12" t="inlineStr">
        <is>
          <t>m</t>
        </is>
      </c>
      <c r="E10" s="9" t="inlineStr">
        <is>
          <t>Diámetro nominal D = 2*R</t>
        </is>
      </c>
    </row>
    <row r="11">
      <c r="A11" s="9" t="inlineStr">
        <is>
          <t>Longitud / Altura del Rotor</t>
        </is>
      </c>
      <c r="B11" s="10" t="inlineStr">
        <is>
          <t>H</t>
        </is>
      </c>
      <c r="C11" s="13" t="n">
        <v>10</v>
      </c>
      <c r="D11" s="12" t="inlineStr">
        <is>
          <t>m</t>
        </is>
      </c>
      <c r="E11" s="9" t="inlineStr">
        <is>
          <t>Envergadura del rotor</t>
        </is>
      </c>
    </row>
    <row r="12">
      <c r="A12" s="9" t="inlineStr">
        <is>
          <t>Área Frontal Proyectada</t>
        </is>
      </c>
      <c r="B12" s="10" t="inlineStr">
        <is>
          <t>A_proj</t>
        </is>
      </c>
      <c r="C12" s="14">
        <f>C10*C11</f>
        <v/>
      </c>
      <c r="D12" s="12" t="inlineStr">
        <is>
          <t>m²</t>
        </is>
      </c>
      <c r="E12" s="9" t="inlineStr">
        <is>
          <t>Área de referencia A = D * H</t>
        </is>
      </c>
    </row>
    <row r="13">
      <c r="A13" s="9" t="inlineStr">
        <is>
          <t>Presión Dinámica del Flujo</t>
        </is>
      </c>
      <c r="B13" s="10" t="inlineStr">
        <is>
          <t>q_inf</t>
        </is>
      </c>
      <c r="C13" s="14">
        <f>0.5*C6*C8^2</f>
        <v/>
      </c>
      <c r="D13" s="12" t="inlineStr">
        <is>
          <t>Pa</t>
        </is>
      </c>
      <c r="E13" s="9" t="inlineStr">
        <is>
          <t>q = 0.5 * rho * U_inf²</t>
        </is>
      </c>
    </row>
    <row r="14">
      <c r="A14" s="9" t="inlineStr">
        <is>
          <t>Número de Reynolds</t>
        </is>
      </c>
      <c r="B14" s="10" t="inlineStr">
        <is>
          <t>Re</t>
        </is>
      </c>
      <c r="C14" s="15">
        <f>(C8*C10)/C7</f>
        <v/>
      </c>
      <c r="D14" s="12" t="inlineStr">
        <is>
          <t>-</t>
        </is>
      </c>
      <c r="E14" s="9" t="inlineStr">
        <is>
          <t>Re = (U_inf * D) / nu (Flujo turbulento)</t>
        </is>
      </c>
    </row>
    <row r="15">
      <c r="A15" s="9" t="inlineStr">
        <is>
          <t>Velocidad Angular Base</t>
        </is>
      </c>
      <c r="B15" s="10" t="inlineStr">
        <is>
          <t>omega_ref</t>
        </is>
      </c>
      <c r="C15" s="16" t="n">
        <v>20</v>
      </c>
      <c r="D15" s="12" t="inlineStr">
        <is>
          <t>rad/s</t>
        </is>
      </c>
      <c r="E15" s="9" t="inlineStr">
        <is>
          <t>Velocidad de rotación angular de referencia</t>
        </is>
      </c>
    </row>
    <row r="16">
      <c r="A16" s="9" t="inlineStr">
        <is>
          <t>RPM de Referencia</t>
        </is>
      </c>
      <c r="B16" s="10" t="inlineStr">
        <is>
          <t>RPM_ref</t>
        </is>
      </c>
      <c r="C16" s="17">
        <f>(C15*60)/(2*PI())</f>
        <v/>
      </c>
      <c r="D16" s="12" t="inlineStr">
        <is>
          <t>RPM</t>
        </is>
      </c>
      <c r="E16" s="9" t="inlineStr">
        <is>
          <t>Frecuencia de rotación en revoluciones/min</t>
        </is>
      </c>
    </row>
    <row r="17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7" customWidth="1" min="2" max="2"/>
    <col width="17" customWidth="1" min="3" max="3"/>
    <col width="27" customWidth="1" min="4" max="4"/>
    <col width="24" customWidth="1" min="5" max="5"/>
    <col width="20" customWidth="1" min="6" max="6"/>
    <col width="17" customWidth="1" min="7" max="7"/>
    <col width="17" customWidth="1" min="8" max="8"/>
    <col width="22" customWidth="1" min="9" max="9"/>
    <col width="21" customWidth="1" min="10" max="10"/>
    <col width="23" customWidth="1" min="11" max="11"/>
    <col width="19" customWidth="1" min="12" max="12"/>
    <col width="21" customWidth="1" min="13" max="13"/>
  </cols>
  <sheetData>
    <row r="1">
      <c r="A1" s="1" t="inlineStr">
        <is>
          <t>BARRIDO DE PARÁMETRO DE GIRO (SPIN RATIO ALPHA) Y SUSTENTACIÓN</t>
        </is>
      </c>
    </row>
    <row r="2">
      <c r="A2" s="3" t="inlineStr">
        <is>
          <t>Comparativa Teórica Kutta-Joukowski vs Sustentación Real Viscosa Saturada</t>
        </is>
      </c>
    </row>
    <row r="3"/>
    <row r="4" ht="28" customHeight="1">
      <c r="A4" s="18" t="inlineStr">
        <is>
          <t>Spin Ratio (alpha)</t>
        </is>
      </c>
      <c r="B4" s="18" t="inlineStr">
        <is>
          <t>Omega (rad/s)</t>
        </is>
      </c>
      <c r="C4" s="18" t="inlineStr">
        <is>
          <t>Rotor (RPM)</t>
        </is>
      </c>
      <c r="D4" s="18" t="inlineStr">
        <is>
          <t>Circulación Gamma (m²/s)</t>
        </is>
      </c>
      <c r="E4" s="18" t="inlineStr">
        <is>
          <t>CL Ideal (2*pi*alpha)</t>
        </is>
      </c>
      <c r="F4" s="18" t="inlineStr">
        <is>
          <t>CL Real (Viscoso)</t>
        </is>
      </c>
      <c r="G4" s="18" t="inlineStr">
        <is>
          <t>CD Real</t>
        </is>
      </c>
      <c r="H4" s="18" t="inlineStr">
        <is>
          <t>Eficiencia L/D</t>
        </is>
      </c>
      <c r="I4" s="18" t="inlineStr">
        <is>
          <t>Sustentación L (kN)</t>
        </is>
      </c>
      <c r="J4" s="18" t="inlineStr">
        <is>
          <t>Resistencia D (kN)</t>
        </is>
      </c>
      <c r="K4" s="18" t="inlineStr">
        <is>
          <t>Estado Estancamiento</t>
        </is>
      </c>
      <c r="L4" s="18" t="inlineStr">
        <is>
          <t>Ángulo Theta (°)</t>
        </is>
      </c>
      <c r="M4" s="18" t="inlineStr">
        <is>
          <t>Radio Silla (rs/R)</t>
        </is>
      </c>
    </row>
    <row r="5">
      <c r="A5" s="19" t="n">
        <v>0</v>
      </c>
      <c r="B5" s="20">
        <f>A5*Parametros_del_Rotor!$C$8/Parametros_del_Rotor!$C$9</f>
        <v/>
      </c>
      <c r="C5" s="19">
        <f>(B5*60)/(2*PI())</f>
        <v/>
      </c>
      <c r="D5" s="20">
        <f>2*PI()*Parametros_del_Rotor!$C$9*Parametros_del_Rotor!$C$8*A5</f>
        <v/>
      </c>
      <c r="E5" s="20">
        <f>2*PI()*A5</f>
        <v/>
      </c>
      <c r="F5" s="20">
        <f>IF(A5=0, 0, (2*PI()*A5)/(1+0.16*(A5^1.32)))</f>
        <v/>
      </c>
      <c r="G5" s="20">
        <f>0.48+0.32*(A5^1.22)</f>
        <v/>
      </c>
      <c r="H5" s="20">
        <f>F5/G5</f>
        <v/>
      </c>
      <c r="I5" s="20">
        <f>(Parametros_del_Rotor!$C$13*Parametros_del_Rotor!$C$12*F5)/1000</f>
        <v/>
      </c>
      <c r="J5" s="20">
        <f>(Parametros_del_Rotor!$C$13*Parametros_del_Rotor!$C$12*G5)/1000</f>
        <v/>
      </c>
      <c r="K5" s="9">
        <f>IF(A5&lt;1.99, "SUPERFICIE (DOBLE)", IF(A5&lt;=2.05, "CRÍTICO (FONDO)", "DESPRENDIDO (SILLA)"))</f>
        <v/>
      </c>
      <c r="L5" s="19">
        <f>IF(A5&lt;=2, -DEGREES(ASIN(A5/2)), "-")</f>
        <v/>
      </c>
      <c r="M5" s="20">
        <f>IF(A5&gt;2, (A5+SQRT(A5^2-4))/2, 1.0)</f>
        <v/>
      </c>
    </row>
    <row r="6">
      <c r="A6" s="21" t="n">
        <v>0.2</v>
      </c>
      <c r="B6" s="22">
        <f>A6*Parametros_del_Rotor!$C$8/Parametros_del_Rotor!$C$9</f>
        <v/>
      </c>
      <c r="C6" s="21">
        <f>(B6*60)/(2*PI())</f>
        <v/>
      </c>
      <c r="D6" s="22">
        <f>2*PI()*Parametros_del_Rotor!$C$9*Parametros_del_Rotor!$C$8*A6</f>
        <v/>
      </c>
      <c r="E6" s="22">
        <f>2*PI()*A6</f>
        <v/>
      </c>
      <c r="F6" s="22">
        <f>IF(A6=0, 0, (2*PI()*A6)/(1+0.16*(A6^1.32)))</f>
        <v/>
      </c>
      <c r="G6" s="22">
        <f>0.48+0.32*(A6^1.22)</f>
        <v/>
      </c>
      <c r="H6" s="22">
        <f>F6/G6</f>
        <v/>
      </c>
      <c r="I6" s="22">
        <f>(Parametros_del_Rotor!$C$13*Parametros_del_Rotor!$C$12*F6)/1000</f>
        <v/>
      </c>
      <c r="J6" s="22">
        <f>(Parametros_del_Rotor!$C$13*Parametros_del_Rotor!$C$12*G6)/1000</f>
        <v/>
      </c>
      <c r="K6" s="5">
        <f>IF(A6&lt;1.99, "SUPERFICIE (DOBLE)", IF(A6&lt;=2.05, "CRÍTICO (FONDO)", "DESPRENDIDO (SILLA)"))</f>
        <v/>
      </c>
      <c r="L6" s="21">
        <f>IF(A6&lt;=2, -DEGREES(ASIN(A6/2)), "-")</f>
        <v/>
      </c>
      <c r="M6" s="22">
        <f>IF(A6&gt;2, (A6+SQRT(A6^2-4))/2, 1.0)</f>
        <v/>
      </c>
    </row>
    <row r="7">
      <c r="A7" s="19" t="n">
        <v>0.5</v>
      </c>
      <c r="B7" s="20">
        <f>A7*Parametros_del_Rotor!$C$8/Parametros_del_Rotor!$C$9</f>
        <v/>
      </c>
      <c r="C7" s="19">
        <f>(B7*60)/(2*PI())</f>
        <v/>
      </c>
      <c r="D7" s="20">
        <f>2*PI()*Parametros_del_Rotor!$C$9*Parametros_del_Rotor!$C$8*A7</f>
        <v/>
      </c>
      <c r="E7" s="20">
        <f>2*PI()*A7</f>
        <v/>
      </c>
      <c r="F7" s="20">
        <f>IF(A7=0, 0, (2*PI()*A7)/(1+0.16*(A7^1.32)))</f>
        <v/>
      </c>
      <c r="G7" s="20">
        <f>0.48+0.32*(A7^1.22)</f>
        <v/>
      </c>
      <c r="H7" s="20">
        <f>F7/G7</f>
        <v/>
      </c>
      <c r="I7" s="20">
        <f>(Parametros_del_Rotor!$C$13*Parametros_del_Rotor!$C$12*F7)/1000</f>
        <v/>
      </c>
      <c r="J7" s="20">
        <f>(Parametros_del_Rotor!$C$13*Parametros_del_Rotor!$C$12*G7)/1000</f>
        <v/>
      </c>
      <c r="K7" s="9">
        <f>IF(A7&lt;1.99, "SUPERFICIE (DOBLE)", IF(A7&lt;=2.05, "CRÍTICO (FONDO)", "DESPRENDIDO (SILLA)"))</f>
        <v/>
      </c>
      <c r="L7" s="19">
        <f>IF(A7&lt;=2, -DEGREES(ASIN(A7/2)), "-")</f>
        <v/>
      </c>
      <c r="M7" s="20">
        <f>IF(A7&gt;2, (A7+SQRT(A7^2-4))/2, 1.0)</f>
        <v/>
      </c>
    </row>
    <row r="8">
      <c r="A8" s="21" t="n">
        <v>0.8</v>
      </c>
      <c r="B8" s="22">
        <f>A8*Parametros_del_Rotor!$C$8/Parametros_del_Rotor!$C$9</f>
        <v/>
      </c>
      <c r="C8" s="21">
        <f>(B8*60)/(2*PI())</f>
        <v/>
      </c>
      <c r="D8" s="22">
        <f>2*PI()*Parametros_del_Rotor!$C$9*Parametros_del_Rotor!$C$8*A8</f>
        <v/>
      </c>
      <c r="E8" s="22">
        <f>2*PI()*A8</f>
        <v/>
      </c>
      <c r="F8" s="22">
        <f>IF(A8=0, 0, (2*PI()*A8)/(1+0.16*(A8^1.32)))</f>
        <v/>
      </c>
      <c r="G8" s="22">
        <f>0.48+0.32*(A8^1.22)</f>
        <v/>
      </c>
      <c r="H8" s="22">
        <f>F8/G8</f>
        <v/>
      </c>
      <c r="I8" s="22">
        <f>(Parametros_del_Rotor!$C$13*Parametros_del_Rotor!$C$12*F8)/1000</f>
        <v/>
      </c>
      <c r="J8" s="22">
        <f>(Parametros_del_Rotor!$C$13*Parametros_del_Rotor!$C$12*G8)/1000</f>
        <v/>
      </c>
      <c r="K8" s="5">
        <f>IF(A8&lt;1.99, "SUPERFICIE (DOBLE)", IF(A8&lt;=2.05, "CRÍTICO (FONDO)", "DESPRENDIDO (SILLA)"))</f>
        <v/>
      </c>
      <c r="L8" s="21">
        <f>IF(A8&lt;=2, -DEGREES(ASIN(A8/2)), "-")</f>
        <v/>
      </c>
      <c r="M8" s="22">
        <f>IF(A8&gt;2, (A8+SQRT(A8^2-4))/2, 1.0)</f>
        <v/>
      </c>
    </row>
    <row r="9">
      <c r="A9" s="19" t="n">
        <v>1</v>
      </c>
      <c r="B9" s="20">
        <f>A9*Parametros_del_Rotor!$C$8/Parametros_del_Rotor!$C$9</f>
        <v/>
      </c>
      <c r="C9" s="19">
        <f>(B9*60)/(2*PI())</f>
        <v/>
      </c>
      <c r="D9" s="20">
        <f>2*PI()*Parametros_del_Rotor!$C$9*Parametros_del_Rotor!$C$8*A9</f>
        <v/>
      </c>
      <c r="E9" s="20">
        <f>2*PI()*A9</f>
        <v/>
      </c>
      <c r="F9" s="20">
        <f>IF(A9=0, 0, (2*PI()*A9)/(1+0.16*(A9^1.32)))</f>
        <v/>
      </c>
      <c r="G9" s="20">
        <f>0.48+0.32*(A9^1.22)</f>
        <v/>
      </c>
      <c r="H9" s="20">
        <f>F9/G9</f>
        <v/>
      </c>
      <c r="I9" s="20">
        <f>(Parametros_del_Rotor!$C$13*Parametros_del_Rotor!$C$12*F9)/1000</f>
        <v/>
      </c>
      <c r="J9" s="20">
        <f>(Parametros_del_Rotor!$C$13*Parametros_del_Rotor!$C$12*G9)/1000</f>
        <v/>
      </c>
      <c r="K9" s="9">
        <f>IF(A9&lt;1.99, "SUPERFICIE (DOBLE)", IF(A9&lt;=2.05, "CRÍTICO (FONDO)", "DESPRENDIDO (SILLA)"))</f>
        <v/>
      </c>
      <c r="L9" s="19">
        <f>IF(A9&lt;=2, -DEGREES(ASIN(A9/2)), "-")</f>
        <v/>
      </c>
      <c r="M9" s="20">
        <f>IF(A9&gt;2, (A9+SQRT(A9^2-4))/2, 1.0)</f>
        <v/>
      </c>
    </row>
    <row r="10">
      <c r="A10" s="21" t="n">
        <v>1.2</v>
      </c>
      <c r="B10" s="22">
        <f>A10*Parametros_del_Rotor!$C$8/Parametros_del_Rotor!$C$9</f>
        <v/>
      </c>
      <c r="C10" s="21">
        <f>(B10*60)/(2*PI())</f>
        <v/>
      </c>
      <c r="D10" s="22">
        <f>2*PI()*Parametros_del_Rotor!$C$9*Parametros_del_Rotor!$C$8*A10</f>
        <v/>
      </c>
      <c r="E10" s="22">
        <f>2*PI()*A10</f>
        <v/>
      </c>
      <c r="F10" s="22">
        <f>IF(A10=0, 0, (2*PI()*A10)/(1+0.16*(A10^1.32)))</f>
        <v/>
      </c>
      <c r="G10" s="22">
        <f>0.48+0.32*(A10^1.22)</f>
        <v/>
      </c>
      <c r="H10" s="22">
        <f>F10/G10</f>
        <v/>
      </c>
      <c r="I10" s="22">
        <f>(Parametros_del_Rotor!$C$13*Parametros_del_Rotor!$C$12*F10)/1000</f>
        <v/>
      </c>
      <c r="J10" s="22">
        <f>(Parametros_del_Rotor!$C$13*Parametros_del_Rotor!$C$12*G10)/1000</f>
        <v/>
      </c>
      <c r="K10" s="5">
        <f>IF(A10&lt;1.99, "SUPERFICIE (DOBLE)", IF(A10&lt;=2.05, "CRÍTICO (FONDO)", "DESPRENDIDO (SILLA)"))</f>
        <v/>
      </c>
      <c r="L10" s="21">
        <f>IF(A10&lt;=2, -DEGREES(ASIN(A10/2)), "-")</f>
        <v/>
      </c>
      <c r="M10" s="22">
        <f>IF(A10&gt;2, (A10+SQRT(A10^2-4))/2, 1.0)</f>
        <v/>
      </c>
    </row>
    <row r="11">
      <c r="A11" s="19" t="n">
        <v>1.5</v>
      </c>
      <c r="B11" s="20">
        <f>A11*Parametros_del_Rotor!$C$8/Parametros_del_Rotor!$C$9</f>
        <v/>
      </c>
      <c r="C11" s="19">
        <f>(B11*60)/(2*PI())</f>
        <v/>
      </c>
      <c r="D11" s="20">
        <f>2*PI()*Parametros_del_Rotor!$C$9*Parametros_del_Rotor!$C$8*A11</f>
        <v/>
      </c>
      <c r="E11" s="20">
        <f>2*PI()*A11</f>
        <v/>
      </c>
      <c r="F11" s="20">
        <f>IF(A11=0, 0, (2*PI()*A11)/(1+0.16*(A11^1.32)))</f>
        <v/>
      </c>
      <c r="G11" s="20">
        <f>0.48+0.32*(A11^1.22)</f>
        <v/>
      </c>
      <c r="H11" s="20">
        <f>F11/G11</f>
        <v/>
      </c>
      <c r="I11" s="20">
        <f>(Parametros_del_Rotor!$C$13*Parametros_del_Rotor!$C$12*F11)/1000</f>
        <v/>
      </c>
      <c r="J11" s="20">
        <f>(Parametros_del_Rotor!$C$13*Parametros_del_Rotor!$C$12*G11)/1000</f>
        <v/>
      </c>
      <c r="K11" s="9">
        <f>IF(A11&lt;1.99, "SUPERFICIE (DOBLE)", IF(A11&lt;=2.05, "CRÍTICO (FONDO)", "DESPRENDIDO (SILLA)"))</f>
        <v/>
      </c>
      <c r="L11" s="19">
        <f>IF(A11&lt;=2, -DEGREES(ASIN(A11/2)), "-")</f>
        <v/>
      </c>
      <c r="M11" s="20">
        <f>IF(A11&gt;2, (A11+SQRT(A11^2-4))/2, 1.0)</f>
        <v/>
      </c>
    </row>
    <row r="12">
      <c r="A12" s="21" t="n">
        <v>1.8</v>
      </c>
      <c r="B12" s="22">
        <f>A12*Parametros_del_Rotor!$C$8/Parametros_del_Rotor!$C$9</f>
        <v/>
      </c>
      <c r="C12" s="21">
        <f>(B12*60)/(2*PI())</f>
        <v/>
      </c>
      <c r="D12" s="22">
        <f>2*PI()*Parametros_del_Rotor!$C$9*Parametros_del_Rotor!$C$8*A12</f>
        <v/>
      </c>
      <c r="E12" s="22">
        <f>2*PI()*A12</f>
        <v/>
      </c>
      <c r="F12" s="22">
        <f>IF(A12=0, 0, (2*PI()*A12)/(1+0.16*(A12^1.32)))</f>
        <v/>
      </c>
      <c r="G12" s="22">
        <f>0.48+0.32*(A12^1.22)</f>
        <v/>
      </c>
      <c r="H12" s="22">
        <f>F12/G12</f>
        <v/>
      </c>
      <c r="I12" s="22">
        <f>(Parametros_del_Rotor!$C$13*Parametros_del_Rotor!$C$12*F12)/1000</f>
        <v/>
      </c>
      <c r="J12" s="22">
        <f>(Parametros_del_Rotor!$C$13*Parametros_del_Rotor!$C$12*G12)/1000</f>
        <v/>
      </c>
      <c r="K12" s="5">
        <f>IF(A12&lt;1.99, "SUPERFICIE (DOBLE)", IF(A12&lt;=2.05, "CRÍTICO (FONDO)", "DESPRENDIDO (SILLA)"))</f>
        <v/>
      </c>
      <c r="L12" s="21">
        <f>IF(A12&lt;=2, -DEGREES(ASIN(A12/2)), "-")</f>
        <v/>
      </c>
      <c r="M12" s="22">
        <f>IF(A12&gt;2, (A12+SQRT(A12^2-4))/2, 1.0)</f>
        <v/>
      </c>
    </row>
    <row r="13">
      <c r="A13" s="19" t="n">
        <v>2</v>
      </c>
      <c r="B13" s="20">
        <f>A13*Parametros_del_Rotor!$C$8/Parametros_del_Rotor!$C$9</f>
        <v/>
      </c>
      <c r="C13" s="19">
        <f>(B13*60)/(2*PI())</f>
        <v/>
      </c>
      <c r="D13" s="20">
        <f>2*PI()*Parametros_del_Rotor!$C$9*Parametros_del_Rotor!$C$8*A13</f>
        <v/>
      </c>
      <c r="E13" s="20">
        <f>2*PI()*A13</f>
        <v/>
      </c>
      <c r="F13" s="20">
        <f>IF(A13=0, 0, (2*PI()*A13)/(1+0.16*(A13^1.32)))</f>
        <v/>
      </c>
      <c r="G13" s="20">
        <f>0.48+0.32*(A13^1.22)</f>
        <v/>
      </c>
      <c r="H13" s="20">
        <f>F13/G13</f>
        <v/>
      </c>
      <c r="I13" s="20">
        <f>(Parametros_del_Rotor!$C$13*Parametros_del_Rotor!$C$12*F13)/1000</f>
        <v/>
      </c>
      <c r="J13" s="20">
        <f>(Parametros_del_Rotor!$C$13*Parametros_del_Rotor!$C$12*G13)/1000</f>
        <v/>
      </c>
      <c r="K13" s="9">
        <f>IF(A13&lt;1.99, "SUPERFICIE (DOBLE)", IF(A13&lt;=2.05, "CRÍTICO (FONDO)", "DESPRENDIDO (SILLA)"))</f>
        <v/>
      </c>
      <c r="L13" s="19">
        <f>IF(A13&lt;=2, -DEGREES(ASIN(A13/2)), "-")</f>
        <v/>
      </c>
      <c r="M13" s="20">
        <f>IF(A13&gt;2, (A13+SQRT(A13^2-4))/2, 1.0)</f>
        <v/>
      </c>
    </row>
    <row r="14">
      <c r="A14" s="21" t="n">
        <v>2.2</v>
      </c>
      <c r="B14" s="22">
        <f>A14*Parametros_del_Rotor!$C$8/Parametros_del_Rotor!$C$9</f>
        <v/>
      </c>
      <c r="C14" s="21">
        <f>(B14*60)/(2*PI())</f>
        <v/>
      </c>
      <c r="D14" s="22">
        <f>2*PI()*Parametros_del_Rotor!$C$9*Parametros_del_Rotor!$C$8*A14</f>
        <v/>
      </c>
      <c r="E14" s="22">
        <f>2*PI()*A14</f>
        <v/>
      </c>
      <c r="F14" s="22">
        <f>IF(A14=0, 0, (2*PI()*A14)/(1+0.16*(A14^1.32)))</f>
        <v/>
      </c>
      <c r="G14" s="22">
        <f>0.48+0.32*(A14^1.22)</f>
        <v/>
      </c>
      <c r="H14" s="22">
        <f>F14/G14</f>
        <v/>
      </c>
      <c r="I14" s="22">
        <f>(Parametros_del_Rotor!$C$13*Parametros_del_Rotor!$C$12*F14)/1000</f>
        <v/>
      </c>
      <c r="J14" s="22">
        <f>(Parametros_del_Rotor!$C$13*Parametros_del_Rotor!$C$12*G14)/1000</f>
        <v/>
      </c>
      <c r="K14" s="5">
        <f>IF(A14&lt;1.99, "SUPERFICIE (DOBLE)", IF(A14&lt;=2.05, "CRÍTICO (FONDO)", "DESPRENDIDO (SILLA)"))</f>
        <v/>
      </c>
      <c r="L14" s="21">
        <f>IF(A14&lt;=2, -DEGREES(ASIN(A14/2)), "-")</f>
        <v/>
      </c>
      <c r="M14" s="22">
        <f>IF(A14&gt;2, (A14+SQRT(A14^2-4))/2, 1.0)</f>
        <v/>
      </c>
    </row>
    <row r="15">
      <c r="A15" s="19" t="n">
        <v>2.5</v>
      </c>
      <c r="B15" s="20">
        <f>A15*Parametros_del_Rotor!$C$8/Parametros_del_Rotor!$C$9</f>
        <v/>
      </c>
      <c r="C15" s="19">
        <f>(B15*60)/(2*PI())</f>
        <v/>
      </c>
      <c r="D15" s="20">
        <f>2*PI()*Parametros_del_Rotor!$C$9*Parametros_del_Rotor!$C$8*A15</f>
        <v/>
      </c>
      <c r="E15" s="20">
        <f>2*PI()*A15</f>
        <v/>
      </c>
      <c r="F15" s="20">
        <f>IF(A15=0, 0, (2*PI()*A15)/(1+0.16*(A15^1.32)))</f>
        <v/>
      </c>
      <c r="G15" s="20">
        <f>0.48+0.32*(A15^1.22)</f>
        <v/>
      </c>
      <c r="H15" s="20">
        <f>F15/G15</f>
        <v/>
      </c>
      <c r="I15" s="20">
        <f>(Parametros_del_Rotor!$C$13*Parametros_del_Rotor!$C$12*F15)/1000</f>
        <v/>
      </c>
      <c r="J15" s="20">
        <f>(Parametros_del_Rotor!$C$13*Parametros_del_Rotor!$C$12*G15)/1000</f>
        <v/>
      </c>
      <c r="K15" s="9">
        <f>IF(A15&lt;1.99, "SUPERFICIE (DOBLE)", IF(A15&lt;=2.05, "CRÍTICO (FONDO)", "DESPRENDIDO (SILLA)"))</f>
        <v/>
      </c>
      <c r="L15" s="19">
        <f>IF(A15&lt;=2, -DEGREES(ASIN(A15/2)), "-")</f>
        <v/>
      </c>
      <c r="M15" s="20">
        <f>IF(A15&gt;2, (A15+SQRT(A15^2-4))/2, 1.0)</f>
        <v/>
      </c>
    </row>
    <row r="16">
      <c r="A16" s="21" t="n">
        <v>2.8</v>
      </c>
      <c r="B16" s="22">
        <f>A16*Parametros_del_Rotor!$C$8/Parametros_del_Rotor!$C$9</f>
        <v/>
      </c>
      <c r="C16" s="21">
        <f>(B16*60)/(2*PI())</f>
        <v/>
      </c>
      <c r="D16" s="22">
        <f>2*PI()*Parametros_del_Rotor!$C$9*Parametros_del_Rotor!$C$8*A16</f>
        <v/>
      </c>
      <c r="E16" s="22">
        <f>2*PI()*A16</f>
        <v/>
      </c>
      <c r="F16" s="22">
        <f>IF(A16=0, 0, (2*PI()*A16)/(1+0.16*(A16^1.32)))</f>
        <v/>
      </c>
      <c r="G16" s="22">
        <f>0.48+0.32*(A16^1.22)</f>
        <v/>
      </c>
      <c r="H16" s="22">
        <f>F16/G16</f>
        <v/>
      </c>
      <c r="I16" s="22">
        <f>(Parametros_del_Rotor!$C$13*Parametros_del_Rotor!$C$12*F16)/1000</f>
        <v/>
      </c>
      <c r="J16" s="22">
        <f>(Parametros_del_Rotor!$C$13*Parametros_del_Rotor!$C$12*G16)/1000</f>
        <v/>
      </c>
      <c r="K16" s="5">
        <f>IF(A16&lt;1.99, "SUPERFICIE (DOBLE)", IF(A16&lt;=2.05, "CRÍTICO (FONDO)", "DESPRENDIDO (SILLA)"))</f>
        <v/>
      </c>
      <c r="L16" s="21">
        <f>IF(A16&lt;=2, -DEGREES(ASIN(A16/2)), "-")</f>
        <v/>
      </c>
      <c r="M16" s="22">
        <f>IF(A16&gt;2, (A16+SQRT(A16^2-4))/2, 1.0)</f>
        <v/>
      </c>
    </row>
    <row r="17">
      <c r="A17" s="19" t="n">
        <v>3</v>
      </c>
      <c r="B17" s="20">
        <f>A17*Parametros_del_Rotor!$C$8/Parametros_del_Rotor!$C$9</f>
        <v/>
      </c>
      <c r="C17" s="19">
        <f>(B17*60)/(2*PI())</f>
        <v/>
      </c>
      <c r="D17" s="20">
        <f>2*PI()*Parametros_del_Rotor!$C$9*Parametros_del_Rotor!$C$8*A17</f>
        <v/>
      </c>
      <c r="E17" s="20">
        <f>2*PI()*A17</f>
        <v/>
      </c>
      <c r="F17" s="20">
        <f>IF(A17=0, 0, (2*PI()*A17)/(1+0.16*(A17^1.32)))</f>
        <v/>
      </c>
      <c r="G17" s="20">
        <f>0.48+0.32*(A17^1.22)</f>
        <v/>
      </c>
      <c r="H17" s="20">
        <f>F17/G17</f>
        <v/>
      </c>
      <c r="I17" s="20">
        <f>(Parametros_del_Rotor!$C$13*Parametros_del_Rotor!$C$12*F17)/1000</f>
        <v/>
      </c>
      <c r="J17" s="20">
        <f>(Parametros_del_Rotor!$C$13*Parametros_del_Rotor!$C$12*G17)/1000</f>
        <v/>
      </c>
      <c r="K17" s="9">
        <f>IF(A17&lt;1.99, "SUPERFICIE (DOBLE)", IF(A17&lt;=2.05, "CRÍTICO (FONDO)", "DESPRENDIDO (SILLA)"))</f>
        <v/>
      </c>
      <c r="L17" s="19">
        <f>IF(A17&lt;=2, -DEGREES(ASIN(A17/2)), "-")</f>
        <v/>
      </c>
      <c r="M17" s="20">
        <f>IF(A17&gt;2, (A17+SQRT(A17^2-4))/2, 1.0)</f>
        <v/>
      </c>
    </row>
    <row r="18">
      <c r="A18" s="21" t="n">
        <v>3.2</v>
      </c>
      <c r="B18" s="22">
        <f>A18*Parametros_del_Rotor!$C$8/Parametros_del_Rotor!$C$9</f>
        <v/>
      </c>
      <c r="C18" s="21">
        <f>(B18*60)/(2*PI())</f>
        <v/>
      </c>
      <c r="D18" s="22">
        <f>2*PI()*Parametros_del_Rotor!$C$9*Parametros_del_Rotor!$C$8*A18</f>
        <v/>
      </c>
      <c r="E18" s="22">
        <f>2*PI()*A18</f>
        <v/>
      </c>
      <c r="F18" s="22">
        <f>IF(A18=0, 0, (2*PI()*A18)/(1+0.16*(A18^1.32)))</f>
        <v/>
      </c>
      <c r="G18" s="22">
        <f>0.48+0.32*(A18^1.22)</f>
        <v/>
      </c>
      <c r="H18" s="22">
        <f>F18/G18</f>
        <v/>
      </c>
      <c r="I18" s="22">
        <f>(Parametros_del_Rotor!$C$13*Parametros_del_Rotor!$C$12*F18)/1000</f>
        <v/>
      </c>
      <c r="J18" s="22">
        <f>(Parametros_del_Rotor!$C$13*Parametros_del_Rotor!$C$12*G18)/1000</f>
        <v/>
      </c>
      <c r="K18" s="5">
        <f>IF(A18&lt;1.99, "SUPERFICIE (DOBLE)", IF(A18&lt;=2.05, "CRÍTICO (FONDO)", "DESPRENDIDO (SILLA)"))</f>
        <v/>
      </c>
      <c r="L18" s="21">
        <f>IF(A18&lt;=2, -DEGREES(ASIN(A18/2)), "-")</f>
        <v/>
      </c>
      <c r="M18" s="22">
        <f>IF(A18&gt;2, (A18+SQRT(A18^2-4))/2, 1.0)</f>
        <v/>
      </c>
    </row>
    <row r="19">
      <c r="A19" s="19" t="n">
        <v>3.5</v>
      </c>
      <c r="B19" s="20">
        <f>A19*Parametros_del_Rotor!$C$8/Parametros_del_Rotor!$C$9</f>
        <v/>
      </c>
      <c r="C19" s="19">
        <f>(B19*60)/(2*PI())</f>
        <v/>
      </c>
      <c r="D19" s="20">
        <f>2*PI()*Parametros_del_Rotor!$C$9*Parametros_del_Rotor!$C$8*A19</f>
        <v/>
      </c>
      <c r="E19" s="20">
        <f>2*PI()*A19</f>
        <v/>
      </c>
      <c r="F19" s="20">
        <f>IF(A19=0, 0, (2*PI()*A19)/(1+0.16*(A19^1.32)))</f>
        <v/>
      </c>
      <c r="G19" s="20">
        <f>0.48+0.32*(A19^1.22)</f>
        <v/>
      </c>
      <c r="H19" s="20">
        <f>F19/G19</f>
        <v/>
      </c>
      <c r="I19" s="20">
        <f>(Parametros_del_Rotor!$C$13*Parametros_del_Rotor!$C$12*F19)/1000</f>
        <v/>
      </c>
      <c r="J19" s="20">
        <f>(Parametros_del_Rotor!$C$13*Parametros_del_Rotor!$C$12*G19)/1000</f>
        <v/>
      </c>
      <c r="K19" s="9">
        <f>IF(A19&lt;1.99, "SUPERFICIE (DOBLE)", IF(A19&lt;=2.05, "CRÍTICO (FONDO)", "DESPRENDIDO (SILLA)"))</f>
        <v/>
      </c>
      <c r="L19" s="19">
        <f>IF(A19&lt;=2, -DEGREES(ASIN(A19/2)), "-")</f>
        <v/>
      </c>
      <c r="M19" s="20">
        <f>IF(A19&gt;2, (A19+SQRT(A19^2-4))/2, 1.0)</f>
        <v/>
      </c>
    </row>
    <row r="20">
      <c r="A20" s="21" t="n">
        <v>4</v>
      </c>
      <c r="B20" s="22">
        <f>A20*Parametros_del_Rotor!$C$8/Parametros_del_Rotor!$C$9</f>
        <v/>
      </c>
      <c r="C20" s="21">
        <f>(B20*60)/(2*PI())</f>
        <v/>
      </c>
      <c r="D20" s="22">
        <f>2*PI()*Parametros_del_Rotor!$C$9*Parametros_del_Rotor!$C$8*A20</f>
        <v/>
      </c>
      <c r="E20" s="22">
        <f>2*PI()*A20</f>
        <v/>
      </c>
      <c r="F20" s="22">
        <f>IF(A20=0, 0, (2*PI()*A20)/(1+0.16*(A20^1.32)))</f>
        <v/>
      </c>
      <c r="G20" s="22">
        <f>0.48+0.32*(A20^1.22)</f>
        <v/>
      </c>
      <c r="H20" s="22">
        <f>F20/G20</f>
        <v/>
      </c>
      <c r="I20" s="22">
        <f>(Parametros_del_Rotor!$C$13*Parametros_del_Rotor!$C$12*F20)/1000</f>
        <v/>
      </c>
      <c r="J20" s="22">
        <f>(Parametros_del_Rotor!$C$13*Parametros_del_Rotor!$C$12*G20)/1000</f>
        <v/>
      </c>
      <c r="K20" s="5">
        <f>IF(A20&lt;1.99, "SUPERFICIE (DOBLE)", IF(A20&lt;=2.05, "CRÍTICO (FONDO)", "DESPRENDIDO (SILLA)"))</f>
        <v/>
      </c>
      <c r="L20" s="21">
        <f>IF(A20&lt;=2, -DEGREES(ASIN(A20/2)), "-")</f>
        <v/>
      </c>
      <c r="M20" s="22">
        <f>IF(A20&gt;2, (A20+SQRT(A20^2-4))/2, 1.0)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9" customWidth="1" min="2" max="2"/>
    <col width="27" customWidth="1" min="3" max="3"/>
    <col width="15" customWidth="1" min="4" max="4"/>
    <col width="45" customWidth="1" min="5" max="5"/>
  </cols>
  <sheetData>
    <row r="1">
      <c r="A1" s="1" t="inlineStr">
        <is>
          <t>CASO INDUSTRIAL // PROPULSIÓN EÓLICA EN BUQUE ULTRAMAX 50,000 DWT</t>
        </is>
      </c>
    </row>
    <row r="2">
      <c r="A2" s="2" t="inlineStr">
        <is>
          <t>Ahorro de Combustible, Potencia Propulsiva y Descarbonización Marina</t>
        </is>
      </c>
    </row>
    <row r="3">
      <c r="A3" s="3" t="inlineStr">
        <is>
          <t>Cálculo Dinámico de Ahorro con 4 Rotores Flettner de 30m x 5m</t>
        </is>
      </c>
    </row>
    <row r="4"/>
    <row r="5" ht="24" customHeight="1">
      <c r="A5" s="4" t="inlineStr">
        <is>
          <t>Parámetro Operativo / Económico</t>
        </is>
      </c>
      <c r="B5" s="4" t="inlineStr">
        <is>
          <t>Símbolo</t>
        </is>
      </c>
      <c r="C5" s="4" t="inlineStr">
        <is>
          <t>Valor / Fórmula Dinámica</t>
        </is>
      </c>
      <c r="D5" s="4" t="inlineStr">
        <is>
          <t>Unidad</t>
        </is>
      </c>
      <c r="E5" s="4" t="inlineStr">
        <is>
          <t>Descripción</t>
        </is>
      </c>
    </row>
    <row r="6">
      <c r="A6" s="5" t="inlineStr">
        <is>
          <t>Número de Rotores Flettner Instalados</t>
        </is>
      </c>
      <c r="B6" s="6" t="inlineStr">
        <is>
          <t>N_rot</t>
        </is>
      </c>
      <c r="C6" s="5" t="n">
        <v>4</v>
      </c>
      <c r="D6" s="8" t="inlineStr">
        <is>
          <t>unidades</t>
        </is>
      </c>
      <c r="E6" s="5" t="inlineStr">
        <is>
          <t>Cuatro rotores en cubierta</t>
        </is>
      </c>
    </row>
    <row r="7">
      <c r="A7" s="9" t="inlineStr">
        <is>
          <t>Altura de Cada Rotor</t>
        </is>
      </c>
      <c r="B7" s="10" t="inlineStr">
        <is>
          <t>H_rot</t>
        </is>
      </c>
      <c r="C7" s="9" t="n">
        <v>30</v>
      </c>
      <c r="D7" s="12" t="inlineStr">
        <is>
          <t>m</t>
        </is>
      </c>
      <c r="E7" s="9" t="inlineStr">
        <is>
          <t>Altura del cilindro vertical</t>
        </is>
      </c>
    </row>
    <row r="8">
      <c r="A8" s="5" t="inlineStr">
        <is>
          <t>Diámetro de Cada Rotor</t>
        </is>
      </c>
      <c r="B8" s="6" t="inlineStr">
        <is>
          <t>D_rot</t>
        </is>
      </c>
      <c r="C8" s="5" t="n">
        <v>5</v>
      </c>
      <c r="D8" s="8" t="inlineStr">
        <is>
          <t>m</t>
        </is>
      </c>
      <c r="E8" s="5" t="inlineStr">
        <is>
          <t>Diámetro exterior</t>
        </is>
      </c>
    </row>
    <row r="9">
      <c r="A9" s="9" t="inlineStr">
        <is>
          <t>Área Frontal por Rotor</t>
        </is>
      </c>
      <c r="B9" s="10" t="inlineStr">
        <is>
          <t>A_rot</t>
        </is>
      </c>
      <c r="C9" s="23">
        <f>C7*C8</f>
        <v/>
      </c>
      <c r="D9" s="12" t="inlineStr">
        <is>
          <t>m²</t>
        </is>
      </c>
      <c r="E9" s="9" t="inlineStr">
        <is>
          <t>Área proyectada H * D = 150 m²</t>
        </is>
      </c>
    </row>
    <row r="10">
      <c r="A10" s="9" t="inlineStr">
        <is>
          <t>Área Total de Rotores</t>
        </is>
      </c>
      <c r="B10" s="10" t="inlineStr">
        <is>
          <t>A_total</t>
        </is>
      </c>
      <c r="C10" s="23">
        <f>C6*C9</f>
        <v/>
      </c>
      <c r="D10" s="12" t="inlineStr">
        <is>
          <t>m²</t>
        </is>
      </c>
      <c r="E10" s="9" t="inlineStr">
        <is>
          <t>Área total 4 rotores = 600 m²</t>
        </is>
      </c>
    </row>
    <row r="11">
      <c r="A11" s="9" t="inlineStr">
        <is>
          <t>Velocidad de Crucero del Buque</t>
        </is>
      </c>
      <c r="B11" s="10" t="inlineStr">
        <is>
          <t>V_ship_kn</t>
        </is>
      </c>
      <c r="C11" s="9" t="n">
        <v>14</v>
      </c>
      <c r="D11" s="12" t="inlineStr">
        <is>
          <t>nudos</t>
        </is>
      </c>
      <c r="E11" s="9" t="inlineStr">
        <is>
          <t>Velocidad de crucero comercial</t>
        </is>
      </c>
    </row>
    <row r="12">
      <c r="A12" s="9" t="inlineStr">
        <is>
          <t>Velocidad de Crucero en m/s</t>
        </is>
      </c>
      <c r="B12" s="10" t="inlineStr">
        <is>
          <t>V_ship_ms</t>
        </is>
      </c>
      <c r="C12" s="14">
        <f>C11*0.514444</f>
        <v/>
      </c>
      <c r="D12" s="12" t="inlineStr">
        <is>
          <t>m/s</t>
        </is>
      </c>
      <c r="E12" s="9" t="inlineStr">
        <is>
          <t>Conversión a m/s (7.20 m/s)</t>
        </is>
      </c>
    </row>
    <row r="13">
      <c r="A13" s="9" t="inlineStr">
        <is>
          <t>Viento Aparente Relativo Incident</t>
        </is>
      </c>
      <c r="B13" s="10" t="inlineStr">
        <is>
          <t>V_wind</t>
        </is>
      </c>
      <c r="C13" s="9" t="n">
        <v>12</v>
      </c>
      <c r="D13" s="12" t="inlineStr">
        <is>
          <t>m/s</t>
        </is>
      </c>
      <c r="E13" s="9" t="inlineStr">
        <is>
          <t>Viento aparente (Fuerza 6 Beaufort)</t>
        </is>
      </c>
    </row>
    <row r="14">
      <c r="A14" s="5" t="inlineStr">
        <is>
          <t>Ángulo de Viento Aparente</t>
        </is>
      </c>
      <c r="B14" s="6" t="inlineStr">
        <is>
          <t>Beta_wind</t>
        </is>
      </c>
      <c r="C14" s="5" t="n">
        <v>90</v>
      </c>
      <c r="D14" s="8" t="inlineStr">
        <is>
          <t>grados</t>
        </is>
      </c>
      <c r="E14" s="5" t="inlineStr">
        <is>
          <t>Viento de través puro (máximo empuje)</t>
        </is>
      </c>
    </row>
    <row r="15">
      <c r="A15" s="9" t="inlineStr">
        <is>
          <t>Spin Ratio Operativo Objetivo</t>
        </is>
      </c>
      <c r="B15" s="10" t="inlineStr">
        <is>
          <t>alpha_target</t>
        </is>
      </c>
      <c r="C15" s="13" t="n">
        <v>3.2</v>
      </c>
      <c r="D15" s="12" t="inlineStr">
        <is>
          <t>-</t>
        </is>
      </c>
      <c r="E15" s="9" t="inlineStr">
        <is>
          <t>Punto de máxima eficiencia aerodinámica</t>
        </is>
      </c>
    </row>
    <row r="16">
      <c r="A16" s="9" t="inlineStr">
        <is>
          <t>Coeficiente de Sustentación CL</t>
        </is>
      </c>
      <c r="B16" s="10" t="inlineStr">
        <is>
          <t>CL_ship</t>
        </is>
      </c>
      <c r="C16" s="14">
        <f>(2*PI()*C15)/(1+0.16*(C15^1.32))</f>
        <v/>
      </c>
      <c r="D16" s="12" t="inlineStr">
        <is>
          <t>-</t>
        </is>
      </c>
      <c r="E16" s="9" t="inlineStr">
        <is>
          <t>CL saturado viscoso a alpha=3.2</t>
        </is>
      </c>
    </row>
    <row r="17">
      <c r="A17" s="9" t="inlineStr">
        <is>
          <t>Fuerza de Sustentación Neta</t>
        </is>
      </c>
      <c r="B17" s="10" t="inlineStr">
        <is>
          <t>L_total_kN</t>
        </is>
      </c>
      <c r="C17" s="17">
        <f>(0.5*Parametros_del_Rotor!$C$6*C13^2*C10*C16)/1000</f>
        <v/>
      </c>
      <c r="D17" s="12" t="inlineStr">
        <is>
          <t>kN</t>
        </is>
      </c>
      <c r="E17" s="9" t="inlineStr">
        <is>
          <t>Sustentación total 4 rotores</t>
        </is>
      </c>
    </row>
    <row r="18">
      <c r="A18" s="9" t="inlineStr">
        <is>
          <t>Potencia Propulsiva Aportada</t>
        </is>
      </c>
      <c r="B18" s="10" t="inlineStr">
        <is>
          <t>P_prop_kW</t>
        </is>
      </c>
      <c r="C18" s="17">
        <f>C17*C12</f>
        <v/>
      </c>
      <c r="D18" s="12" t="inlineStr">
        <is>
          <t>kW</t>
        </is>
      </c>
      <c r="E18" s="9" t="inlineStr">
        <is>
          <t>P = Empuje * V_ship</t>
        </is>
      </c>
    </row>
    <row r="19">
      <c r="A19" s="9" t="inlineStr">
        <is>
          <t>Potencia del Motor Principal (MCR)</t>
        </is>
      </c>
      <c r="B19" s="10" t="inlineStr">
        <is>
          <t>P_engine_MCR</t>
        </is>
      </c>
      <c r="C19" s="16" t="n">
        <v>7200</v>
      </c>
      <c r="D19" s="12" t="inlineStr">
        <is>
          <t>kW</t>
        </is>
      </c>
      <c r="E19" s="9" t="inlineStr">
        <is>
          <t>Potencia nominal motor 2 tiempos diésel</t>
        </is>
      </c>
    </row>
    <row r="20">
      <c r="A20" s="9" t="inlineStr">
        <is>
          <t>Fracción de Potencia Ahorrada</t>
        </is>
      </c>
      <c r="B20" s="10" t="inlineStr">
        <is>
          <t>Frac_ahorro</t>
        </is>
      </c>
      <c r="C20" s="24">
        <f>C18/C19</f>
        <v/>
      </c>
      <c r="D20" s="12" t="inlineStr">
        <is>
          <t>%</t>
        </is>
      </c>
      <c r="E20" s="9" t="inlineStr">
        <is>
          <t>Porcentaje de potencia diésel reemplazada</t>
        </is>
      </c>
    </row>
    <row r="21">
      <c r="A21" s="9" t="inlineStr">
        <is>
          <t>Consumo Específico de Combustible (SFOC)</t>
        </is>
      </c>
      <c r="B21" s="10" t="inlineStr">
        <is>
          <t>SFOC</t>
        </is>
      </c>
      <c r="C21" s="9" t="n">
        <v>165</v>
      </c>
      <c r="D21" s="12" t="inlineStr">
        <is>
          <t>g/kWh</t>
        </is>
      </c>
      <c r="E21" s="9" t="inlineStr">
        <is>
          <t>Consumo motor marino VLSFO</t>
        </is>
      </c>
    </row>
    <row r="22">
      <c r="A22" s="9" t="inlineStr">
        <is>
          <t>Ahorro de Combustible Diario</t>
        </is>
      </c>
      <c r="B22" s="10" t="inlineStr">
        <is>
          <t>Fuel_day_ton</t>
        </is>
      </c>
      <c r="C22" s="14">
        <f>(C18*C21*24)/1000000</f>
        <v/>
      </c>
      <c r="D22" s="12" t="inlineStr">
        <is>
          <t>t/día</t>
        </is>
      </c>
      <c r="E22" s="9" t="inlineStr">
        <is>
          <t>Toneladas de combustible ahorradas por día</t>
        </is>
      </c>
    </row>
    <row r="23">
      <c r="A23" s="9" t="inlineStr">
        <is>
          <t>Días de Navegación por Año</t>
        </is>
      </c>
      <c r="B23" s="10" t="inlineStr">
        <is>
          <t>Days_year</t>
        </is>
      </c>
      <c r="C23" s="9" t="n">
        <v>260</v>
      </c>
      <c r="D23" s="12" t="inlineStr">
        <is>
          <t>días</t>
        </is>
      </c>
      <c r="E23" s="9" t="inlineStr">
        <is>
          <t>Días efectivos en alta mar al año</t>
        </is>
      </c>
    </row>
    <row r="24">
      <c r="A24" s="9" t="inlineStr">
        <is>
          <t>Ahorro de Combustible Anual</t>
        </is>
      </c>
      <c r="B24" s="10" t="inlineStr">
        <is>
          <t>Fuel_year_ton</t>
        </is>
      </c>
      <c r="C24" s="17">
        <f>C22*C23</f>
        <v/>
      </c>
      <c r="D24" s="12" t="inlineStr">
        <is>
          <t>t/año</t>
        </is>
      </c>
      <c r="E24" s="9" t="inlineStr">
        <is>
          <t>Toneladas de fuel ahorradas anualmente</t>
        </is>
      </c>
    </row>
    <row r="25">
      <c r="A25" s="9" t="inlineStr">
        <is>
          <t>Precio del Combustible Marino (VLSFO)</t>
        </is>
      </c>
      <c r="B25" s="10" t="inlineStr">
        <is>
          <t>Price_fuel</t>
        </is>
      </c>
      <c r="C25" s="9" t="n">
        <v>650</v>
      </c>
      <c r="D25" s="12" t="inlineStr">
        <is>
          <t>$/ton</t>
        </is>
      </c>
      <c r="E25" s="9" t="inlineStr">
        <is>
          <t>Precio medio de búnker por tonelada</t>
        </is>
      </c>
    </row>
    <row r="26">
      <c r="A26" s="9" t="inlineStr">
        <is>
          <t>Ahorro Financiero Anual</t>
        </is>
      </c>
      <c r="B26" s="10" t="inlineStr">
        <is>
          <t>Cost_savings_yr</t>
        </is>
      </c>
      <c r="C26" s="25">
        <f>C24*C25</f>
        <v/>
      </c>
      <c r="D26" s="12" t="inlineStr">
        <is>
          <t>$/año</t>
        </is>
      </c>
      <c r="E26" s="9" t="inlineStr">
        <is>
          <t>Ahorro directo en combustible por año</t>
        </is>
      </c>
    </row>
    <row r="27">
      <c r="A27" s="9" t="inlineStr">
        <is>
          <t>Factor de Emisión de CO2</t>
        </is>
      </c>
      <c r="B27" s="10" t="inlineStr">
        <is>
          <t>EF_CO2</t>
        </is>
      </c>
      <c r="C27" s="9" t="n">
        <v>3.114</v>
      </c>
      <c r="D27" s="12" t="inlineStr">
        <is>
          <t>t CO2/t fuel</t>
        </is>
      </c>
      <c r="E27" s="9" t="inlineStr">
        <is>
          <t>Factor OMI para fuelóleo marino</t>
        </is>
      </c>
    </row>
    <row r="28">
      <c r="A28" s="9" t="inlineStr">
        <is>
          <t>Reducción de Emisiones CO2 Anual</t>
        </is>
      </c>
      <c r="B28" s="10" t="inlineStr">
        <is>
          <t>CO2_reduction_yr</t>
        </is>
      </c>
      <c r="C28" s="17">
        <f>C24*C27</f>
        <v/>
      </c>
      <c r="D28" s="12" t="inlineStr">
        <is>
          <t>t CO2/año</t>
        </is>
      </c>
      <c r="E28" s="9" t="inlineStr">
        <is>
          <t>Huella de carbono eliminada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7" customWidth="1" min="2" max="2"/>
    <col width="26" customWidth="1" min="3" max="3"/>
    <col width="17" customWidth="1" min="4" max="4"/>
    <col width="25" customWidth="1" min="5" max="5"/>
    <col width="30" customWidth="1" min="6" max="6"/>
  </cols>
  <sheetData>
    <row r="1">
      <c r="A1" s="1" t="inlineStr">
        <is>
          <t>DISTRIBUCIÓN DEL COEFICIENTE DE PRESIÓN SUPERFICIAL CP(THETA)</t>
        </is>
      </c>
    </row>
    <row r="2">
      <c r="A2" s="3" t="inlineStr">
        <is>
          <t>Cp(theta) = 1 - (-2*sin(theta) - alpha)^2</t>
        </is>
      </c>
    </row>
    <row r="3"/>
    <row r="4" ht="24" customHeight="1">
      <c r="A4" s="4" t="inlineStr">
        <is>
          <t>Ángulo Theta (°)</t>
        </is>
      </c>
      <c r="B4" s="4" t="inlineStr">
        <is>
          <t>Theta (rad)</t>
        </is>
      </c>
      <c r="C4" s="4" t="inlineStr">
        <is>
          <t>Cp (alpha=0.0 Estático)</t>
        </is>
      </c>
      <c r="D4" s="4" t="inlineStr">
        <is>
          <t>Cp (alpha=1.0)</t>
        </is>
      </c>
      <c r="E4" s="4" t="inlineStr">
        <is>
          <t>Cp (alpha=2.0 Crítico)</t>
        </is>
      </c>
      <c r="F4" s="4" t="inlineStr">
        <is>
          <t>Cp (alpha=3.0 Supercrítico)</t>
        </is>
      </c>
    </row>
    <row r="5">
      <c r="A5" s="26" t="n">
        <v>0</v>
      </c>
      <c r="B5" s="27">
        <f>RADIANS(A5)</f>
        <v/>
      </c>
      <c r="C5" s="20">
        <f>1-(-2*SIN(B5)-0.0)^2</f>
        <v/>
      </c>
      <c r="D5" s="20">
        <f>1-(-2*SIN(B5)-1.0)^2</f>
        <v/>
      </c>
      <c r="E5" s="20">
        <f>1-(-2*SIN(B5)-2.0)^2</f>
        <v/>
      </c>
      <c r="F5" s="20">
        <f>1-(-2*SIN(B5)-3.0)^2</f>
        <v/>
      </c>
    </row>
    <row r="6">
      <c r="A6" s="28" t="n">
        <v>10</v>
      </c>
      <c r="B6" s="29">
        <f>RADIANS(A6)</f>
        <v/>
      </c>
      <c r="C6" s="22">
        <f>1-(-2*SIN(B6)-0.0)^2</f>
        <v/>
      </c>
      <c r="D6" s="22">
        <f>1-(-2*SIN(B6)-1.0)^2</f>
        <v/>
      </c>
      <c r="E6" s="22">
        <f>1-(-2*SIN(B6)-2.0)^2</f>
        <v/>
      </c>
      <c r="F6" s="22">
        <f>1-(-2*SIN(B6)-3.0)^2</f>
        <v/>
      </c>
    </row>
    <row r="7">
      <c r="A7" s="26" t="n">
        <v>20</v>
      </c>
      <c r="B7" s="27">
        <f>RADIANS(A7)</f>
        <v/>
      </c>
      <c r="C7" s="20">
        <f>1-(-2*SIN(B7)-0.0)^2</f>
        <v/>
      </c>
      <c r="D7" s="20">
        <f>1-(-2*SIN(B7)-1.0)^2</f>
        <v/>
      </c>
      <c r="E7" s="20">
        <f>1-(-2*SIN(B7)-2.0)^2</f>
        <v/>
      </c>
      <c r="F7" s="20">
        <f>1-(-2*SIN(B7)-3.0)^2</f>
        <v/>
      </c>
    </row>
    <row r="8">
      <c r="A8" s="28" t="n">
        <v>30</v>
      </c>
      <c r="B8" s="29">
        <f>RADIANS(A8)</f>
        <v/>
      </c>
      <c r="C8" s="22">
        <f>1-(-2*SIN(B8)-0.0)^2</f>
        <v/>
      </c>
      <c r="D8" s="22">
        <f>1-(-2*SIN(B8)-1.0)^2</f>
        <v/>
      </c>
      <c r="E8" s="22">
        <f>1-(-2*SIN(B8)-2.0)^2</f>
        <v/>
      </c>
      <c r="F8" s="22">
        <f>1-(-2*SIN(B8)-3.0)^2</f>
        <v/>
      </c>
    </row>
    <row r="9">
      <c r="A9" s="26" t="n">
        <v>40</v>
      </c>
      <c r="B9" s="27">
        <f>RADIANS(A9)</f>
        <v/>
      </c>
      <c r="C9" s="20">
        <f>1-(-2*SIN(B9)-0.0)^2</f>
        <v/>
      </c>
      <c r="D9" s="20">
        <f>1-(-2*SIN(B9)-1.0)^2</f>
        <v/>
      </c>
      <c r="E9" s="20">
        <f>1-(-2*SIN(B9)-2.0)^2</f>
        <v/>
      </c>
      <c r="F9" s="20">
        <f>1-(-2*SIN(B9)-3.0)^2</f>
        <v/>
      </c>
    </row>
    <row r="10">
      <c r="A10" s="28" t="n">
        <v>50</v>
      </c>
      <c r="B10" s="29">
        <f>RADIANS(A10)</f>
        <v/>
      </c>
      <c r="C10" s="22">
        <f>1-(-2*SIN(B10)-0.0)^2</f>
        <v/>
      </c>
      <c r="D10" s="22">
        <f>1-(-2*SIN(B10)-1.0)^2</f>
        <v/>
      </c>
      <c r="E10" s="22">
        <f>1-(-2*SIN(B10)-2.0)^2</f>
        <v/>
      </c>
      <c r="F10" s="22">
        <f>1-(-2*SIN(B10)-3.0)^2</f>
        <v/>
      </c>
    </row>
    <row r="11">
      <c r="A11" s="26" t="n">
        <v>60</v>
      </c>
      <c r="B11" s="27">
        <f>RADIANS(A11)</f>
        <v/>
      </c>
      <c r="C11" s="20">
        <f>1-(-2*SIN(B11)-0.0)^2</f>
        <v/>
      </c>
      <c r="D11" s="20">
        <f>1-(-2*SIN(B11)-1.0)^2</f>
        <v/>
      </c>
      <c r="E11" s="20">
        <f>1-(-2*SIN(B11)-2.0)^2</f>
        <v/>
      </c>
      <c r="F11" s="20">
        <f>1-(-2*SIN(B11)-3.0)^2</f>
        <v/>
      </c>
    </row>
    <row r="12">
      <c r="A12" s="28" t="n">
        <v>70</v>
      </c>
      <c r="B12" s="29">
        <f>RADIANS(A12)</f>
        <v/>
      </c>
      <c r="C12" s="22">
        <f>1-(-2*SIN(B12)-0.0)^2</f>
        <v/>
      </c>
      <c r="D12" s="22">
        <f>1-(-2*SIN(B12)-1.0)^2</f>
        <v/>
      </c>
      <c r="E12" s="22">
        <f>1-(-2*SIN(B12)-2.0)^2</f>
        <v/>
      </c>
      <c r="F12" s="22">
        <f>1-(-2*SIN(B12)-3.0)^2</f>
        <v/>
      </c>
    </row>
    <row r="13">
      <c r="A13" s="26" t="n">
        <v>80</v>
      </c>
      <c r="B13" s="27">
        <f>RADIANS(A13)</f>
        <v/>
      </c>
      <c r="C13" s="20">
        <f>1-(-2*SIN(B13)-0.0)^2</f>
        <v/>
      </c>
      <c r="D13" s="20">
        <f>1-(-2*SIN(B13)-1.0)^2</f>
        <v/>
      </c>
      <c r="E13" s="20">
        <f>1-(-2*SIN(B13)-2.0)^2</f>
        <v/>
      </c>
      <c r="F13" s="20">
        <f>1-(-2*SIN(B13)-3.0)^2</f>
        <v/>
      </c>
    </row>
    <row r="14">
      <c r="A14" s="28" t="n">
        <v>90</v>
      </c>
      <c r="B14" s="29">
        <f>RADIANS(A14)</f>
        <v/>
      </c>
      <c r="C14" s="22">
        <f>1-(-2*SIN(B14)-0.0)^2</f>
        <v/>
      </c>
      <c r="D14" s="22">
        <f>1-(-2*SIN(B14)-1.0)^2</f>
        <v/>
      </c>
      <c r="E14" s="22">
        <f>1-(-2*SIN(B14)-2.0)^2</f>
        <v/>
      </c>
      <c r="F14" s="22">
        <f>1-(-2*SIN(B14)-3.0)^2</f>
        <v/>
      </c>
    </row>
    <row r="15">
      <c r="A15" s="26" t="n">
        <v>100</v>
      </c>
      <c r="B15" s="27">
        <f>RADIANS(A15)</f>
        <v/>
      </c>
      <c r="C15" s="20">
        <f>1-(-2*SIN(B15)-0.0)^2</f>
        <v/>
      </c>
      <c r="D15" s="20">
        <f>1-(-2*SIN(B15)-1.0)^2</f>
        <v/>
      </c>
      <c r="E15" s="20">
        <f>1-(-2*SIN(B15)-2.0)^2</f>
        <v/>
      </c>
      <c r="F15" s="20">
        <f>1-(-2*SIN(B15)-3.0)^2</f>
        <v/>
      </c>
    </row>
    <row r="16">
      <c r="A16" s="28" t="n">
        <v>110</v>
      </c>
      <c r="B16" s="29">
        <f>RADIANS(A16)</f>
        <v/>
      </c>
      <c r="C16" s="22">
        <f>1-(-2*SIN(B16)-0.0)^2</f>
        <v/>
      </c>
      <c r="D16" s="22">
        <f>1-(-2*SIN(B16)-1.0)^2</f>
        <v/>
      </c>
      <c r="E16" s="22">
        <f>1-(-2*SIN(B16)-2.0)^2</f>
        <v/>
      </c>
      <c r="F16" s="22">
        <f>1-(-2*SIN(B16)-3.0)^2</f>
        <v/>
      </c>
    </row>
    <row r="17">
      <c r="A17" s="26" t="n">
        <v>120</v>
      </c>
      <c r="B17" s="27">
        <f>RADIANS(A17)</f>
        <v/>
      </c>
      <c r="C17" s="20">
        <f>1-(-2*SIN(B17)-0.0)^2</f>
        <v/>
      </c>
      <c r="D17" s="20">
        <f>1-(-2*SIN(B17)-1.0)^2</f>
        <v/>
      </c>
      <c r="E17" s="20">
        <f>1-(-2*SIN(B17)-2.0)^2</f>
        <v/>
      </c>
      <c r="F17" s="20">
        <f>1-(-2*SIN(B17)-3.0)^2</f>
        <v/>
      </c>
    </row>
    <row r="18">
      <c r="A18" s="28" t="n">
        <v>130</v>
      </c>
      <c r="B18" s="29">
        <f>RADIANS(A18)</f>
        <v/>
      </c>
      <c r="C18" s="22">
        <f>1-(-2*SIN(B18)-0.0)^2</f>
        <v/>
      </c>
      <c r="D18" s="22">
        <f>1-(-2*SIN(B18)-1.0)^2</f>
        <v/>
      </c>
      <c r="E18" s="22">
        <f>1-(-2*SIN(B18)-2.0)^2</f>
        <v/>
      </c>
      <c r="F18" s="22">
        <f>1-(-2*SIN(B18)-3.0)^2</f>
        <v/>
      </c>
    </row>
    <row r="19">
      <c r="A19" s="26" t="n">
        <v>140</v>
      </c>
      <c r="B19" s="27">
        <f>RADIANS(A19)</f>
        <v/>
      </c>
      <c r="C19" s="20">
        <f>1-(-2*SIN(B19)-0.0)^2</f>
        <v/>
      </c>
      <c r="D19" s="20">
        <f>1-(-2*SIN(B19)-1.0)^2</f>
        <v/>
      </c>
      <c r="E19" s="20">
        <f>1-(-2*SIN(B19)-2.0)^2</f>
        <v/>
      </c>
      <c r="F19" s="20">
        <f>1-(-2*SIN(B19)-3.0)^2</f>
        <v/>
      </c>
    </row>
    <row r="20">
      <c r="A20" s="28" t="n">
        <v>150</v>
      </c>
      <c r="B20" s="29">
        <f>RADIANS(A20)</f>
        <v/>
      </c>
      <c r="C20" s="22">
        <f>1-(-2*SIN(B20)-0.0)^2</f>
        <v/>
      </c>
      <c r="D20" s="22">
        <f>1-(-2*SIN(B20)-1.0)^2</f>
        <v/>
      </c>
      <c r="E20" s="22">
        <f>1-(-2*SIN(B20)-2.0)^2</f>
        <v/>
      </c>
      <c r="F20" s="22">
        <f>1-(-2*SIN(B20)-3.0)^2</f>
        <v/>
      </c>
    </row>
    <row r="21">
      <c r="A21" s="26" t="n">
        <v>160</v>
      </c>
      <c r="B21" s="27">
        <f>RADIANS(A21)</f>
        <v/>
      </c>
      <c r="C21" s="20">
        <f>1-(-2*SIN(B21)-0.0)^2</f>
        <v/>
      </c>
      <c r="D21" s="20">
        <f>1-(-2*SIN(B21)-1.0)^2</f>
        <v/>
      </c>
      <c r="E21" s="20">
        <f>1-(-2*SIN(B21)-2.0)^2</f>
        <v/>
      </c>
      <c r="F21" s="20">
        <f>1-(-2*SIN(B21)-3.0)^2</f>
        <v/>
      </c>
    </row>
    <row r="22">
      <c r="A22" s="28" t="n">
        <v>170</v>
      </c>
      <c r="B22" s="29">
        <f>RADIANS(A22)</f>
        <v/>
      </c>
      <c r="C22" s="22">
        <f>1-(-2*SIN(B22)-0.0)^2</f>
        <v/>
      </c>
      <c r="D22" s="22">
        <f>1-(-2*SIN(B22)-1.0)^2</f>
        <v/>
      </c>
      <c r="E22" s="22">
        <f>1-(-2*SIN(B22)-2.0)^2</f>
        <v/>
      </c>
      <c r="F22" s="22">
        <f>1-(-2*SIN(B22)-3.0)^2</f>
        <v/>
      </c>
    </row>
    <row r="23">
      <c r="A23" s="26" t="n">
        <v>180</v>
      </c>
      <c r="B23" s="27">
        <f>RADIANS(A23)</f>
        <v/>
      </c>
      <c r="C23" s="20">
        <f>1-(-2*SIN(B23)-0.0)^2</f>
        <v/>
      </c>
      <c r="D23" s="20">
        <f>1-(-2*SIN(B23)-1.0)^2</f>
        <v/>
      </c>
      <c r="E23" s="20">
        <f>1-(-2*SIN(B23)-2.0)^2</f>
        <v/>
      </c>
      <c r="F23" s="20">
        <f>1-(-2*SIN(B23)-3.0)^2</f>
        <v/>
      </c>
    </row>
    <row r="24">
      <c r="A24" s="28" t="n">
        <v>190</v>
      </c>
      <c r="B24" s="29">
        <f>RADIANS(A24)</f>
        <v/>
      </c>
      <c r="C24" s="22">
        <f>1-(-2*SIN(B24)-0.0)^2</f>
        <v/>
      </c>
      <c r="D24" s="22">
        <f>1-(-2*SIN(B24)-1.0)^2</f>
        <v/>
      </c>
      <c r="E24" s="22">
        <f>1-(-2*SIN(B24)-2.0)^2</f>
        <v/>
      </c>
      <c r="F24" s="22">
        <f>1-(-2*SIN(B24)-3.0)^2</f>
        <v/>
      </c>
    </row>
    <row r="25">
      <c r="A25" s="26" t="n">
        <v>200</v>
      </c>
      <c r="B25" s="27">
        <f>RADIANS(A25)</f>
        <v/>
      </c>
      <c r="C25" s="20">
        <f>1-(-2*SIN(B25)-0.0)^2</f>
        <v/>
      </c>
      <c r="D25" s="20">
        <f>1-(-2*SIN(B25)-1.0)^2</f>
        <v/>
      </c>
      <c r="E25" s="20">
        <f>1-(-2*SIN(B25)-2.0)^2</f>
        <v/>
      </c>
      <c r="F25" s="20">
        <f>1-(-2*SIN(B25)-3.0)^2</f>
        <v/>
      </c>
    </row>
    <row r="26">
      <c r="A26" s="28" t="n">
        <v>210</v>
      </c>
      <c r="B26" s="29">
        <f>RADIANS(A26)</f>
        <v/>
      </c>
      <c r="C26" s="22">
        <f>1-(-2*SIN(B26)-0.0)^2</f>
        <v/>
      </c>
      <c r="D26" s="22">
        <f>1-(-2*SIN(B26)-1.0)^2</f>
        <v/>
      </c>
      <c r="E26" s="22">
        <f>1-(-2*SIN(B26)-2.0)^2</f>
        <v/>
      </c>
      <c r="F26" s="22">
        <f>1-(-2*SIN(B26)-3.0)^2</f>
        <v/>
      </c>
    </row>
    <row r="27">
      <c r="A27" s="26" t="n">
        <v>220</v>
      </c>
      <c r="B27" s="27">
        <f>RADIANS(A27)</f>
        <v/>
      </c>
      <c r="C27" s="20">
        <f>1-(-2*SIN(B27)-0.0)^2</f>
        <v/>
      </c>
      <c r="D27" s="20">
        <f>1-(-2*SIN(B27)-1.0)^2</f>
        <v/>
      </c>
      <c r="E27" s="20">
        <f>1-(-2*SIN(B27)-2.0)^2</f>
        <v/>
      </c>
      <c r="F27" s="20">
        <f>1-(-2*SIN(B27)-3.0)^2</f>
        <v/>
      </c>
    </row>
    <row r="28">
      <c r="A28" s="28" t="n">
        <v>230</v>
      </c>
      <c r="B28" s="29">
        <f>RADIANS(A28)</f>
        <v/>
      </c>
      <c r="C28" s="22">
        <f>1-(-2*SIN(B28)-0.0)^2</f>
        <v/>
      </c>
      <c r="D28" s="22">
        <f>1-(-2*SIN(B28)-1.0)^2</f>
        <v/>
      </c>
      <c r="E28" s="22">
        <f>1-(-2*SIN(B28)-2.0)^2</f>
        <v/>
      </c>
      <c r="F28" s="22">
        <f>1-(-2*SIN(B28)-3.0)^2</f>
        <v/>
      </c>
    </row>
    <row r="29">
      <c r="A29" s="26" t="n">
        <v>240</v>
      </c>
      <c r="B29" s="27">
        <f>RADIANS(A29)</f>
        <v/>
      </c>
      <c r="C29" s="20">
        <f>1-(-2*SIN(B29)-0.0)^2</f>
        <v/>
      </c>
      <c r="D29" s="20">
        <f>1-(-2*SIN(B29)-1.0)^2</f>
        <v/>
      </c>
      <c r="E29" s="20">
        <f>1-(-2*SIN(B29)-2.0)^2</f>
        <v/>
      </c>
      <c r="F29" s="20">
        <f>1-(-2*SIN(B29)-3.0)^2</f>
        <v/>
      </c>
    </row>
    <row r="30">
      <c r="A30" s="28" t="n">
        <v>250</v>
      </c>
      <c r="B30" s="29">
        <f>RADIANS(A30)</f>
        <v/>
      </c>
      <c r="C30" s="22">
        <f>1-(-2*SIN(B30)-0.0)^2</f>
        <v/>
      </c>
      <c r="D30" s="22">
        <f>1-(-2*SIN(B30)-1.0)^2</f>
        <v/>
      </c>
      <c r="E30" s="22">
        <f>1-(-2*SIN(B30)-2.0)^2</f>
        <v/>
      </c>
      <c r="F30" s="22">
        <f>1-(-2*SIN(B30)-3.0)^2</f>
        <v/>
      </c>
    </row>
    <row r="31">
      <c r="A31" s="26" t="n">
        <v>260</v>
      </c>
      <c r="B31" s="27">
        <f>RADIANS(A31)</f>
        <v/>
      </c>
      <c r="C31" s="20">
        <f>1-(-2*SIN(B31)-0.0)^2</f>
        <v/>
      </c>
      <c r="D31" s="20">
        <f>1-(-2*SIN(B31)-1.0)^2</f>
        <v/>
      </c>
      <c r="E31" s="20">
        <f>1-(-2*SIN(B31)-2.0)^2</f>
        <v/>
      </c>
      <c r="F31" s="20">
        <f>1-(-2*SIN(B31)-3.0)^2</f>
        <v/>
      </c>
    </row>
    <row r="32">
      <c r="A32" s="28" t="n">
        <v>270</v>
      </c>
      <c r="B32" s="29">
        <f>RADIANS(A32)</f>
        <v/>
      </c>
      <c r="C32" s="22">
        <f>1-(-2*SIN(B32)-0.0)^2</f>
        <v/>
      </c>
      <c r="D32" s="22">
        <f>1-(-2*SIN(B32)-1.0)^2</f>
        <v/>
      </c>
      <c r="E32" s="22">
        <f>1-(-2*SIN(B32)-2.0)^2</f>
        <v/>
      </c>
      <c r="F32" s="22">
        <f>1-(-2*SIN(B32)-3.0)^2</f>
        <v/>
      </c>
    </row>
    <row r="33">
      <c r="A33" s="26" t="n">
        <v>280</v>
      </c>
      <c r="B33" s="27">
        <f>RADIANS(A33)</f>
        <v/>
      </c>
      <c r="C33" s="20">
        <f>1-(-2*SIN(B33)-0.0)^2</f>
        <v/>
      </c>
      <c r="D33" s="20">
        <f>1-(-2*SIN(B33)-1.0)^2</f>
        <v/>
      </c>
      <c r="E33" s="20">
        <f>1-(-2*SIN(B33)-2.0)^2</f>
        <v/>
      </c>
      <c r="F33" s="20">
        <f>1-(-2*SIN(B33)-3.0)^2</f>
        <v/>
      </c>
    </row>
    <row r="34">
      <c r="A34" s="28" t="n">
        <v>290</v>
      </c>
      <c r="B34" s="29">
        <f>RADIANS(A34)</f>
        <v/>
      </c>
      <c r="C34" s="22">
        <f>1-(-2*SIN(B34)-0.0)^2</f>
        <v/>
      </c>
      <c r="D34" s="22">
        <f>1-(-2*SIN(B34)-1.0)^2</f>
        <v/>
      </c>
      <c r="E34" s="22">
        <f>1-(-2*SIN(B34)-2.0)^2</f>
        <v/>
      </c>
      <c r="F34" s="22">
        <f>1-(-2*SIN(B34)-3.0)^2</f>
        <v/>
      </c>
    </row>
    <row r="35">
      <c r="A35" s="26" t="n">
        <v>300</v>
      </c>
      <c r="B35" s="27">
        <f>RADIANS(A35)</f>
        <v/>
      </c>
      <c r="C35" s="20">
        <f>1-(-2*SIN(B35)-0.0)^2</f>
        <v/>
      </c>
      <c r="D35" s="20">
        <f>1-(-2*SIN(B35)-1.0)^2</f>
        <v/>
      </c>
      <c r="E35" s="20">
        <f>1-(-2*SIN(B35)-2.0)^2</f>
        <v/>
      </c>
      <c r="F35" s="20">
        <f>1-(-2*SIN(B35)-3.0)^2</f>
        <v/>
      </c>
    </row>
    <row r="36">
      <c r="A36" s="28" t="n">
        <v>310</v>
      </c>
      <c r="B36" s="29">
        <f>RADIANS(A36)</f>
        <v/>
      </c>
      <c r="C36" s="22">
        <f>1-(-2*SIN(B36)-0.0)^2</f>
        <v/>
      </c>
      <c r="D36" s="22">
        <f>1-(-2*SIN(B36)-1.0)^2</f>
        <v/>
      </c>
      <c r="E36" s="22">
        <f>1-(-2*SIN(B36)-2.0)^2</f>
        <v/>
      </c>
      <c r="F36" s="22">
        <f>1-(-2*SIN(B36)-3.0)^2</f>
        <v/>
      </c>
    </row>
    <row r="37">
      <c r="A37" s="26" t="n">
        <v>320</v>
      </c>
      <c r="B37" s="27">
        <f>RADIANS(A37)</f>
        <v/>
      </c>
      <c r="C37" s="20">
        <f>1-(-2*SIN(B37)-0.0)^2</f>
        <v/>
      </c>
      <c r="D37" s="20">
        <f>1-(-2*SIN(B37)-1.0)^2</f>
        <v/>
      </c>
      <c r="E37" s="20">
        <f>1-(-2*SIN(B37)-2.0)^2</f>
        <v/>
      </c>
      <c r="F37" s="20">
        <f>1-(-2*SIN(B37)-3.0)^2</f>
        <v/>
      </c>
    </row>
    <row r="38">
      <c r="A38" s="28" t="n">
        <v>330</v>
      </c>
      <c r="B38" s="29">
        <f>RADIANS(A38)</f>
        <v/>
      </c>
      <c r="C38" s="22">
        <f>1-(-2*SIN(B38)-0.0)^2</f>
        <v/>
      </c>
      <c r="D38" s="22">
        <f>1-(-2*SIN(B38)-1.0)^2</f>
        <v/>
      </c>
      <c r="E38" s="22">
        <f>1-(-2*SIN(B38)-2.0)^2</f>
        <v/>
      </c>
      <c r="F38" s="22">
        <f>1-(-2*SIN(B38)-3.0)^2</f>
        <v/>
      </c>
    </row>
    <row r="39">
      <c r="A39" s="26" t="n">
        <v>340</v>
      </c>
      <c r="B39" s="27">
        <f>RADIANS(A39)</f>
        <v/>
      </c>
      <c r="C39" s="20">
        <f>1-(-2*SIN(B39)-0.0)^2</f>
        <v/>
      </c>
      <c r="D39" s="20">
        <f>1-(-2*SIN(B39)-1.0)^2</f>
        <v/>
      </c>
      <c r="E39" s="20">
        <f>1-(-2*SIN(B39)-2.0)^2</f>
        <v/>
      </c>
      <c r="F39" s="20">
        <f>1-(-2*SIN(B39)-3.0)^2</f>
        <v/>
      </c>
    </row>
    <row r="40">
      <c r="A40" s="28" t="n">
        <v>350</v>
      </c>
      <c r="B40" s="29">
        <f>RADIANS(A40)</f>
        <v/>
      </c>
      <c r="C40" s="22">
        <f>1-(-2*SIN(B40)-0.0)^2</f>
        <v/>
      </c>
      <c r="D40" s="22">
        <f>1-(-2*SIN(B40)-1.0)^2</f>
        <v/>
      </c>
      <c r="E40" s="22">
        <f>1-(-2*SIN(B40)-2.0)^2</f>
        <v/>
      </c>
      <c r="F40" s="22">
        <f>1-(-2*SIN(B40)-3.0)^2</f>
        <v/>
      </c>
    </row>
    <row r="41">
      <c r="A41" s="26" t="n">
        <v>360</v>
      </c>
      <c r="B41" s="27">
        <f>RADIANS(A41)</f>
        <v/>
      </c>
      <c r="C41" s="20">
        <f>1-(-2*SIN(B41)-0.0)^2</f>
        <v/>
      </c>
      <c r="D41" s="20">
        <f>1-(-2*SIN(B41)-1.0)^2</f>
        <v/>
      </c>
      <c r="E41" s="20">
        <f>1-(-2*SIN(B41)-2.0)^2</f>
        <v/>
      </c>
      <c r="F41" s="20">
        <f>1-(-2*SIN(B41)-3.0)^2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2026-10-22T04:32:34Z</dcterms:created>
  <dcterms:modified xmlns:dcterms="http://purl.org/dc/terms/" xmlns:xsi="http://www.w3.org/2001/XMLSchema-instance" xsi:type="dcterms:W3CDTF">2026-10-22T04:32:34Z</dcterms:modified>
</cp:coreProperties>
</file>