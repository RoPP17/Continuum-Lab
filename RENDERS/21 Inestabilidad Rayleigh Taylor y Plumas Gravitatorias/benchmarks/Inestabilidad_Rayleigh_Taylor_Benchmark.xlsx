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_Fisicos" sheetId="1" state="visible" r:id="rId1"/>
    <sheet xmlns:r="http://schemas.openxmlformats.org/officeDocument/2006/relationships" name="Dispersion_y_Crecimiento" sheetId="2" state="visible" r:id="rId2"/>
    <sheet xmlns:r="http://schemas.openxmlformats.org/officeDocument/2006/relationships" name="Evolucion_Temporal" sheetId="3" state="visible" r:id="rId3"/>
    <sheet xmlns:r="http://schemas.openxmlformats.org/officeDocument/2006/relationships" name="Comparativa_Siste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369A1"/>
      <sz val="12"/>
    </font>
    <font>
      <name val="Segoe UI"/>
      <b val="1"/>
      <color rgb="000F172A"/>
      <sz val="16"/>
    </font>
    <font>
      <name val="Segoe UI"/>
      <i val="1"/>
      <color rgb="0064748B"/>
      <sz val="9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pivotButton="0" quotePrefix="0" xfId="0"/>
    <xf numFmtId="0" fontId="6" fillId="3" borderId="1" pivotButton="0" quotePrefix="0" xfId="0"/>
    <xf numFmtId="0" fontId="3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3" fillId="0" borderId="1" pivotButton="0" quotePrefix="0" xfId="0"/>
    <xf numFmtId="0" fontId="6" fillId="4" borderId="1" pivotButton="0" quotePrefix="0" xfId="0"/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14" customWidth="1" min="2" max="2"/>
    <col width="28" customWidth="1" min="3" max="3"/>
    <col width="12" customWidth="1" min="4" max="4"/>
    <col width="55" customWidth="1" min="5" max="5"/>
  </cols>
  <sheetData>
    <row r="1">
      <c r="A1" s="1" t="inlineStr">
        <is>
          <t>CONTINUUM LAB // MECÁNICA DE FLUIDOS AVANZADA</t>
        </is>
      </c>
    </row>
    <row r="2">
      <c r="A2" s="2" t="inlineStr">
        <is>
          <t>MODELO DE INESTABILIDAD RAYLEIGH-TAYLOR Y PLUMAS GRAVITATORIAS</t>
        </is>
      </c>
    </row>
    <row r="3">
      <c r="A3" s="3" t="inlineStr">
        <is>
          <t>Parámetros de Interfaz, Gravedad, Dispersión Lineal y Régimen No-Lineal</t>
        </is>
      </c>
    </row>
    <row r="4"/>
    <row r="5" ht="24" customHeight="1">
      <c r="A5" s="4" t="inlineStr">
        <is>
          <t>Parámetro Físico</t>
        </is>
      </c>
      <c r="B5" s="4" t="inlineStr">
        <is>
          <t>Símbolo</t>
        </is>
      </c>
      <c r="C5" s="4" t="inlineStr">
        <is>
          <t>Valor / Fórmula Dinámica</t>
        </is>
      </c>
      <c r="D5" s="4" t="inlineStr">
        <is>
          <t>Unidad</t>
        </is>
      </c>
      <c r="E5" s="4" t="inlineStr">
        <is>
          <t>Descripción y Base Teórica</t>
        </is>
      </c>
    </row>
    <row r="6">
      <c r="A6" s="5" t="inlineStr">
        <is>
          <t>Densidad del Fluido Pesado (Superior)</t>
        </is>
      </c>
      <c r="B6" s="6" t="inlineStr">
        <is>
          <t>rho_2</t>
        </is>
      </c>
      <c r="C6" s="5" t="n">
        <v>1200</v>
      </c>
      <c r="D6" s="7" t="inlineStr">
        <is>
          <t>kg/m³</t>
        </is>
      </c>
      <c r="E6" s="5" t="inlineStr">
        <is>
          <t>Capa superior inestable sometida a gravedad</t>
        </is>
      </c>
    </row>
    <row r="7">
      <c r="A7" s="8" t="inlineStr">
        <is>
          <t>Densidad del Fluido Ligero (Inferior)</t>
        </is>
      </c>
      <c r="B7" s="9" t="inlineStr">
        <is>
          <t>rho_1</t>
        </is>
      </c>
      <c r="C7" s="8" t="n">
        <v>400</v>
      </c>
      <c r="D7" s="10" t="inlineStr">
        <is>
          <t>kg/m³</t>
        </is>
      </c>
      <c r="E7" s="8" t="inlineStr">
        <is>
          <t>Capa inferior que soporta el gradiente hidrostático</t>
        </is>
      </c>
    </row>
    <row r="8">
      <c r="A8" s="8" t="inlineStr">
        <is>
          <t>Número de Atwood</t>
        </is>
      </c>
      <c r="B8" s="9" t="inlineStr">
        <is>
          <t>Atwood</t>
        </is>
      </c>
      <c r="C8" s="11">
        <f>(C6-C7)/(C6+C7)</f>
        <v/>
      </c>
      <c r="D8" s="10" t="inlineStr">
        <is>
          <t>-</t>
        </is>
      </c>
      <c r="E8" s="8" t="inlineStr">
        <is>
          <t>A = (rho_2 - rho_1) / (rho_2 + rho_1)</t>
        </is>
      </c>
    </row>
    <row r="9">
      <c r="A9" s="8" t="inlineStr">
        <is>
          <t>Aceleración de la Gravedad</t>
        </is>
      </c>
      <c r="B9" s="9" t="inlineStr">
        <is>
          <t>g</t>
        </is>
      </c>
      <c r="C9" s="8" t="n">
        <v>9.81</v>
      </c>
      <c r="D9" s="10" t="inlineStr">
        <is>
          <t>m/s²</t>
        </is>
      </c>
      <c r="E9" s="8" t="inlineStr">
        <is>
          <t>Vector gravedad vertical descendente</t>
        </is>
      </c>
    </row>
    <row r="10">
      <c r="A10" s="5" t="inlineStr">
        <is>
          <t>Tensión Superficial Interfacial</t>
        </is>
      </c>
      <c r="B10" s="6" t="inlineStr">
        <is>
          <t>sigma</t>
        </is>
      </c>
      <c r="C10" s="5" t="n">
        <v>0.045</v>
      </c>
      <c r="D10" s="7" t="inlineStr">
        <is>
          <t>N/m</t>
        </is>
      </c>
      <c r="E10" s="5" t="inlineStr">
        <is>
          <t>Fuerza estabilizadora capilar a altas frecuencias</t>
        </is>
      </c>
    </row>
    <row r="11">
      <c r="A11" s="8" t="inlineStr">
        <is>
          <t>Viscosidad Cinemática Media</t>
        </is>
      </c>
      <c r="B11" s="9" t="inlineStr">
        <is>
          <t>nu</t>
        </is>
      </c>
      <c r="C11" s="8" t="n">
        <v>0.00018</v>
      </c>
      <c r="D11" s="10" t="inlineStr">
        <is>
          <t>m²/s</t>
        </is>
      </c>
      <c r="E11" s="8" t="inlineStr">
        <is>
          <t>Difusión de cantidad de movimiento baroclínico</t>
        </is>
      </c>
    </row>
    <row r="12">
      <c r="A12" s="5" t="inlineStr">
        <is>
          <t>Difusividad de Masa</t>
        </is>
      </c>
      <c r="B12" s="6" t="inlineStr">
        <is>
          <t>D</t>
        </is>
      </c>
      <c r="C12" s="5" t="n">
        <v>0.00018</v>
      </c>
      <c r="D12" s="7" t="inlineStr">
        <is>
          <t>m²/s</t>
        </is>
      </c>
      <c r="E12" s="5" t="inlineStr">
        <is>
          <t>Difusión de la concentración escalar C(x,y)</t>
        </is>
      </c>
    </row>
    <row r="13">
      <c r="A13" s="8" t="inlineStr">
        <is>
          <t>Espesor Inicial de la Interfaz</t>
        </is>
      </c>
      <c r="B13" s="9" t="inlineStr">
        <is>
          <t>delta_0</t>
        </is>
      </c>
      <c r="C13" s="8" t="n">
        <v>0.03</v>
      </c>
      <c r="D13" s="10" t="inlineStr">
        <is>
          <t>m</t>
        </is>
      </c>
      <c r="E13" s="8" t="inlineStr">
        <is>
          <t>Grosor de la capa de transición hiperbólica inicial</t>
        </is>
      </c>
    </row>
    <row r="14">
      <c r="A14" s="8" t="inlineStr">
        <is>
          <t>Número de Onda Capilar Crítico</t>
        </is>
      </c>
      <c r="B14" s="9" t="inlineStr">
        <is>
          <t>k_c</t>
        </is>
      </c>
      <c r="C14" s="11">
        <f>SQRT(((C6-C7)*C9)/C10)</f>
        <v/>
      </c>
      <c r="D14" s="10" t="inlineStr">
        <is>
          <t>rad/m</t>
        </is>
      </c>
      <c r="E14" s="8" t="inlineStr">
        <is>
          <t>k_c = SQRT((rho_2 - rho_1)*g / sigma)</t>
        </is>
      </c>
    </row>
    <row r="15">
      <c r="A15" s="8" t="inlineStr">
        <is>
          <t>Longitud de Onda Crítica de Corte</t>
        </is>
      </c>
      <c r="B15" s="9" t="inlineStr">
        <is>
          <t>lambda_c</t>
        </is>
      </c>
      <c r="C15" s="11">
        <f>(2*PI())/C14</f>
        <v/>
      </c>
      <c r="D15" s="10" t="inlineStr">
        <is>
          <t>m</t>
        </is>
      </c>
      <c r="E15" s="8" t="inlineStr">
        <is>
          <t>Longitudes de onda menores a lambda_c son estables</t>
        </is>
      </c>
    </row>
    <row r="16">
      <c r="A16" s="8" t="inlineStr">
        <is>
          <t>Número de Onda de Máximo Crecimiento</t>
        </is>
      </c>
      <c r="B16" s="9" t="inlineStr">
        <is>
          <t>k_max</t>
        </is>
      </c>
      <c r="C16" s="11">
        <f>C14/SQRT(3)</f>
        <v/>
      </c>
      <c r="D16" s="10" t="inlineStr">
        <is>
          <t>rad/m</t>
        </is>
      </c>
      <c r="E16" s="8" t="inlineStr">
        <is>
          <t>k_max = k_c / SQRT(3)</t>
        </is>
      </c>
    </row>
    <row r="17">
      <c r="A17" s="8" t="inlineStr">
        <is>
          <t>Longitud de Onda Más Inestable</t>
        </is>
      </c>
      <c r="B17" s="9" t="inlineStr">
        <is>
          <t>lambda_max</t>
        </is>
      </c>
      <c r="C17" s="11">
        <f>(2*PI())/C16</f>
        <v/>
      </c>
      <c r="D17" s="10" t="inlineStr">
        <is>
          <t>m</t>
        </is>
      </c>
      <c r="E17" s="8" t="inlineStr">
        <is>
          <t>Modo dominante en la formación de plumas</t>
        </is>
      </c>
    </row>
    <row r="18">
      <c r="A18" s="8" t="inlineStr">
        <is>
          <t>Tasa Máxima de Crecimiento Lineal</t>
        </is>
      </c>
      <c r="B18" s="9" t="inlineStr">
        <is>
          <t>gamma_max</t>
        </is>
      </c>
      <c r="C18" s="11">
        <f>SQRT(C8*C9*C16 - (C10*C16^3)/(C6+C7))</f>
        <v/>
      </c>
      <c r="D18" s="10" t="inlineStr">
        <is>
          <t>s⁻¹</t>
        </is>
      </c>
      <c r="E18" s="8" t="inlineStr">
        <is>
          <t>Máxima amplificación exponencial e^(gamma*t)</t>
        </is>
      </c>
    </row>
    <row r="19">
      <c r="A19" s="8" t="inlineStr">
        <is>
          <t>Constante de Mezcla de Dimonte-Schneider</t>
        </is>
      </c>
      <c r="B19" s="9" t="inlineStr">
        <is>
          <t>alpha_mix</t>
        </is>
      </c>
      <c r="C19" s="8" t="n">
        <v>0.06</v>
      </c>
      <c r="D19" s="10" t="inlineStr">
        <is>
          <t>-</t>
        </is>
      </c>
      <c r="E19" s="8" t="inlineStr">
        <is>
          <t>Crecimiento cuadrático de la zona de mezcla h(t)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6" customWidth="1" min="2" max="2"/>
    <col width="42" customWidth="1" min="3" max="3"/>
    <col width="44" customWidth="1" min="4" max="4"/>
    <col width="48" customWidth="1" min="5" max="5"/>
    <col width="31" customWidth="1" min="6" max="6"/>
    <col width="26" customWidth="1" min="7" max="7"/>
  </cols>
  <sheetData>
    <row r="1">
      <c r="A1" s="1" t="inlineStr">
        <is>
          <t>CONTINUUM LAB // ESPECTRO DE DISPERSIÓN LINEAL DE RAYLEIGH-TAYLOR</t>
        </is>
      </c>
    </row>
    <row r="2">
      <c r="A2" s="2" t="inlineStr">
        <is>
          <t>Tasa de Crecimiento vs. Número de Onda (Efectos Capilar y Viscoso)</t>
        </is>
      </c>
    </row>
    <row r="3"/>
    <row r="4" ht="24" customHeight="1">
      <c r="A4" s="4" t="inlineStr">
        <is>
          <t>Número de Onda k [rad/m]</t>
        </is>
      </c>
      <c r="B4" s="4" t="inlineStr">
        <is>
          <t>Longitud de Onda λ [m]</t>
        </is>
      </c>
      <c r="C4" s="4" t="inlineStr">
        <is>
          <t>Tasa Inválida (No-Viscosa) γ_inv [s⁻¹]</t>
        </is>
      </c>
      <c r="D4" s="4" t="inlineStr">
        <is>
          <t>Tasa con Tensión Superficial γ_cap [s⁻¹]</t>
        </is>
      </c>
      <c r="E4" s="4" t="inlineStr">
        <is>
          <t>Tasa Completa (Viscosa-Capilar) γ_visc [s⁻¹]</t>
        </is>
      </c>
      <c r="F4" s="4" t="inlineStr">
        <is>
          <t>Tiempo de Duplicación τ [s]</t>
        </is>
      </c>
      <c r="G4" s="4" t="inlineStr">
        <is>
          <t>Régimen de Estabilidad</t>
        </is>
      </c>
    </row>
    <row r="5">
      <c r="A5" s="12" t="n">
        <v>0.2</v>
      </c>
      <c r="B5" s="12">
        <f>(2*PI())/A5</f>
        <v/>
      </c>
      <c r="C5" s="12">
        <f>SQRT(Parametros_Fisicos!$C$8*Parametros_Fisicos!$C$9*A5)</f>
        <v/>
      </c>
      <c r="D5" s="12">
        <f>SQRT(MAX(0, Parametros_Fisicos!$C$8*Parametros_Fisicos!$C$9*A5 - (Parametros_Fisicos!$C$10*A5^3)/(Parametros_Fisicos!$C$6+Parametros_Fisicos!$C$7)))</f>
        <v/>
      </c>
      <c r="E5" s="12">
        <f>MAX(0, SQRT(MAX(0, D5^2 + (Parametros_Fisicos!$C$11^2)*(A5^4))) - Parametros_Fisicos!$C$11*(A5^2))</f>
        <v/>
      </c>
      <c r="F5" s="12">
        <f>IF(E5&gt;0.001, 1/E5, 9999.0)</f>
        <v/>
      </c>
      <c r="G5" s="13">
        <f>IF(D5&gt;0.001, "INESTABLE // CRECIMIENTO", "ESTABLE // AMORTIGUADO")</f>
        <v/>
      </c>
    </row>
    <row r="6">
      <c r="A6" s="14" t="n">
        <v>0.5</v>
      </c>
      <c r="B6" s="14">
        <f>(2*PI())/A6</f>
        <v/>
      </c>
      <c r="C6" s="14">
        <f>SQRT(Parametros_Fisicos!$C$8*Parametros_Fisicos!$C$9*A6)</f>
        <v/>
      </c>
      <c r="D6" s="14">
        <f>SQRT(MAX(0, Parametros_Fisicos!$C$8*Parametros_Fisicos!$C$9*A6 - (Parametros_Fisicos!$C$10*A6^3)/(Parametros_Fisicos!$C$6+Parametros_Fisicos!$C$7)))</f>
        <v/>
      </c>
      <c r="E6" s="14">
        <f>MAX(0, SQRT(MAX(0, D6^2 + (Parametros_Fisicos!$C$11^2)*(A6^4))) - Parametros_Fisicos!$C$11*(A6^2))</f>
        <v/>
      </c>
      <c r="F6" s="14">
        <f>IF(E6&gt;0.001, 1/E6, 9999.0)</f>
        <v/>
      </c>
      <c r="G6" s="15">
        <f>IF(D6&gt;0.001, "INESTABLE // CRECIMIENTO", "ESTABLE // AMORTIGUADO")</f>
        <v/>
      </c>
    </row>
    <row r="7">
      <c r="A7" s="12" t="n">
        <v>1</v>
      </c>
      <c r="B7" s="12">
        <f>(2*PI())/A7</f>
        <v/>
      </c>
      <c r="C7" s="12">
        <f>SQRT(Parametros_Fisicos!$C$8*Parametros_Fisicos!$C$9*A7)</f>
        <v/>
      </c>
      <c r="D7" s="12">
        <f>SQRT(MAX(0, Parametros_Fisicos!$C$8*Parametros_Fisicos!$C$9*A7 - (Parametros_Fisicos!$C$10*A7^3)/(Parametros_Fisicos!$C$6+Parametros_Fisicos!$C$7)))</f>
        <v/>
      </c>
      <c r="E7" s="12">
        <f>MAX(0, SQRT(MAX(0, D7^2 + (Parametros_Fisicos!$C$11^2)*(A7^4))) - Parametros_Fisicos!$C$11*(A7^2))</f>
        <v/>
      </c>
      <c r="F7" s="12">
        <f>IF(E7&gt;0.001, 1/E7, 9999.0)</f>
        <v/>
      </c>
      <c r="G7" s="13">
        <f>IF(D7&gt;0.001, "INESTABLE // CRECIMIENTO", "ESTABLE // AMORTIGUADO")</f>
        <v/>
      </c>
    </row>
    <row r="8">
      <c r="A8" s="14" t="n">
        <v>2</v>
      </c>
      <c r="B8" s="14">
        <f>(2*PI())/A8</f>
        <v/>
      </c>
      <c r="C8" s="14">
        <f>SQRT(Parametros_Fisicos!$C$8*Parametros_Fisicos!$C$9*A8)</f>
        <v/>
      </c>
      <c r="D8" s="14">
        <f>SQRT(MAX(0, Parametros_Fisicos!$C$8*Parametros_Fisicos!$C$9*A8 - (Parametros_Fisicos!$C$10*A8^3)/(Parametros_Fisicos!$C$6+Parametros_Fisicos!$C$7)))</f>
        <v/>
      </c>
      <c r="E8" s="14">
        <f>MAX(0, SQRT(MAX(0, D8^2 + (Parametros_Fisicos!$C$11^2)*(A8^4))) - Parametros_Fisicos!$C$11*(A8^2))</f>
        <v/>
      </c>
      <c r="F8" s="14">
        <f>IF(E8&gt;0.001, 1/E8, 9999.0)</f>
        <v/>
      </c>
      <c r="G8" s="15">
        <f>IF(D8&gt;0.001, "INESTABLE // CRECIMIENTO", "ESTABLE // AMORTIGUADO")</f>
        <v/>
      </c>
    </row>
    <row r="9">
      <c r="A9" s="12" t="n">
        <v>3.5</v>
      </c>
      <c r="B9" s="12">
        <f>(2*PI())/A9</f>
        <v/>
      </c>
      <c r="C9" s="12">
        <f>SQRT(Parametros_Fisicos!$C$8*Parametros_Fisicos!$C$9*A9)</f>
        <v/>
      </c>
      <c r="D9" s="12">
        <f>SQRT(MAX(0, Parametros_Fisicos!$C$8*Parametros_Fisicos!$C$9*A9 - (Parametros_Fisicos!$C$10*A9^3)/(Parametros_Fisicos!$C$6+Parametros_Fisicos!$C$7)))</f>
        <v/>
      </c>
      <c r="E9" s="12">
        <f>MAX(0, SQRT(MAX(0, D9^2 + (Parametros_Fisicos!$C$11^2)*(A9^4))) - Parametros_Fisicos!$C$11*(A9^2))</f>
        <v/>
      </c>
      <c r="F9" s="12">
        <f>IF(E9&gt;0.001, 1/E9, 9999.0)</f>
        <v/>
      </c>
      <c r="G9" s="13">
        <f>IF(D9&gt;0.001, "INESTABLE // CRECIMIENTO", "ESTABLE // AMORTIGUADO")</f>
        <v/>
      </c>
    </row>
    <row r="10">
      <c r="A10" s="14" t="n">
        <v>5</v>
      </c>
      <c r="B10" s="14">
        <f>(2*PI())/A10</f>
        <v/>
      </c>
      <c r="C10" s="14">
        <f>SQRT(Parametros_Fisicos!$C$8*Parametros_Fisicos!$C$9*A10)</f>
        <v/>
      </c>
      <c r="D10" s="14">
        <f>SQRT(MAX(0, Parametros_Fisicos!$C$8*Parametros_Fisicos!$C$9*A10 - (Parametros_Fisicos!$C$10*A10^3)/(Parametros_Fisicos!$C$6+Parametros_Fisicos!$C$7)))</f>
        <v/>
      </c>
      <c r="E10" s="14">
        <f>MAX(0, SQRT(MAX(0, D10^2 + (Parametros_Fisicos!$C$11^2)*(A10^4))) - Parametros_Fisicos!$C$11*(A10^2))</f>
        <v/>
      </c>
      <c r="F10" s="14">
        <f>IF(E10&gt;0.001, 1/E10, 9999.0)</f>
        <v/>
      </c>
      <c r="G10" s="15">
        <f>IF(D10&gt;0.001, "INESTABLE // CRECIMIENTO", "ESTABLE // AMORTIGUADO")</f>
        <v/>
      </c>
    </row>
    <row r="11">
      <c r="A11" s="12" t="n">
        <v>7.5</v>
      </c>
      <c r="B11" s="12">
        <f>(2*PI())/A11</f>
        <v/>
      </c>
      <c r="C11" s="12">
        <f>SQRT(Parametros_Fisicos!$C$8*Parametros_Fisicos!$C$9*A11)</f>
        <v/>
      </c>
      <c r="D11" s="12">
        <f>SQRT(MAX(0, Parametros_Fisicos!$C$8*Parametros_Fisicos!$C$9*A11 - (Parametros_Fisicos!$C$10*A11^3)/(Parametros_Fisicos!$C$6+Parametros_Fisicos!$C$7)))</f>
        <v/>
      </c>
      <c r="E11" s="12">
        <f>MAX(0, SQRT(MAX(0, D11^2 + (Parametros_Fisicos!$C$11^2)*(A11^4))) - Parametros_Fisicos!$C$11*(A11^2))</f>
        <v/>
      </c>
      <c r="F11" s="12">
        <f>IF(E11&gt;0.001, 1/E11, 9999.0)</f>
        <v/>
      </c>
      <c r="G11" s="13">
        <f>IF(D11&gt;0.001, "INESTABLE // CRECIMIENTO", "ESTABLE // AMORTIGUADO")</f>
        <v/>
      </c>
    </row>
    <row r="12">
      <c r="A12" s="14" t="n">
        <v>10</v>
      </c>
      <c r="B12" s="14">
        <f>(2*PI())/A12</f>
        <v/>
      </c>
      <c r="C12" s="14">
        <f>SQRT(Parametros_Fisicos!$C$8*Parametros_Fisicos!$C$9*A12)</f>
        <v/>
      </c>
      <c r="D12" s="14">
        <f>SQRT(MAX(0, Parametros_Fisicos!$C$8*Parametros_Fisicos!$C$9*A12 - (Parametros_Fisicos!$C$10*A12^3)/(Parametros_Fisicos!$C$6+Parametros_Fisicos!$C$7)))</f>
        <v/>
      </c>
      <c r="E12" s="14">
        <f>MAX(0, SQRT(MAX(0, D12^2 + (Parametros_Fisicos!$C$11^2)*(A12^4))) - Parametros_Fisicos!$C$11*(A12^2))</f>
        <v/>
      </c>
      <c r="F12" s="14">
        <f>IF(E12&gt;0.001, 1/E12, 9999.0)</f>
        <v/>
      </c>
      <c r="G12" s="15">
        <f>IF(D12&gt;0.001, "INESTABLE // CRECIMIENTO", "ESTABLE // AMORTIGUADO")</f>
        <v/>
      </c>
    </row>
    <row r="13">
      <c r="A13" s="12" t="n">
        <v>15</v>
      </c>
      <c r="B13" s="12">
        <f>(2*PI())/A13</f>
        <v/>
      </c>
      <c r="C13" s="12">
        <f>SQRT(Parametros_Fisicos!$C$8*Parametros_Fisicos!$C$9*A13)</f>
        <v/>
      </c>
      <c r="D13" s="12">
        <f>SQRT(MAX(0, Parametros_Fisicos!$C$8*Parametros_Fisicos!$C$9*A13 - (Parametros_Fisicos!$C$10*A13^3)/(Parametros_Fisicos!$C$6+Parametros_Fisicos!$C$7)))</f>
        <v/>
      </c>
      <c r="E13" s="12">
        <f>MAX(0, SQRT(MAX(0, D13^2 + (Parametros_Fisicos!$C$11^2)*(A13^4))) - Parametros_Fisicos!$C$11*(A13^2))</f>
        <v/>
      </c>
      <c r="F13" s="12">
        <f>IF(E13&gt;0.001, 1/E13, 9999.0)</f>
        <v/>
      </c>
      <c r="G13" s="13">
        <f>IF(D13&gt;0.001, "INESTABLE // CRECIMIENTO", "ESTABLE // AMORTIGUADO")</f>
        <v/>
      </c>
    </row>
    <row r="14">
      <c r="A14" s="14" t="n">
        <v>20</v>
      </c>
      <c r="B14" s="14">
        <f>(2*PI())/A14</f>
        <v/>
      </c>
      <c r="C14" s="14">
        <f>SQRT(Parametros_Fisicos!$C$8*Parametros_Fisicos!$C$9*A14)</f>
        <v/>
      </c>
      <c r="D14" s="14">
        <f>SQRT(MAX(0, Parametros_Fisicos!$C$8*Parametros_Fisicos!$C$9*A14 - (Parametros_Fisicos!$C$10*A14^3)/(Parametros_Fisicos!$C$6+Parametros_Fisicos!$C$7)))</f>
        <v/>
      </c>
      <c r="E14" s="14">
        <f>MAX(0, SQRT(MAX(0, D14^2 + (Parametros_Fisicos!$C$11^2)*(A14^4))) - Parametros_Fisicos!$C$11*(A14^2))</f>
        <v/>
      </c>
      <c r="F14" s="14">
        <f>IF(E14&gt;0.001, 1/E14, 9999.0)</f>
        <v/>
      </c>
      <c r="G14" s="15">
        <f>IF(D14&gt;0.001, "INESTABLE // CRECIMIENTO", "ESTABLE // AMORTIGUADO")</f>
        <v/>
      </c>
    </row>
    <row r="15">
      <c r="A15" s="12" t="n">
        <v>25</v>
      </c>
      <c r="B15" s="12">
        <f>(2*PI())/A15</f>
        <v/>
      </c>
      <c r="C15" s="12">
        <f>SQRT(Parametros_Fisicos!$C$8*Parametros_Fisicos!$C$9*A15)</f>
        <v/>
      </c>
      <c r="D15" s="12">
        <f>SQRT(MAX(0, Parametros_Fisicos!$C$8*Parametros_Fisicos!$C$9*A15 - (Parametros_Fisicos!$C$10*A15^3)/(Parametros_Fisicos!$C$6+Parametros_Fisicos!$C$7)))</f>
        <v/>
      </c>
      <c r="E15" s="12">
        <f>MAX(0, SQRT(MAX(0, D15^2 + (Parametros_Fisicos!$C$11^2)*(A15^4))) - Parametros_Fisicos!$C$11*(A15^2))</f>
        <v/>
      </c>
      <c r="F15" s="12">
        <f>IF(E15&gt;0.001, 1/E15, 9999.0)</f>
        <v/>
      </c>
      <c r="G15" s="13">
        <f>IF(D15&gt;0.001, "INESTABLE // CRECIMIENTO", "ESTABLE // AMORTIGUADO")</f>
        <v/>
      </c>
    </row>
    <row r="16">
      <c r="A16" s="14" t="n">
        <v>30</v>
      </c>
      <c r="B16" s="14">
        <f>(2*PI())/A16</f>
        <v/>
      </c>
      <c r="C16" s="14">
        <f>SQRT(Parametros_Fisicos!$C$8*Parametros_Fisicos!$C$9*A16)</f>
        <v/>
      </c>
      <c r="D16" s="14">
        <f>SQRT(MAX(0, Parametros_Fisicos!$C$8*Parametros_Fisicos!$C$9*A16 - (Parametros_Fisicos!$C$10*A16^3)/(Parametros_Fisicos!$C$6+Parametros_Fisicos!$C$7)))</f>
        <v/>
      </c>
      <c r="E16" s="14">
        <f>MAX(0, SQRT(MAX(0, D16^2 + (Parametros_Fisicos!$C$11^2)*(A16^4))) - Parametros_Fisicos!$C$11*(A16^2))</f>
        <v/>
      </c>
      <c r="F16" s="14">
        <f>IF(E16&gt;0.001, 1/E16, 9999.0)</f>
        <v/>
      </c>
      <c r="G16" s="15">
        <f>IF(D16&gt;0.001, "INESTABLE // CRECIMIENTO", "ESTABLE // AMORTIGUADO")</f>
        <v/>
      </c>
    </row>
    <row r="17">
      <c r="A17" s="12" t="n">
        <v>40</v>
      </c>
      <c r="B17" s="12">
        <f>(2*PI())/A17</f>
        <v/>
      </c>
      <c r="C17" s="12">
        <f>SQRT(Parametros_Fisicos!$C$8*Parametros_Fisicos!$C$9*A17)</f>
        <v/>
      </c>
      <c r="D17" s="12">
        <f>SQRT(MAX(0, Parametros_Fisicos!$C$8*Parametros_Fisicos!$C$9*A17 - (Parametros_Fisicos!$C$10*A17^3)/(Parametros_Fisicos!$C$6+Parametros_Fisicos!$C$7)))</f>
        <v/>
      </c>
      <c r="E17" s="12">
        <f>MAX(0, SQRT(MAX(0, D17^2 + (Parametros_Fisicos!$C$11^2)*(A17^4))) - Parametros_Fisicos!$C$11*(A17^2))</f>
        <v/>
      </c>
      <c r="F17" s="12">
        <f>IF(E17&gt;0.001, 1/E17, 9999.0)</f>
        <v/>
      </c>
      <c r="G17" s="13">
        <f>IF(D17&gt;0.001, "INESTABLE // CRECIMIENTO", "ESTABLE // AMORTIGUADO")</f>
        <v/>
      </c>
    </row>
    <row r="18">
      <c r="A18" s="14" t="n">
        <v>50</v>
      </c>
      <c r="B18" s="14">
        <f>(2*PI())/A18</f>
        <v/>
      </c>
      <c r="C18" s="14">
        <f>SQRT(Parametros_Fisicos!$C$8*Parametros_Fisicos!$C$9*A18)</f>
        <v/>
      </c>
      <c r="D18" s="14">
        <f>SQRT(MAX(0, Parametros_Fisicos!$C$8*Parametros_Fisicos!$C$9*A18 - (Parametros_Fisicos!$C$10*A18^3)/(Parametros_Fisicos!$C$6+Parametros_Fisicos!$C$7)))</f>
        <v/>
      </c>
      <c r="E18" s="14">
        <f>MAX(0, SQRT(MAX(0, D18^2 + (Parametros_Fisicos!$C$11^2)*(A18^4))) - Parametros_Fisicos!$C$11*(A18^2))</f>
        <v/>
      </c>
      <c r="F18" s="14">
        <f>IF(E18&gt;0.001, 1/E18, 9999.0)</f>
        <v/>
      </c>
      <c r="G18" s="15">
        <f>IF(D18&gt;0.001, "INESTABLE // CRECIMIENTO", "ESTABLE // AMORTIGUADO")</f>
        <v/>
      </c>
    </row>
    <row r="19">
      <c r="A19" s="12" t="n">
        <v>60</v>
      </c>
      <c r="B19" s="12">
        <f>(2*PI())/A19</f>
        <v/>
      </c>
      <c r="C19" s="12">
        <f>SQRT(Parametros_Fisicos!$C$8*Parametros_Fisicos!$C$9*A19)</f>
        <v/>
      </c>
      <c r="D19" s="12">
        <f>SQRT(MAX(0, Parametros_Fisicos!$C$8*Parametros_Fisicos!$C$9*A19 - (Parametros_Fisicos!$C$10*A19^3)/(Parametros_Fisicos!$C$6+Parametros_Fisicos!$C$7)))</f>
        <v/>
      </c>
      <c r="E19" s="12">
        <f>MAX(0, SQRT(MAX(0, D19^2 + (Parametros_Fisicos!$C$11^2)*(A19^4))) - Parametros_Fisicos!$C$11*(A19^2))</f>
        <v/>
      </c>
      <c r="F19" s="12">
        <f>IF(E19&gt;0.001, 1/E19, 9999.0)</f>
        <v/>
      </c>
      <c r="G19" s="13">
        <f>IF(D19&gt;0.001, "INESTABLE // CRECIMIENTO", "ESTABLE // AMORTIGUADO")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showGridLines="1" workbookViewId="0">
      <selection activeCell="A1" sqref="A1"/>
    </sheetView>
  </sheetViews>
  <sheetFormatPr baseColWidth="8" defaultRowHeight="15"/>
  <cols>
    <col width="83" customWidth="1" min="1" max="1"/>
    <col width="28" customWidth="1" min="2" max="2"/>
    <col width="40" customWidth="1" min="3" max="3"/>
    <col width="35" customWidth="1" min="4" max="4"/>
    <col width="34" customWidth="1" min="5" max="5"/>
    <col width="33" customWidth="1" min="6" max="6"/>
    <col width="31" customWidth="1" min="7" max="7"/>
    <col width="38" customWidth="1" min="8" max="8"/>
    <col width="23" customWidth="1" min="9" max="9"/>
  </cols>
  <sheetData>
    <row r="1">
      <c r="A1" s="1" t="inlineStr">
        <is>
          <t>CONTINUUM LAB // TRAYECTORIA TEMPORAL Y ZONA DE MEZCLA</t>
        </is>
      </c>
    </row>
    <row r="2">
      <c r="A2" s="2" t="inlineStr">
        <is>
          <t>Evolución No-Lineal: Penetración de Picos, Ascenso de Burbujas y Ley Cuadrática</t>
        </is>
      </c>
    </row>
    <row r="3"/>
    <row r="4" ht="24" customHeight="1">
      <c r="A4" s="4" t="inlineStr">
        <is>
          <t>Tiempo t [s]</t>
        </is>
      </c>
      <c r="B4" s="4" t="inlineStr">
        <is>
          <t>Amplitud Lineal η(t) [m]</t>
        </is>
      </c>
      <c r="C4" s="4" t="inlineStr">
        <is>
          <t>Velocidad Terminal Burbuja v_b [m/s]</t>
        </is>
      </c>
      <c r="D4" s="4" t="inlineStr">
        <is>
          <t>Profundidad de Pico y_spike [m]</t>
        </is>
      </c>
      <c r="E4" s="4" t="inlineStr">
        <is>
          <t>Altura de Burbuja y_bubble [m]</t>
        </is>
      </c>
      <c r="F4" s="4" t="inlineStr">
        <is>
          <t>Ancho Zona de Mezcla h(t) [m]</t>
        </is>
      </c>
      <c r="G4" s="4" t="inlineStr">
        <is>
          <t>Teoría Dimonte α·A·g·t² [m]</t>
        </is>
      </c>
      <c r="H4" s="4" t="inlineStr">
        <is>
          <t>Energía Cinética Escalar E_k [J/m]</t>
        </is>
      </c>
      <c r="I4" s="4" t="inlineStr">
        <is>
          <t>Fase Fenomenológica</t>
        </is>
      </c>
    </row>
    <row r="5">
      <c r="A5" s="12" t="n">
        <v>0</v>
      </c>
      <c r="B5" s="12">
        <f>Parametros_Fisicos!$C$13*COSH(MIN(15, Parametros_Fisicos!$C$18*A5))</f>
        <v/>
      </c>
      <c r="C5" s="12">
        <f>0.23*SQRT(Parametros_Fisicos!$C$8*Parametros_Fisicos!$C$9*Parametros_Fisicos!$C$17)</f>
        <v/>
      </c>
      <c r="D5" s="12">
        <f>-0.5*Parametros_Fisicos!$C$19*Parametros_Fisicos!$C$8*Parametros_Fisicos!$C$9*(A5^2)*(1+Parametros_Fisicos!$C$8)</f>
        <v/>
      </c>
      <c r="E5" s="12">
        <f>0.5*Parametros_Fisicos!$C$19*Parametros_Fisicos!$C$8*Parametros_Fisicos!$C$9*(A5^2)*(1-Parametros_Fisicos!$C$8) + C5*MIN(A5, 2.0)</f>
        <v/>
      </c>
      <c r="F5" s="12">
        <f>E5-D5</f>
        <v/>
      </c>
      <c r="G5" s="12">
        <f>Parametros_Fisicos!$C$19*Parametros_Fisicos!$C$8*Parametros_Fisicos!$C$9*(A5^2)</f>
        <v/>
      </c>
      <c r="H5" s="12">
        <f>0.5*0.5*(Parametros_Fisicos!$C$6+Parametros_Fisicos!$C$7)*(Parametros_Fisicos!$C$19*Parametros_Fisicos!$C$8*Parametros_Fisicos!$C$9*A5)^2*F5</f>
        <v/>
      </c>
      <c r="I5" s="13">
        <f>IF(A5&lt;3.5, "Lineal: Perturbación", IF(A5&lt;8.0, "No-Lineal: Picos y Burbujas", IF(A5&lt;12.5, "Secundaria: Vórtices Champiñón", "Turbulento: Mezcla Auto-similar")))</f>
        <v/>
      </c>
    </row>
    <row r="6">
      <c r="A6" s="14" t="n">
        <v>0.5</v>
      </c>
      <c r="B6" s="14">
        <f>Parametros_Fisicos!$C$13*COSH(MIN(15, Parametros_Fisicos!$C$18*A6))</f>
        <v/>
      </c>
      <c r="C6" s="14">
        <f>0.23*SQRT(Parametros_Fisicos!$C$8*Parametros_Fisicos!$C$9*Parametros_Fisicos!$C$17)</f>
        <v/>
      </c>
      <c r="D6" s="14">
        <f>-0.5*Parametros_Fisicos!$C$19*Parametros_Fisicos!$C$8*Parametros_Fisicos!$C$9*(A6^2)*(1+Parametros_Fisicos!$C$8)</f>
        <v/>
      </c>
      <c r="E6" s="14">
        <f>0.5*Parametros_Fisicos!$C$19*Parametros_Fisicos!$C$8*Parametros_Fisicos!$C$9*(A6^2)*(1-Parametros_Fisicos!$C$8) + C6*MIN(A6, 2.0)</f>
        <v/>
      </c>
      <c r="F6" s="14">
        <f>E6-D6</f>
        <v/>
      </c>
      <c r="G6" s="14">
        <f>Parametros_Fisicos!$C$19*Parametros_Fisicos!$C$8*Parametros_Fisicos!$C$9*(A6^2)</f>
        <v/>
      </c>
      <c r="H6" s="14">
        <f>0.5*0.5*(Parametros_Fisicos!$C$6+Parametros_Fisicos!$C$7)*(Parametros_Fisicos!$C$19*Parametros_Fisicos!$C$8*Parametros_Fisicos!$C$9*A6)^2*F6</f>
        <v/>
      </c>
      <c r="I6" s="15">
        <f>IF(A6&lt;3.5, "Lineal: Perturbación", IF(A6&lt;8.0, "No-Lineal: Picos y Burbujas", IF(A6&lt;12.5, "Secundaria: Vórtices Champiñón", "Turbulento: Mezcla Auto-similar")))</f>
        <v/>
      </c>
    </row>
    <row r="7">
      <c r="A7" s="12" t="n">
        <v>1</v>
      </c>
      <c r="B7" s="12">
        <f>Parametros_Fisicos!$C$13*COSH(MIN(15, Parametros_Fisicos!$C$18*A7))</f>
        <v/>
      </c>
      <c r="C7" s="12">
        <f>0.23*SQRT(Parametros_Fisicos!$C$8*Parametros_Fisicos!$C$9*Parametros_Fisicos!$C$17)</f>
        <v/>
      </c>
      <c r="D7" s="12">
        <f>-0.5*Parametros_Fisicos!$C$19*Parametros_Fisicos!$C$8*Parametros_Fisicos!$C$9*(A7^2)*(1+Parametros_Fisicos!$C$8)</f>
        <v/>
      </c>
      <c r="E7" s="12">
        <f>0.5*Parametros_Fisicos!$C$19*Parametros_Fisicos!$C$8*Parametros_Fisicos!$C$9*(A7^2)*(1-Parametros_Fisicos!$C$8) + C7*MIN(A7, 2.0)</f>
        <v/>
      </c>
      <c r="F7" s="12">
        <f>E7-D7</f>
        <v/>
      </c>
      <c r="G7" s="12">
        <f>Parametros_Fisicos!$C$19*Parametros_Fisicos!$C$8*Parametros_Fisicos!$C$9*(A7^2)</f>
        <v/>
      </c>
      <c r="H7" s="12">
        <f>0.5*0.5*(Parametros_Fisicos!$C$6+Parametros_Fisicos!$C$7)*(Parametros_Fisicos!$C$19*Parametros_Fisicos!$C$8*Parametros_Fisicos!$C$9*A7)^2*F7</f>
        <v/>
      </c>
      <c r="I7" s="13">
        <f>IF(A7&lt;3.5, "Lineal: Perturbación", IF(A7&lt;8.0, "No-Lineal: Picos y Burbujas", IF(A7&lt;12.5, "Secundaria: Vórtices Champiñón", "Turbulento: Mezcla Auto-similar")))</f>
        <v/>
      </c>
    </row>
    <row r="8">
      <c r="A8" s="14" t="n">
        <v>1.5</v>
      </c>
      <c r="B8" s="14">
        <f>Parametros_Fisicos!$C$13*COSH(MIN(15, Parametros_Fisicos!$C$18*A8))</f>
        <v/>
      </c>
      <c r="C8" s="14">
        <f>0.23*SQRT(Parametros_Fisicos!$C$8*Parametros_Fisicos!$C$9*Parametros_Fisicos!$C$17)</f>
        <v/>
      </c>
      <c r="D8" s="14">
        <f>-0.5*Parametros_Fisicos!$C$19*Parametros_Fisicos!$C$8*Parametros_Fisicos!$C$9*(A8^2)*(1+Parametros_Fisicos!$C$8)</f>
        <v/>
      </c>
      <c r="E8" s="14">
        <f>0.5*Parametros_Fisicos!$C$19*Parametros_Fisicos!$C$8*Parametros_Fisicos!$C$9*(A8^2)*(1-Parametros_Fisicos!$C$8) + C8*MIN(A8, 2.0)</f>
        <v/>
      </c>
      <c r="F8" s="14">
        <f>E8-D8</f>
        <v/>
      </c>
      <c r="G8" s="14">
        <f>Parametros_Fisicos!$C$19*Parametros_Fisicos!$C$8*Parametros_Fisicos!$C$9*(A8^2)</f>
        <v/>
      </c>
      <c r="H8" s="14">
        <f>0.5*0.5*(Parametros_Fisicos!$C$6+Parametros_Fisicos!$C$7)*(Parametros_Fisicos!$C$19*Parametros_Fisicos!$C$8*Parametros_Fisicos!$C$9*A8)^2*F8</f>
        <v/>
      </c>
      <c r="I8" s="15">
        <f>IF(A8&lt;3.5, "Lineal: Perturbación", IF(A8&lt;8.0, "No-Lineal: Picos y Burbujas", IF(A8&lt;12.5, "Secundaria: Vórtices Champiñón", "Turbulento: Mezcla Auto-similar")))</f>
        <v/>
      </c>
    </row>
    <row r="9">
      <c r="A9" s="12" t="n">
        <v>2</v>
      </c>
      <c r="B9" s="12">
        <f>Parametros_Fisicos!$C$13*COSH(MIN(15, Parametros_Fisicos!$C$18*A9))</f>
        <v/>
      </c>
      <c r="C9" s="12">
        <f>0.23*SQRT(Parametros_Fisicos!$C$8*Parametros_Fisicos!$C$9*Parametros_Fisicos!$C$17)</f>
        <v/>
      </c>
      <c r="D9" s="12">
        <f>-0.5*Parametros_Fisicos!$C$19*Parametros_Fisicos!$C$8*Parametros_Fisicos!$C$9*(A9^2)*(1+Parametros_Fisicos!$C$8)</f>
        <v/>
      </c>
      <c r="E9" s="12">
        <f>0.5*Parametros_Fisicos!$C$19*Parametros_Fisicos!$C$8*Parametros_Fisicos!$C$9*(A9^2)*(1-Parametros_Fisicos!$C$8) + C9*MIN(A9, 2.0)</f>
        <v/>
      </c>
      <c r="F9" s="12">
        <f>E9-D9</f>
        <v/>
      </c>
      <c r="G9" s="12">
        <f>Parametros_Fisicos!$C$19*Parametros_Fisicos!$C$8*Parametros_Fisicos!$C$9*(A9^2)</f>
        <v/>
      </c>
      <c r="H9" s="12">
        <f>0.5*0.5*(Parametros_Fisicos!$C$6+Parametros_Fisicos!$C$7)*(Parametros_Fisicos!$C$19*Parametros_Fisicos!$C$8*Parametros_Fisicos!$C$9*A9)^2*F9</f>
        <v/>
      </c>
      <c r="I9" s="13">
        <f>IF(A9&lt;3.5, "Lineal: Perturbación", IF(A9&lt;8.0, "No-Lineal: Picos y Burbujas", IF(A9&lt;12.5, "Secundaria: Vórtices Champiñón", "Turbulento: Mezcla Auto-similar")))</f>
        <v/>
      </c>
    </row>
    <row r="10">
      <c r="A10" s="14" t="n">
        <v>2.5</v>
      </c>
      <c r="B10" s="14">
        <f>Parametros_Fisicos!$C$13*COSH(MIN(15, Parametros_Fisicos!$C$18*A10))</f>
        <v/>
      </c>
      <c r="C10" s="14">
        <f>0.23*SQRT(Parametros_Fisicos!$C$8*Parametros_Fisicos!$C$9*Parametros_Fisicos!$C$17)</f>
        <v/>
      </c>
      <c r="D10" s="14">
        <f>-0.5*Parametros_Fisicos!$C$19*Parametros_Fisicos!$C$8*Parametros_Fisicos!$C$9*(A10^2)*(1+Parametros_Fisicos!$C$8)</f>
        <v/>
      </c>
      <c r="E10" s="14">
        <f>0.5*Parametros_Fisicos!$C$19*Parametros_Fisicos!$C$8*Parametros_Fisicos!$C$9*(A10^2)*(1-Parametros_Fisicos!$C$8) + C10*MIN(A10, 2.0)</f>
        <v/>
      </c>
      <c r="F10" s="14">
        <f>E10-D10</f>
        <v/>
      </c>
      <c r="G10" s="14">
        <f>Parametros_Fisicos!$C$19*Parametros_Fisicos!$C$8*Parametros_Fisicos!$C$9*(A10^2)</f>
        <v/>
      </c>
      <c r="H10" s="14">
        <f>0.5*0.5*(Parametros_Fisicos!$C$6+Parametros_Fisicos!$C$7)*(Parametros_Fisicos!$C$19*Parametros_Fisicos!$C$8*Parametros_Fisicos!$C$9*A10)^2*F10</f>
        <v/>
      </c>
      <c r="I10" s="15">
        <f>IF(A10&lt;3.5, "Lineal: Perturbación", IF(A10&lt;8.0, "No-Lineal: Picos y Burbujas", IF(A10&lt;12.5, "Secundaria: Vórtices Champiñón", "Turbulento: Mezcla Auto-similar")))</f>
        <v/>
      </c>
    </row>
    <row r="11">
      <c r="A11" s="12" t="n">
        <v>3</v>
      </c>
      <c r="B11" s="12">
        <f>Parametros_Fisicos!$C$13*COSH(MIN(15, Parametros_Fisicos!$C$18*A11))</f>
        <v/>
      </c>
      <c r="C11" s="12">
        <f>0.23*SQRT(Parametros_Fisicos!$C$8*Parametros_Fisicos!$C$9*Parametros_Fisicos!$C$17)</f>
        <v/>
      </c>
      <c r="D11" s="12">
        <f>-0.5*Parametros_Fisicos!$C$19*Parametros_Fisicos!$C$8*Parametros_Fisicos!$C$9*(A11^2)*(1+Parametros_Fisicos!$C$8)</f>
        <v/>
      </c>
      <c r="E11" s="12">
        <f>0.5*Parametros_Fisicos!$C$19*Parametros_Fisicos!$C$8*Parametros_Fisicos!$C$9*(A11^2)*(1-Parametros_Fisicos!$C$8) + C11*MIN(A11, 2.0)</f>
        <v/>
      </c>
      <c r="F11" s="12">
        <f>E11-D11</f>
        <v/>
      </c>
      <c r="G11" s="12">
        <f>Parametros_Fisicos!$C$19*Parametros_Fisicos!$C$8*Parametros_Fisicos!$C$9*(A11^2)</f>
        <v/>
      </c>
      <c r="H11" s="12">
        <f>0.5*0.5*(Parametros_Fisicos!$C$6+Parametros_Fisicos!$C$7)*(Parametros_Fisicos!$C$19*Parametros_Fisicos!$C$8*Parametros_Fisicos!$C$9*A11)^2*F11</f>
        <v/>
      </c>
      <c r="I11" s="13">
        <f>IF(A11&lt;3.5, "Lineal: Perturbación", IF(A11&lt;8.0, "No-Lineal: Picos y Burbujas", IF(A11&lt;12.5, "Secundaria: Vórtices Champiñón", "Turbulento: Mezcla Auto-similar")))</f>
        <v/>
      </c>
    </row>
    <row r="12">
      <c r="A12" s="14" t="n">
        <v>3.5</v>
      </c>
      <c r="B12" s="14">
        <f>Parametros_Fisicos!$C$13*COSH(MIN(15, Parametros_Fisicos!$C$18*A12))</f>
        <v/>
      </c>
      <c r="C12" s="14">
        <f>0.23*SQRT(Parametros_Fisicos!$C$8*Parametros_Fisicos!$C$9*Parametros_Fisicos!$C$17)</f>
        <v/>
      </c>
      <c r="D12" s="14">
        <f>-0.5*Parametros_Fisicos!$C$19*Parametros_Fisicos!$C$8*Parametros_Fisicos!$C$9*(A12^2)*(1+Parametros_Fisicos!$C$8)</f>
        <v/>
      </c>
      <c r="E12" s="14">
        <f>0.5*Parametros_Fisicos!$C$19*Parametros_Fisicos!$C$8*Parametros_Fisicos!$C$9*(A12^2)*(1-Parametros_Fisicos!$C$8) + C12*MIN(A12, 2.0)</f>
        <v/>
      </c>
      <c r="F12" s="14">
        <f>E12-D12</f>
        <v/>
      </c>
      <c r="G12" s="14">
        <f>Parametros_Fisicos!$C$19*Parametros_Fisicos!$C$8*Parametros_Fisicos!$C$9*(A12^2)</f>
        <v/>
      </c>
      <c r="H12" s="14">
        <f>0.5*0.5*(Parametros_Fisicos!$C$6+Parametros_Fisicos!$C$7)*(Parametros_Fisicos!$C$19*Parametros_Fisicos!$C$8*Parametros_Fisicos!$C$9*A12)^2*F12</f>
        <v/>
      </c>
      <c r="I12" s="15">
        <f>IF(A12&lt;3.5, "Lineal: Perturbación", IF(A12&lt;8.0, "No-Lineal: Picos y Burbujas", IF(A12&lt;12.5, "Secundaria: Vórtices Champiñón", "Turbulento: Mezcla Auto-similar")))</f>
        <v/>
      </c>
    </row>
    <row r="13">
      <c r="A13" s="12" t="n">
        <v>4</v>
      </c>
      <c r="B13" s="12">
        <f>Parametros_Fisicos!$C$13*COSH(MIN(15, Parametros_Fisicos!$C$18*A13))</f>
        <v/>
      </c>
      <c r="C13" s="12">
        <f>0.23*SQRT(Parametros_Fisicos!$C$8*Parametros_Fisicos!$C$9*Parametros_Fisicos!$C$17)</f>
        <v/>
      </c>
      <c r="D13" s="12">
        <f>-0.5*Parametros_Fisicos!$C$19*Parametros_Fisicos!$C$8*Parametros_Fisicos!$C$9*(A13^2)*(1+Parametros_Fisicos!$C$8)</f>
        <v/>
      </c>
      <c r="E13" s="12">
        <f>0.5*Parametros_Fisicos!$C$19*Parametros_Fisicos!$C$8*Parametros_Fisicos!$C$9*(A13^2)*(1-Parametros_Fisicos!$C$8) + C13*MIN(A13, 2.0)</f>
        <v/>
      </c>
      <c r="F13" s="12">
        <f>E13-D13</f>
        <v/>
      </c>
      <c r="G13" s="12">
        <f>Parametros_Fisicos!$C$19*Parametros_Fisicos!$C$8*Parametros_Fisicos!$C$9*(A13^2)</f>
        <v/>
      </c>
      <c r="H13" s="12">
        <f>0.5*0.5*(Parametros_Fisicos!$C$6+Parametros_Fisicos!$C$7)*(Parametros_Fisicos!$C$19*Parametros_Fisicos!$C$8*Parametros_Fisicos!$C$9*A13)^2*F13</f>
        <v/>
      </c>
      <c r="I13" s="13">
        <f>IF(A13&lt;3.5, "Lineal: Perturbación", IF(A13&lt;8.0, "No-Lineal: Picos y Burbujas", IF(A13&lt;12.5, "Secundaria: Vórtices Champiñón", "Turbulento: Mezcla Auto-similar")))</f>
        <v/>
      </c>
    </row>
    <row r="14">
      <c r="A14" s="14" t="n">
        <v>4.5</v>
      </c>
      <c r="B14" s="14">
        <f>Parametros_Fisicos!$C$13*COSH(MIN(15, Parametros_Fisicos!$C$18*A14))</f>
        <v/>
      </c>
      <c r="C14" s="14">
        <f>0.23*SQRT(Parametros_Fisicos!$C$8*Parametros_Fisicos!$C$9*Parametros_Fisicos!$C$17)</f>
        <v/>
      </c>
      <c r="D14" s="14">
        <f>-0.5*Parametros_Fisicos!$C$19*Parametros_Fisicos!$C$8*Parametros_Fisicos!$C$9*(A14^2)*(1+Parametros_Fisicos!$C$8)</f>
        <v/>
      </c>
      <c r="E14" s="14">
        <f>0.5*Parametros_Fisicos!$C$19*Parametros_Fisicos!$C$8*Parametros_Fisicos!$C$9*(A14^2)*(1-Parametros_Fisicos!$C$8) + C14*MIN(A14, 2.0)</f>
        <v/>
      </c>
      <c r="F14" s="14">
        <f>E14-D14</f>
        <v/>
      </c>
      <c r="G14" s="14">
        <f>Parametros_Fisicos!$C$19*Parametros_Fisicos!$C$8*Parametros_Fisicos!$C$9*(A14^2)</f>
        <v/>
      </c>
      <c r="H14" s="14">
        <f>0.5*0.5*(Parametros_Fisicos!$C$6+Parametros_Fisicos!$C$7)*(Parametros_Fisicos!$C$19*Parametros_Fisicos!$C$8*Parametros_Fisicos!$C$9*A14)^2*F14</f>
        <v/>
      </c>
      <c r="I14" s="15">
        <f>IF(A14&lt;3.5, "Lineal: Perturbación", IF(A14&lt;8.0, "No-Lineal: Picos y Burbujas", IF(A14&lt;12.5, "Secundaria: Vórtices Champiñón", "Turbulento: Mezcla Auto-similar")))</f>
        <v/>
      </c>
    </row>
    <row r="15">
      <c r="A15" s="12" t="n">
        <v>5</v>
      </c>
      <c r="B15" s="12">
        <f>Parametros_Fisicos!$C$13*COSH(MIN(15, Parametros_Fisicos!$C$18*A15))</f>
        <v/>
      </c>
      <c r="C15" s="12">
        <f>0.23*SQRT(Parametros_Fisicos!$C$8*Parametros_Fisicos!$C$9*Parametros_Fisicos!$C$17)</f>
        <v/>
      </c>
      <c r="D15" s="12">
        <f>-0.5*Parametros_Fisicos!$C$19*Parametros_Fisicos!$C$8*Parametros_Fisicos!$C$9*(A15^2)*(1+Parametros_Fisicos!$C$8)</f>
        <v/>
      </c>
      <c r="E15" s="12">
        <f>0.5*Parametros_Fisicos!$C$19*Parametros_Fisicos!$C$8*Parametros_Fisicos!$C$9*(A15^2)*(1-Parametros_Fisicos!$C$8) + C15*MIN(A15, 2.0)</f>
        <v/>
      </c>
      <c r="F15" s="12">
        <f>E15-D15</f>
        <v/>
      </c>
      <c r="G15" s="12">
        <f>Parametros_Fisicos!$C$19*Parametros_Fisicos!$C$8*Parametros_Fisicos!$C$9*(A15^2)</f>
        <v/>
      </c>
      <c r="H15" s="12">
        <f>0.5*0.5*(Parametros_Fisicos!$C$6+Parametros_Fisicos!$C$7)*(Parametros_Fisicos!$C$19*Parametros_Fisicos!$C$8*Parametros_Fisicos!$C$9*A15)^2*F15</f>
        <v/>
      </c>
      <c r="I15" s="13">
        <f>IF(A15&lt;3.5, "Lineal: Perturbación", IF(A15&lt;8.0, "No-Lineal: Picos y Burbujas", IF(A15&lt;12.5, "Secundaria: Vórtices Champiñón", "Turbulento: Mezcla Auto-similar")))</f>
        <v/>
      </c>
    </row>
    <row r="16">
      <c r="A16" s="14" t="n">
        <v>5.5</v>
      </c>
      <c r="B16" s="14">
        <f>Parametros_Fisicos!$C$13*COSH(MIN(15, Parametros_Fisicos!$C$18*A16))</f>
        <v/>
      </c>
      <c r="C16" s="14">
        <f>0.23*SQRT(Parametros_Fisicos!$C$8*Parametros_Fisicos!$C$9*Parametros_Fisicos!$C$17)</f>
        <v/>
      </c>
      <c r="D16" s="14">
        <f>-0.5*Parametros_Fisicos!$C$19*Parametros_Fisicos!$C$8*Parametros_Fisicos!$C$9*(A16^2)*(1+Parametros_Fisicos!$C$8)</f>
        <v/>
      </c>
      <c r="E16" s="14">
        <f>0.5*Parametros_Fisicos!$C$19*Parametros_Fisicos!$C$8*Parametros_Fisicos!$C$9*(A16^2)*(1-Parametros_Fisicos!$C$8) + C16*MIN(A16, 2.0)</f>
        <v/>
      </c>
      <c r="F16" s="14">
        <f>E16-D16</f>
        <v/>
      </c>
      <c r="G16" s="14">
        <f>Parametros_Fisicos!$C$19*Parametros_Fisicos!$C$8*Parametros_Fisicos!$C$9*(A16^2)</f>
        <v/>
      </c>
      <c r="H16" s="14">
        <f>0.5*0.5*(Parametros_Fisicos!$C$6+Parametros_Fisicos!$C$7)*(Parametros_Fisicos!$C$19*Parametros_Fisicos!$C$8*Parametros_Fisicos!$C$9*A16)^2*F16</f>
        <v/>
      </c>
      <c r="I16" s="15">
        <f>IF(A16&lt;3.5, "Lineal: Perturbación", IF(A16&lt;8.0, "No-Lineal: Picos y Burbujas", IF(A16&lt;12.5, "Secundaria: Vórtices Champiñón", "Turbulento: Mezcla Auto-similar")))</f>
        <v/>
      </c>
    </row>
    <row r="17">
      <c r="A17" s="12" t="n">
        <v>6</v>
      </c>
      <c r="B17" s="12">
        <f>Parametros_Fisicos!$C$13*COSH(MIN(15, Parametros_Fisicos!$C$18*A17))</f>
        <v/>
      </c>
      <c r="C17" s="12">
        <f>0.23*SQRT(Parametros_Fisicos!$C$8*Parametros_Fisicos!$C$9*Parametros_Fisicos!$C$17)</f>
        <v/>
      </c>
      <c r="D17" s="12">
        <f>-0.5*Parametros_Fisicos!$C$19*Parametros_Fisicos!$C$8*Parametros_Fisicos!$C$9*(A17^2)*(1+Parametros_Fisicos!$C$8)</f>
        <v/>
      </c>
      <c r="E17" s="12">
        <f>0.5*Parametros_Fisicos!$C$19*Parametros_Fisicos!$C$8*Parametros_Fisicos!$C$9*(A17^2)*(1-Parametros_Fisicos!$C$8) + C17*MIN(A17, 2.0)</f>
        <v/>
      </c>
      <c r="F17" s="12">
        <f>E17-D17</f>
        <v/>
      </c>
      <c r="G17" s="12">
        <f>Parametros_Fisicos!$C$19*Parametros_Fisicos!$C$8*Parametros_Fisicos!$C$9*(A17^2)</f>
        <v/>
      </c>
      <c r="H17" s="12">
        <f>0.5*0.5*(Parametros_Fisicos!$C$6+Parametros_Fisicos!$C$7)*(Parametros_Fisicos!$C$19*Parametros_Fisicos!$C$8*Parametros_Fisicos!$C$9*A17)^2*F17</f>
        <v/>
      </c>
      <c r="I17" s="13">
        <f>IF(A17&lt;3.5, "Lineal: Perturbación", IF(A17&lt;8.0, "No-Lineal: Picos y Burbujas", IF(A17&lt;12.5, "Secundaria: Vórtices Champiñón", "Turbulento: Mezcla Auto-similar")))</f>
        <v/>
      </c>
    </row>
    <row r="18">
      <c r="A18" s="14" t="n">
        <v>6.5</v>
      </c>
      <c r="B18" s="14">
        <f>Parametros_Fisicos!$C$13*COSH(MIN(15, Parametros_Fisicos!$C$18*A18))</f>
        <v/>
      </c>
      <c r="C18" s="14">
        <f>0.23*SQRT(Parametros_Fisicos!$C$8*Parametros_Fisicos!$C$9*Parametros_Fisicos!$C$17)</f>
        <v/>
      </c>
      <c r="D18" s="14">
        <f>-0.5*Parametros_Fisicos!$C$19*Parametros_Fisicos!$C$8*Parametros_Fisicos!$C$9*(A18^2)*(1+Parametros_Fisicos!$C$8)</f>
        <v/>
      </c>
      <c r="E18" s="14">
        <f>0.5*Parametros_Fisicos!$C$19*Parametros_Fisicos!$C$8*Parametros_Fisicos!$C$9*(A18^2)*(1-Parametros_Fisicos!$C$8) + C18*MIN(A18, 2.0)</f>
        <v/>
      </c>
      <c r="F18" s="14">
        <f>E18-D18</f>
        <v/>
      </c>
      <c r="G18" s="14">
        <f>Parametros_Fisicos!$C$19*Parametros_Fisicos!$C$8*Parametros_Fisicos!$C$9*(A18^2)</f>
        <v/>
      </c>
      <c r="H18" s="14">
        <f>0.5*0.5*(Parametros_Fisicos!$C$6+Parametros_Fisicos!$C$7)*(Parametros_Fisicos!$C$19*Parametros_Fisicos!$C$8*Parametros_Fisicos!$C$9*A18)^2*F18</f>
        <v/>
      </c>
      <c r="I18" s="15">
        <f>IF(A18&lt;3.5, "Lineal: Perturbación", IF(A18&lt;8.0, "No-Lineal: Picos y Burbujas", IF(A18&lt;12.5, "Secundaria: Vórtices Champiñón", "Turbulento: Mezcla Auto-similar")))</f>
        <v/>
      </c>
    </row>
    <row r="19">
      <c r="A19" s="12" t="n">
        <v>7</v>
      </c>
      <c r="B19" s="12">
        <f>Parametros_Fisicos!$C$13*COSH(MIN(15, Parametros_Fisicos!$C$18*A19))</f>
        <v/>
      </c>
      <c r="C19" s="12">
        <f>0.23*SQRT(Parametros_Fisicos!$C$8*Parametros_Fisicos!$C$9*Parametros_Fisicos!$C$17)</f>
        <v/>
      </c>
      <c r="D19" s="12">
        <f>-0.5*Parametros_Fisicos!$C$19*Parametros_Fisicos!$C$8*Parametros_Fisicos!$C$9*(A19^2)*(1+Parametros_Fisicos!$C$8)</f>
        <v/>
      </c>
      <c r="E19" s="12">
        <f>0.5*Parametros_Fisicos!$C$19*Parametros_Fisicos!$C$8*Parametros_Fisicos!$C$9*(A19^2)*(1-Parametros_Fisicos!$C$8) + C19*MIN(A19, 2.0)</f>
        <v/>
      </c>
      <c r="F19" s="12">
        <f>E19-D19</f>
        <v/>
      </c>
      <c r="G19" s="12">
        <f>Parametros_Fisicos!$C$19*Parametros_Fisicos!$C$8*Parametros_Fisicos!$C$9*(A19^2)</f>
        <v/>
      </c>
      <c r="H19" s="12">
        <f>0.5*0.5*(Parametros_Fisicos!$C$6+Parametros_Fisicos!$C$7)*(Parametros_Fisicos!$C$19*Parametros_Fisicos!$C$8*Parametros_Fisicos!$C$9*A19)^2*F19</f>
        <v/>
      </c>
      <c r="I19" s="13">
        <f>IF(A19&lt;3.5, "Lineal: Perturbación", IF(A19&lt;8.0, "No-Lineal: Picos y Burbujas", IF(A19&lt;12.5, "Secundaria: Vórtices Champiñón", "Turbulento: Mezcla Auto-similar")))</f>
        <v/>
      </c>
    </row>
    <row r="20">
      <c r="A20" s="14" t="n">
        <v>7.5</v>
      </c>
      <c r="B20" s="14">
        <f>Parametros_Fisicos!$C$13*COSH(MIN(15, Parametros_Fisicos!$C$18*A20))</f>
        <v/>
      </c>
      <c r="C20" s="14">
        <f>0.23*SQRT(Parametros_Fisicos!$C$8*Parametros_Fisicos!$C$9*Parametros_Fisicos!$C$17)</f>
        <v/>
      </c>
      <c r="D20" s="14">
        <f>-0.5*Parametros_Fisicos!$C$19*Parametros_Fisicos!$C$8*Parametros_Fisicos!$C$9*(A20^2)*(1+Parametros_Fisicos!$C$8)</f>
        <v/>
      </c>
      <c r="E20" s="14">
        <f>0.5*Parametros_Fisicos!$C$19*Parametros_Fisicos!$C$8*Parametros_Fisicos!$C$9*(A20^2)*(1-Parametros_Fisicos!$C$8) + C20*MIN(A20, 2.0)</f>
        <v/>
      </c>
      <c r="F20" s="14">
        <f>E20-D20</f>
        <v/>
      </c>
      <c r="G20" s="14">
        <f>Parametros_Fisicos!$C$19*Parametros_Fisicos!$C$8*Parametros_Fisicos!$C$9*(A20^2)</f>
        <v/>
      </c>
      <c r="H20" s="14">
        <f>0.5*0.5*(Parametros_Fisicos!$C$6+Parametros_Fisicos!$C$7)*(Parametros_Fisicos!$C$19*Parametros_Fisicos!$C$8*Parametros_Fisicos!$C$9*A20)^2*F20</f>
        <v/>
      </c>
      <c r="I20" s="15">
        <f>IF(A20&lt;3.5, "Lineal: Perturbación", IF(A20&lt;8.0, "No-Lineal: Picos y Burbujas", IF(A20&lt;12.5, "Secundaria: Vórtices Champiñón", "Turbulento: Mezcla Auto-similar")))</f>
        <v/>
      </c>
    </row>
    <row r="21">
      <c r="A21" s="12" t="n">
        <v>8</v>
      </c>
      <c r="B21" s="12">
        <f>Parametros_Fisicos!$C$13*COSH(MIN(15, Parametros_Fisicos!$C$18*A21))</f>
        <v/>
      </c>
      <c r="C21" s="12">
        <f>0.23*SQRT(Parametros_Fisicos!$C$8*Parametros_Fisicos!$C$9*Parametros_Fisicos!$C$17)</f>
        <v/>
      </c>
      <c r="D21" s="12">
        <f>-0.5*Parametros_Fisicos!$C$19*Parametros_Fisicos!$C$8*Parametros_Fisicos!$C$9*(A21^2)*(1+Parametros_Fisicos!$C$8)</f>
        <v/>
      </c>
      <c r="E21" s="12">
        <f>0.5*Parametros_Fisicos!$C$19*Parametros_Fisicos!$C$8*Parametros_Fisicos!$C$9*(A21^2)*(1-Parametros_Fisicos!$C$8) + C21*MIN(A21, 2.0)</f>
        <v/>
      </c>
      <c r="F21" s="12">
        <f>E21-D21</f>
        <v/>
      </c>
      <c r="G21" s="12">
        <f>Parametros_Fisicos!$C$19*Parametros_Fisicos!$C$8*Parametros_Fisicos!$C$9*(A21^2)</f>
        <v/>
      </c>
      <c r="H21" s="12">
        <f>0.5*0.5*(Parametros_Fisicos!$C$6+Parametros_Fisicos!$C$7)*(Parametros_Fisicos!$C$19*Parametros_Fisicos!$C$8*Parametros_Fisicos!$C$9*A21)^2*F21</f>
        <v/>
      </c>
      <c r="I21" s="13">
        <f>IF(A21&lt;3.5, "Lineal: Perturbación", IF(A21&lt;8.0, "No-Lineal: Picos y Burbujas", IF(A21&lt;12.5, "Secundaria: Vórtices Champiñón", "Turbulento: Mezcla Auto-similar")))</f>
        <v/>
      </c>
    </row>
    <row r="22">
      <c r="A22" s="14" t="n">
        <v>8.5</v>
      </c>
      <c r="B22" s="14">
        <f>Parametros_Fisicos!$C$13*COSH(MIN(15, Parametros_Fisicos!$C$18*A22))</f>
        <v/>
      </c>
      <c r="C22" s="14">
        <f>0.23*SQRT(Parametros_Fisicos!$C$8*Parametros_Fisicos!$C$9*Parametros_Fisicos!$C$17)</f>
        <v/>
      </c>
      <c r="D22" s="14">
        <f>-0.5*Parametros_Fisicos!$C$19*Parametros_Fisicos!$C$8*Parametros_Fisicos!$C$9*(A22^2)*(1+Parametros_Fisicos!$C$8)</f>
        <v/>
      </c>
      <c r="E22" s="14">
        <f>0.5*Parametros_Fisicos!$C$19*Parametros_Fisicos!$C$8*Parametros_Fisicos!$C$9*(A22^2)*(1-Parametros_Fisicos!$C$8) + C22*MIN(A22, 2.0)</f>
        <v/>
      </c>
      <c r="F22" s="14">
        <f>E22-D22</f>
        <v/>
      </c>
      <c r="G22" s="14">
        <f>Parametros_Fisicos!$C$19*Parametros_Fisicos!$C$8*Parametros_Fisicos!$C$9*(A22^2)</f>
        <v/>
      </c>
      <c r="H22" s="14">
        <f>0.5*0.5*(Parametros_Fisicos!$C$6+Parametros_Fisicos!$C$7)*(Parametros_Fisicos!$C$19*Parametros_Fisicos!$C$8*Parametros_Fisicos!$C$9*A22)^2*F22</f>
        <v/>
      </c>
      <c r="I22" s="15">
        <f>IF(A22&lt;3.5, "Lineal: Perturbación", IF(A22&lt;8.0, "No-Lineal: Picos y Burbujas", IF(A22&lt;12.5, "Secundaria: Vórtices Champiñón", "Turbulento: Mezcla Auto-similar")))</f>
        <v/>
      </c>
    </row>
    <row r="23">
      <c r="A23" s="12" t="n">
        <v>9</v>
      </c>
      <c r="B23" s="12">
        <f>Parametros_Fisicos!$C$13*COSH(MIN(15, Parametros_Fisicos!$C$18*A23))</f>
        <v/>
      </c>
      <c r="C23" s="12">
        <f>0.23*SQRT(Parametros_Fisicos!$C$8*Parametros_Fisicos!$C$9*Parametros_Fisicos!$C$17)</f>
        <v/>
      </c>
      <c r="D23" s="12">
        <f>-0.5*Parametros_Fisicos!$C$19*Parametros_Fisicos!$C$8*Parametros_Fisicos!$C$9*(A23^2)*(1+Parametros_Fisicos!$C$8)</f>
        <v/>
      </c>
      <c r="E23" s="12">
        <f>0.5*Parametros_Fisicos!$C$19*Parametros_Fisicos!$C$8*Parametros_Fisicos!$C$9*(A23^2)*(1-Parametros_Fisicos!$C$8) + C23*MIN(A23, 2.0)</f>
        <v/>
      </c>
      <c r="F23" s="12">
        <f>E23-D23</f>
        <v/>
      </c>
      <c r="G23" s="12">
        <f>Parametros_Fisicos!$C$19*Parametros_Fisicos!$C$8*Parametros_Fisicos!$C$9*(A23^2)</f>
        <v/>
      </c>
      <c r="H23" s="12">
        <f>0.5*0.5*(Parametros_Fisicos!$C$6+Parametros_Fisicos!$C$7)*(Parametros_Fisicos!$C$19*Parametros_Fisicos!$C$8*Parametros_Fisicos!$C$9*A23)^2*F23</f>
        <v/>
      </c>
      <c r="I23" s="13">
        <f>IF(A23&lt;3.5, "Lineal: Perturbación", IF(A23&lt;8.0, "No-Lineal: Picos y Burbujas", IF(A23&lt;12.5, "Secundaria: Vórtices Champiñón", "Turbulento: Mezcla Auto-similar")))</f>
        <v/>
      </c>
    </row>
    <row r="24">
      <c r="A24" s="14" t="n">
        <v>9.5</v>
      </c>
      <c r="B24" s="14">
        <f>Parametros_Fisicos!$C$13*COSH(MIN(15, Parametros_Fisicos!$C$18*A24))</f>
        <v/>
      </c>
      <c r="C24" s="14">
        <f>0.23*SQRT(Parametros_Fisicos!$C$8*Parametros_Fisicos!$C$9*Parametros_Fisicos!$C$17)</f>
        <v/>
      </c>
      <c r="D24" s="14">
        <f>-0.5*Parametros_Fisicos!$C$19*Parametros_Fisicos!$C$8*Parametros_Fisicos!$C$9*(A24^2)*(1+Parametros_Fisicos!$C$8)</f>
        <v/>
      </c>
      <c r="E24" s="14">
        <f>0.5*Parametros_Fisicos!$C$19*Parametros_Fisicos!$C$8*Parametros_Fisicos!$C$9*(A24^2)*(1-Parametros_Fisicos!$C$8) + C24*MIN(A24, 2.0)</f>
        <v/>
      </c>
      <c r="F24" s="14">
        <f>E24-D24</f>
        <v/>
      </c>
      <c r="G24" s="14">
        <f>Parametros_Fisicos!$C$19*Parametros_Fisicos!$C$8*Parametros_Fisicos!$C$9*(A24^2)</f>
        <v/>
      </c>
      <c r="H24" s="14">
        <f>0.5*0.5*(Parametros_Fisicos!$C$6+Parametros_Fisicos!$C$7)*(Parametros_Fisicos!$C$19*Parametros_Fisicos!$C$8*Parametros_Fisicos!$C$9*A24)^2*F24</f>
        <v/>
      </c>
      <c r="I24" s="15">
        <f>IF(A24&lt;3.5, "Lineal: Perturbación", IF(A24&lt;8.0, "No-Lineal: Picos y Burbujas", IF(A24&lt;12.5, "Secundaria: Vórtices Champiñón", "Turbulento: Mezcla Auto-similar")))</f>
        <v/>
      </c>
    </row>
    <row r="25">
      <c r="A25" s="12" t="n">
        <v>10</v>
      </c>
      <c r="B25" s="12">
        <f>Parametros_Fisicos!$C$13*COSH(MIN(15, Parametros_Fisicos!$C$18*A25))</f>
        <v/>
      </c>
      <c r="C25" s="12">
        <f>0.23*SQRT(Parametros_Fisicos!$C$8*Parametros_Fisicos!$C$9*Parametros_Fisicos!$C$17)</f>
        <v/>
      </c>
      <c r="D25" s="12">
        <f>-0.5*Parametros_Fisicos!$C$19*Parametros_Fisicos!$C$8*Parametros_Fisicos!$C$9*(A25^2)*(1+Parametros_Fisicos!$C$8)</f>
        <v/>
      </c>
      <c r="E25" s="12">
        <f>0.5*Parametros_Fisicos!$C$19*Parametros_Fisicos!$C$8*Parametros_Fisicos!$C$9*(A25^2)*(1-Parametros_Fisicos!$C$8) + C25*MIN(A25, 2.0)</f>
        <v/>
      </c>
      <c r="F25" s="12">
        <f>E25-D25</f>
        <v/>
      </c>
      <c r="G25" s="12">
        <f>Parametros_Fisicos!$C$19*Parametros_Fisicos!$C$8*Parametros_Fisicos!$C$9*(A25^2)</f>
        <v/>
      </c>
      <c r="H25" s="12">
        <f>0.5*0.5*(Parametros_Fisicos!$C$6+Parametros_Fisicos!$C$7)*(Parametros_Fisicos!$C$19*Parametros_Fisicos!$C$8*Parametros_Fisicos!$C$9*A25)^2*F25</f>
        <v/>
      </c>
      <c r="I25" s="13">
        <f>IF(A25&lt;3.5, "Lineal: Perturbación", IF(A25&lt;8.0, "No-Lineal: Picos y Burbujas", IF(A25&lt;12.5, "Secundaria: Vórtices Champiñón", "Turbulento: Mezcla Auto-similar")))</f>
        <v/>
      </c>
    </row>
    <row r="26">
      <c r="A26" s="14" t="n">
        <v>10.5</v>
      </c>
      <c r="B26" s="14">
        <f>Parametros_Fisicos!$C$13*COSH(MIN(15, Parametros_Fisicos!$C$18*A26))</f>
        <v/>
      </c>
      <c r="C26" s="14">
        <f>0.23*SQRT(Parametros_Fisicos!$C$8*Parametros_Fisicos!$C$9*Parametros_Fisicos!$C$17)</f>
        <v/>
      </c>
      <c r="D26" s="14">
        <f>-0.5*Parametros_Fisicos!$C$19*Parametros_Fisicos!$C$8*Parametros_Fisicos!$C$9*(A26^2)*(1+Parametros_Fisicos!$C$8)</f>
        <v/>
      </c>
      <c r="E26" s="14">
        <f>0.5*Parametros_Fisicos!$C$19*Parametros_Fisicos!$C$8*Parametros_Fisicos!$C$9*(A26^2)*(1-Parametros_Fisicos!$C$8) + C26*MIN(A26, 2.0)</f>
        <v/>
      </c>
      <c r="F26" s="14">
        <f>E26-D26</f>
        <v/>
      </c>
      <c r="G26" s="14">
        <f>Parametros_Fisicos!$C$19*Parametros_Fisicos!$C$8*Parametros_Fisicos!$C$9*(A26^2)</f>
        <v/>
      </c>
      <c r="H26" s="14">
        <f>0.5*0.5*(Parametros_Fisicos!$C$6+Parametros_Fisicos!$C$7)*(Parametros_Fisicos!$C$19*Parametros_Fisicos!$C$8*Parametros_Fisicos!$C$9*A26)^2*F26</f>
        <v/>
      </c>
      <c r="I26" s="15">
        <f>IF(A26&lt;3.5, "Lineal: Perturbación", IF(A26&lt;8.0, "No-Lineal: Picos y Burbujas", IF(A26&lt;12.5, "Secundaria: Vórtices Champiñón", "Turbulento: Mezcla Auto-similar")))</f>
        <v/>
      </c>
    </row>
    <row r="27">
      <c r="A27" s="12" t="n">
        <v>11</v>
      </c>
      <c r="B27" s="12">
        <f>Parametros_Fisicos!$C$13*COSH(MIN(15, Parametros_Fisicos!$C$18*A27))</f>
        <v/>
      </c>
      <c r="C27" s="12">
        <f>0.23*SQRT(Parametros_Fisicos!$C$8*Parametros_Fisicos!$C$9*Parametros_Fisicos!$C$17)</f>
        <v/>
      </c>
      <c r="D27" s="12">
        <f>-0.5*Parametros_Fisicos!$C$19*Parametros_Fisicos!$C$8*Parametros_Fisicos!$C$9*(A27^2)*(1+Parametros_Fisicos!$C$8)</f>
        <v/>
      </c>
      <c r="E27" s="12">
        <f>0.5*Parametros_Fisicos!$C$19*Parametros_Fisicos!$C$8*Parametros_Fisicos!$C$9*(A27^2)*(1-Parametros_Fisicos!$C$8) + C27*MIN(A27, 2.0)</f>
        <v/>
      </c>
      <c r="F27" s="12">
        <f>E27-D27</f>
        <v/>
      </c>
      <c r="G27" s="12">
        <f>Parametros_Fisicos!$C$19*Parametros_Fisicos!$C$8*Parametros_Fisicos!$C$9*(A27^2)</f>
        <v/>
      </c>
      <c r="H27" s="12">
        <f>0.5*0.5*(Parametros_Fisicos!$C$6+Parametros_Fisicos!$C$7)*(Parametros_Fisicos!$C$19*Parametros_Fisicos!$C$8*Parametros_Fisicos!$C$9*A27)^2*F27</f>
        <v/>
      </c>
      <c r="I27" s="13">
        <f>IF(A27&lt;3.5, "Lineal: Perturbación", IF(A27&lt;8.0, "No-Lineal: Picos y Burbujas", IF(A27&lt;12.5, "Secundaria: Vórtices Champiñón", "Turbulento: Mezcla Auto-similar")))</f>
        <v/>
      </c>
    </row>
    <row r="28">
      <c r="A28" s="14" t="n">
        <v>11.5</v>
      </c>
      <c r="B28" s="14">
        <f>Parametros_Fisicos!$C$13*COSH(MIN(15, Parametros_Fisicos!$C$18*A28))</f>
        <v/>
      </c>
      <c r="C28" s="14">
        <f>0.23*SQRT(Parametros_Fisicos!$C$8*Parametros_Fisicos!$C$9*Parametros_Fisicos!$C$17)</f>
        <v/>
      </c>
      <c r="D28" s="14">
        <f>-0.5*Parametros_Fisicos!$C$19*Parametros_Fisicos!$C$8*Parametros_Fisicos!$C$9*(A28^2)*(1+Parametros_Fisicos!$C$8)</f>
        <v/>
      </c>
      <c r="E28" s="14">
        <f>0.5*Parametros_Fisicos!$C$19*Parametros_Fisicos!$C$8*Parametros_Fisicos!$C$9*(A28^2)*(1-Parametros_Fisicos!$C$8) + C28*MIN(A28, 2.0)</f>
        <v/>
      </c>
      <c r="F28" s="14">
        <f>E28-D28</f>
        <v/>
      </c>
      <c r="G28" s="14">
        <f>Parametros_Fisicos!$C$19*Parametros_Fisicos!$C$8*Parametros_Fisicos!$C$9*(A28^2)</f>
        <v/>
      </c>
      <c r="H28" s="14">
        <f>0.5*0.5*(Parametros_Fisicos!$C$6+Parametros_Fisicos!$C$7)*(Parametros_Fisicos!$C$19*Parametros_Fisicos!$C$8*Parametros_Fisicos!$C$9*A28)^2*F28</f>
        <v/>
      </c>
      <c r="I28" s="15">
        <f>IF(A28&lt;3.5, "Lineal: Perturbación", IF(A28&lt;8.0, "No-Lineal: Picos y Burbujas", IF(A28&lt;12.5, "Secundaria: Vórtices Champiñón", "Turbulento: Mezcla Auto-similar")))</f>
        <v/>
      </c>
    </row>
    <row r="29">
      <c r="A29" s="12" t="n">
        <v>12</v>
      </c>
      <c r="B29" s="12">
        <f>Parametros_Fisicos!$C$13*COSH(MIN(15, Parametros_Fisicos!$C$18*A29))</f>
        <v/>
      </c>
      <c r="C29" s="12">
        <f>0.23*SQRT(Parametros_Fisicos!$C$8*Parametros_Fisicos!$C$9*Parametros_Fisicos!$C$17)</f>
        <v/>
      </c>
      <c r="D29" s="12">
        <f>-0.5*Parametros_Fisicos!$C$19*Parametros_Fisicos!$C$8*Parametros_Fisicos!$C$9*(A29^2)*(1+Parametros_Fisicos!$C$8)</f>
        <v/>
      </c>
      <c r="E29" s="12">
        <f>0.5*Parametros_Fisicos!$C$19*Parametros_Fisicos!$C$8*Parametros_Fisicos!$C$9*(A29^2)*(1-Parametros_Fisicos!$C$8) + C29*MIN(A29, 2.0)</f>
        <v/>
      </c>
      <c r="F29" s="12">
        <f>E29-D29</f>
        <v/>
      </c>
      <c r="G29" s="12">
        <f>Parametros_Fisicos!$C$19*Parametros_Fisicos!$C$8*Parametros_Fisicos!$C$9*(A29^2)</f>
        <v/>
      </c>
      <c r="H29" s="12">
        <f>0.5*0.5*(Parametros_Fisicos!$C$6+Parametros_Fisicos!$C$7)*(Parametros_Fisicos!$C$19*Parametros_Fisicos!$C$8*Parametros_Fisicos!$C$9*A29)^2*F29</f>
        <v/>
      </c>
      <c r="I29" s="13">
        <f>IF(A29&lt;3.5, "Lineal: Perturbación", IF(A29&lt;8.0, "No-Lineal: Picos y Burbujas", IF(A29&lt;12.5, "Secundaria: Vórtices Champiñón", "Turbulento: Mezcla Auto-similar")))</f>
        <v/>
      </c>
    </row>
    <row r="30">
      <c r="A30" s="14" t="n">
        <v>12.5</v>
      </c>
      <c r="B30" s="14">
        <f>Parametros_Fisicos!$C$13*COSH(MIN(15, Parametros_Fisicos!$C$18*A30))</f>
        <v/>
      </c>
      <c r="C30" s="14">
        <f>0.23*SQRT(Parametros_Fisicos!$C$8*Parametros_Fisicos!$C$9*Parametros_Fisicos!$C$17)</f>
        <v/>
      </c>
      <c r="D30" s="14">
        <f>-0.5*Parametros_Fisicos!$C$19*Parametros_Fisicos!$C$8*Parametros_Fisicos!$C$9*(A30^2)*(1+Parametros_Fisicos!$C$8)</f>
        <v/>
      </c>
      <c r="E30" s="14">
        <f>0.5*Parametros_Fisicos!$C$19*Parametros_Fisicos!$C$8*Parametros_Fisicos!$C$9*(A30^2)*(1-Parametros_Fisicos!$C$8) + C30*MIN(A30, 2.0)</f>
        <v/>
      </c>
      <c r="F30" s="14">
        <f>E30-D30</f>
        <v/>
      </c>
      <c r="G30" s="14">
        <f>Parametros_Fisicos!$C$19*Parametros_Fisicos!$C$8*Parametros_Fisicos!$C$9*(A30^2)</f>
        <v/>
      </c>
      <c r="H30" s="14">
        <f>0.5*0.5*(Parametros_Fisicos!$C$6+Parametros_Fisicos!$C$7)*(Parametros_Fisicos!$C$19*Parametros_Fisicos!$C$8*Parametros_Fisicos!$C$9*A30)^2*F30</f>
        <v/>
      </c>
      <c r="I30" s="15">
        <f>IF(A30&lt;3.5, "Lineal: Perturbación", IF(A30&lt;8.0, "No-Lineal: Picos y Burbujas", IF(A30&lt;12.5, "Secundaria: Vórtices Champiñón", "Turbulento: Mezcla Auto-similar")))</f>
        <v/>
      </c>
    </row>
    <row r="31">
      <c r="A31" s="12" t="n">
        <v>13</v>
      </c>
      <c r="B31" s="12">
        <f>Parametros_Fisicos!$C$13*COSH(MIN(15, Parametros_Fisicos!$C$18*A31))</f>
        <v/>
      </c>
      <c r="C31" s="12">
        <f>0.23*SQRT(Parametros_Fisicos!$C$8*Parametros_Fisicos!$C$9*Parametros_Fisicos!$C$17)</f>
        <v/>
      </c>
      <c r="D31" s="12">
        <f>-0.5*Parametros_Fisicos!$C$19*Parametros_Fisicos!$C$8*Parametros_Fisicos!$C$9*(A31^2)*(1+Parametros_Fisicos!$C$8)</f>
        <v/>
      </c>
      <c r="E31" s="12">
        <f>0.5*Parametros_Fisicos!$C$19*Parametros_Fisicos!$C$8*Parametros_Fisicos!$C$9*(A31^2)*(1-Parametros_Fisicos!$C$8) + C31*MIN(A31, 2.0)</f>
        <v/>
      </c>
      <c r="F31" s="12">
        <f>E31-D31</f>
        <v/>
      </c>
      <c r="G31" s="12">
        <f>Parametros_Fisicos!$C$19*Parametros_Fisicos!$C$8*Parametros_Fisicos!$C$9*(A31^2)</f>
        <v/>
      </c>
      <c r="H31" s="12">
        <f>0.5*0.5*(Parametros_Fisicos!$C$6+Parametros_Fisicos!$C$7)*(Parametros_Fisicos!$C$19*Parametros_Fisicos!$C$8*Parametros_Fisicos!$C$9*A31)^2*F31</f>
        <v/>
      </c>
      <c r="I31" s="13">
        <f>IF(A31&lt;3.5, "Lineal: Perturbación", IF(A31&lt;8.0, "No-Lineal: Picos y Burbujas", IF(A31&lt;12.5, "Secundaria: Vórtices Champiñón", "Turbulento: Mezcla Auto-similar")))</f>
        <v/>
      </c>
    </row>
    <row r="32">
      <c r="A32" s="14" t="n">
        <v>13.5</v>
      </c>
      <c r="B32" s="14">
        <f>Parametros_Fisicos!$C$13*COSH(MIN(15, Parametros_Fisicos!$C$18*A32))</f>
        <v/>
      </c>
      <c r="C32" s="14">
        <f>0.23*SQRT(Parametros_Fisicos!$C$8*Parametros_Fisicos!$C$9*Parametros_Fisicos!$C$17)</f>
        <v/>
      </c>
      <c r="D32" s="14">
        <f>-0.5*Parametros_Fisicos!$C$19*Parametros_Fisicos!$C$8*Parametros_Fisicos!$C$9*(A32^2)*(1+Parametros_Fisicos!$C$8)</f>
        <v/>
      </c>
      <c r="E32" s="14">
        <f>0.5*Parametros_Fisicos!$C$19*Parametros_Fisicos!$C$8*Parametros_Fisicos!$C$9*(A32^2)*(1-Parametros_Fisicos!$C$8) + C32*MIN(A32, 2.0)</f>
        <v/>
      </c>
      <c r="F32" s="14">
        <f>E32-D32</f>
        <v/>
      </c>
      <c r="G32" s="14">
        <f>Parametros_Fisicos!$C$19*Parametros_Fisicos!$C$8*Parametros_Fisicos!$C$9*(A32^2)</f>
        <v/>
      </c>
      <c r="H32" s="14">
        <f>0.5*0.5*(Parametros_Fisicos!$C$6+Parametros_Fisicos!$C$7)*(Parametros_Fisicos!$C$19*Parametros_Fisicos!$C$8*Parametros_Fisicos!$C$9*A32)^2*F32</f>
        <v/>
      </c>
      <c r="I32" s="15">
        <f>IF(A32&lt;3.5, "Lineal: Perturbación", IF(A32&lt;8.0, "No-Lineal: Picos y Burbujas", IF(A32&lt;12.5, "Secundaria: Vórtices Champiñón", "Turbulento: Mezcla Auto-similar")))</f>
        <v/>
      </c>
    </row>
    <row r="33">
      <c r="A33" s="12" t="n">
        <v>14</v>
      </c>
      <c r="B33" s="12">
        <f>Parametros_Fisicos!$C$13*COSH(MIN(15, Parametros_Fisicos!$C$18*A33))</f>
        <v/>
      </c>
      <c r="C33" s="12">
        <f>0.23*SQRT(Parametros_Fisicos!$C$8*Parametros_Fisicos!$C$9*Parametros_Fisicos!$C$17)</f>
        <v/>
      </c>
      <c r="D33" s="12">
        <f>-0.5*Parametros_Fisicos!$C$19*Parametros_Fisicos!$C$8*Parametros_Fisicos!$C$9*(A33^2)*(1+Parametros_Fisicos!$C$8)</f>
        <v/>
      </c>
      <c r="E33" s="12">
        <f>0.5*Parametros_Fisicos!$C$19*Parametros_Fisicos!$C$8*Parametros_Fisicos!$C$9*(A33^2)*(1-Parametros_Fisicos!$C$8) + C33*MIN(A33, 2.0)</f>
        <v/>
      </c>
      <c r="F33" s="12">
        <f>E33-D33</f>
        <v/>
      </c>
      <c r="G33" s="12">
        <f>Parametros_Fisicos!$C$19*Parametros_Fisicos!$C$8*Parametros_Fisicos!$C$9*(A33^2)</f>
        <v/>
      </c>
      <c r="H33" s="12">
        <f>0.5*0.5*(Parametros_Fisicos!$C$6+Parametros_Fisicos!$C$7)*(Parametros_Fisicos!$C$19*Parametros_Fisicos!$C$8*Parametros_Fisicos!$C$9*A33)^2*F33</f>
        <v/>
      </c>
      <c r="I33" s="13">
        <f>IF(A33&lt;3.5, "Lineal: Perturbación", IF(A33&lt;8.0, "No-Lineal: Picos y Burbujas", IF(A33&lt;12.5, "Secundaria: Vórtices Champiñón", "Turbulento: Mezcla Auto-similar")))</f>
        <v/>
      </c>
    </row>
    <row r="34">
      <c r="A34" s="14" t="n">
        <v>14.5</v>
      </c>
      <c r="B34" s="14">
        <f>Parametros_Fisicos!$C$13*COSH(MIN(15, Parametros_Fisicos!$C$18*A34))</f>
        <v/>
      </c>
      <c r="C34" s="14">
        <f>0.23*SQRT(Parametros_Fisicos!$C$8*Parametros_Fisicos!$C$9*Parametros_Fisicos!$C$17)</f>
        <v/>
      </c>
      <c r="D34" s="14">
        <f>-0.5*Parametros_Fisicos!$C$19*Parametros_Fisicos!$C$8*Parametros_Fisicos!$C$9*(A34^2)*(1+Parametros_Fisicos!$C$8)</f>
        <v/>
      </c>
      <c r="E34" s="14">
        <f>0.5*Parametros_Fisicos!$C$19*Parametros_Fisicos!$C$8*Parametros_Fisicos!$C$9*(A34^2)*(1-Parametros_Fisicos!$C$8) + C34*MIN(A34, 2.0)</f>
        <v/>
      </c>
      <c r="F34" s="14">
        <f>E34-D34</f>
        <v/>
      </c>
      <c r="G34" s="14">
        <f>Parametros_Fisicos!$C$19*Parametros_Fisicos!$C$8*Parametros_Fisicos!$C$9*(A34^2)</f>
        <v/>
      </c>
      <c r="H34" s="14">
        <f>0.5*0.5*(Parametros_Fisicos!$C$6+Parametros_Fisicos!$C$7)*(Parametros_Fisicos!$C$19*Parametros_Fisicos!$C$8*Parametros_Fisicos!$C$9*A34)^2*F34</f>
        <v/>
      </c>
      <c r="I34" s="15">
        <f>IF(A34&lt;3.5, "Lineal: Perturbación", IF(A34&lt;8.0, "No-Lineal: Picos y Burbujas", IF(A34&lt;12.5, "Secundaria: Vórtices Champiñón", "Turbulento: Mezcla Auto-similar")))</f>
        <v/>
      </c>
    </row>
    <row r="35">
      <c r="A35" s="12" t="n">
        <v>15</v>
      </c>
      <c r="B35" s="12">
        <f>Parametros_Fisicos!$C$13*COSH(MIN(15, Parametros_Fisicos!$C$18*A35))</f>
        <v/>
      </c>
      <c r="C35" s="12">
        <f>0.23*SQRT(Parametros_Fisicos!$C$8*Parametros_Fisicos!$C$9*Parametros_Fisicos!$C$17)</f>
        <v/>
      </c>
      <c r="D35" s="12">
        <f>-0.5*Parametros_Fisicos!$C$19*Parametros_Fisicos!$C$8*Parametros_Fisicos!$C$9*(A35^2)*(1+Parametros_Fisicos!$C$8)</f>
        <v/>
      </c>
      <c r="E35" s="12">
        <f>0.5*Parametros_Fisicos!$C$19*Parametros_Fisicos!$C$8*Parametros_Fisicos!$C$9*(A35^2)*(1-Parametros_Fisicos!$C$8) + C35*MIN(A35, 2.0)</f>
        <v/>
      </c>
      <c r="F35" s="12">
        <f>E35-D35</f>
        <v/>
      </c>
      <c r="G35" s="12">
        <f>Parametros_Fisicos!$C$19*Parametros_Fisicos!$C$8*Parametros_Fisicos!$C$9*(A35^2)</f>
        <v/>
      </c>
      <c r="H35" s="12">
        <f>0.5*0.5*(Parametros_Fisicos!$C$6+Parametros_Fisicos!$C$7)*(Parametros_Fisicos!$C$19*Parametros_Fisicos!$C$8*Parametros_Fisicos!$C$9*A35)^2*F35</f>
        <v/>
      </c>
      <c r="I35" s="13">
        <f>IF(A35&lt;3.5, "Lineal: Perturbación", IF(A35&lt;8.0, "No-Lineal: Picos y Burbujas", IF(A35&lt;12.5, "Secundaria: Vórtices Champiñón", "Turbulento: Mezcla Auto-similar")))</f>
        <v/>
      </c>
    </row>
    <row r="36">
      <c r="A36" s="14" t="n">
        <v>15.5</v>
      </c>
      <c r="B36" s="14">
        <f>Parametros_Fisicos!$C$13*COSH(MIN(15, Parametros_Fisicos!$C$18*A36))</f>
        <v/>
      </c>
      <c r="C36" s="14">
        <f>0.23*SQRT(Parametros_Fisicos!$C$8*Parametros_Fisicos!$C$9*Parametros_Fisicos!$C$17)</f>
        <v/>
      </c>
      <c r="D36" s="14">
        <f>-0.5*Parametros_Fisicos!$C$19*Parametros_Fisicos!$C$8*Parametros_Fisicos!$C$9*(A36^2)*(1+Parametros_Fisicos!$C$8)</f>
        <v/>
      </c>
      <c r="E36" s="14">
        <f>0.5*Parametros_Fisicos!$C$19*Parametros_Fisicos!$C$8*Parametros_Fisicos!$C$9*(A36^2)*(1-Parametros_Fisicos!$C$8) + C36*MIN(A36, 2.0)</f>
        <v/>
      </c>
      <c r="F36" s="14">
        <f>E36-D36</f>
        <v/>
      </c>
      <c r="G36" s="14">
        <f>Parametros_Fisicos!$C$19*Parametros_Fisicos!$C$8*Parametros_Fisicos!$C$9*(A36^2)</f>
        <v/>
      </c>
      <c r="H36" s="14">
        <f>0.5*0.5*(Parametros_Fisicos!$C$6+Parametros_Fisicos!$C$7)*(Parametros_Fisicos!$C$19*Parametros_Fisicos!$C$8*Parametros_Fisicos!$C$9*A36)^2*F36</f>
        <v/>
      </c>
      <c r="I36" s="15">
        <f>IF(A36&lt;3.5, "Lineal: Perturbación", IF(A36&lt;8.0, "No-Lineal: Picos y Burbujas", IF(A36&lt;12.5, "Secundaria: Vórtices Champiñón", "Turbulento: Mezcla Auto-similar")))</f>
        <v/>
      </c>
    </row>
    <row r="37">
      <c r="A37" s="12" t="n">
        <v>16</v>
      </c>
      <c r="B37" s="12">
        <f>Parametros_Fisicos!$C$13*COSH(MIN(15, Parametros_Fisicos!$C$18*A37))</f>
        <v/>
      </c>
      <c r="C37" s="12">
        <f>0.23*SQRT(Parametros_Fisicos!$C$8*Parametros_Fisicos!$C$9*Parametros_Fisicos!$C$17)</f>
        <v/>
      </c>
      <c r="D37" s="12">
        <f>-0.5*Parametros_Fisicos!$C$19*Parametros_Fisicos!$C$8*Parametros_Fisicos!$C$9*(A37^2)*(1+Parametros_Fisicos!$C$8)</f>
        <v/>
      </c>
      <c r="E37" s="12">
        <f>0.5*Parametros_Fisicos!$C$19*Parametros_Fisicos!$C$8*Parametros_Fisicos!$C$9*(A37^2)*(1-Parametros_Fisicos!$C$8) + C37*MIN(A37, 2.0)</f>
        <v/>
      </c>
      <c r="F37" s="12">
        <f>E37-D37</f>
        <v/>
      </c>
      <c r="G37" s="12">
        <f>Parametros_Fisicos!$C$19*Parametros_Fisicos!$C$8*Parametros_Fisicos!$C$9*(A37^2)</f>
        <v/>
      </c>
      <c r="H37" s="12">
        <f>0.5*0.5*(Parametros_Fisicos!$C$6+Parametros_Fisicos!$C$7)*(Parametros_Fisicos!$C$19*Parametros_Fisicos!$C$8*Parametros_Fisicos!$C$9*A37)^2*F37</f>
        <v/>
      </c>
      <c r="I37" s="13">
        <f>IF(A37&lt;3.5, "Lineal: Perturbación", IF(A37&lt;8.0, "No-Lineal: Picos y Burbujas", IF(A37&lt;12.5, "Secundaria: Vórtices Champiñón", "Turbulento: Mezcla Auto-similar")))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69" customWidth="1" min="1" max="1"/>
    <col width="30" customWidth="1" min="2" max="2"/>
    <col width="30" customWidth="1" min="3" max="3"/>
    <col width="21" customWidth="1" min="4" max="4"/>
    <col width="21" customWidth="1" min="5" max="5"/>
    <col width="25" customWidth="1" min="6" max="6"/>
    <col width="31" customWidth="1" min="7" max="7"/>
    <col width="31" customWidth="1" min="8" max="8"/>
    <col width="60" customWidth="1" min="9" max="9"/>
  </cols>
  <sheetData>
    <row r="1">
      <c r="A1" s="1" t="inlineStr">
        <is>
          <t>CONTINUUM LAB // COMPARATIVA MULTI-SISTEMA DE RAYLEIGH-TAYLOR</t>
        </is>
      </c>
    </row>
    <row r="2">
      <c r="A2" s="2" t="inlineStr">
        <is>
          <t>Astrosfísica, Fusión Nuclear (ICF), Geofísica e Industria Química</t>
        </is>
      </c>
    </row>
    <row r="3"/>
    <row r="4" ht="24" customHeight="1">
      <c r="A4" s="4" t="inlineStr">
        <is>
          <t>Sistema / Aplicación</t>
        </is>
      </c>
      <c r="B4" s="4" t="inlineStr">
        <is>
          <t>Densidad Pesada ρ₂ [kg/m³]</t>
        </is>
      </c>
      <c r="C4" s="4" t="inlineStr">
        <is>
          <t>Densidad Ligera ρ₁ [kg/m³]</t>
        </is>
      </c>
      <c r="D4" s="4" t="inlineStr">
        <is>
          <t>Gravedad g [m/s²]</t>
        </is>
      </c>
      <c r="E4" s="4" t="inlineStr">
        <is>
          <t>Atwood Dinámico A</t>
        </is>
      </c>
      <c r="F4" s="4" t="inlineStr">
        <is>
          <t>Longitud Escala L [m]</t>
        </is>
      </c>
      <c r="G4" s="4" t="inlineStr">
        <is>
          <t>Tasa de Crecimiento γ [s⁻¹]</t>
        </is>
      </c>
      <c r="H4" s="4" t="inlineStr">
        <is>
          <t>Tiempo de Duplicación τ [s]</t>
        </is>
      </c>
      <c r="I4" s="4" t="inlineStr">
        <is>
          <t>Impacto Físico y Relevancia</t>
        </is>
      </c>
    </row>
    <row r="5">
      <c r="A5" s="16" t="inlineStr">
        <is>
          <t>Agua sobre Aceite (Laboratorio)</t>
        </is>
      </c>
      <c r="B5" s="12" t="n">
        <v>1000</v>
      </c>
      <c r="C5" s="12" t="n">
        <v>850</v>
      </c>
      <c r="D5" s="12" t="n">
        <v>9.81</v>
      </c>
      <c r="E5" s="12">
        <f>ABS((B5-C5)/(B5+C5))</f>
        <v/>
      </c>
      <c r="F5" s="12" t="n">
        <v>0.05</v>
      </c>
      <c r="G5" s="12">
        <f>SQRT(E5*D5*((2*PI())/F5))</f>
        <v/>
      </c>
      <c r="H5" s="12">
        <f>IF(G5&gt;0, 1/G5, 9999.0)</f>
        <v/>
      </c>
      <c r="I5" s="16" t="inlineStr">
        <is>
          <t>Modo interfacial clásico con tensión superficial</t>
        </is>
      </c>
    </row>
    <row r="6">
      <c r="A6" s="17" t="inlineStr">
        <is>
          <t>Agua sobre Aire (Gotas e Interfaz)</t>
        </is>
      </c>
      <c r="B6" s="14" t="n">
        <v>1000</v>
      </c>
      <c r="C6" s="14" t="n">
        <v>1.225</v>
      </c>
      <c r="D6" s="14" t="n">
        <v>9.81</v>
      </c>
      <c r="E6" s="14">
        <f>ABS((B6-C6)/(B6+C6))</f>
        <v/>
      </c>
      <c r="F6" s="14" t="n">
        <v>0.1</v>
      </c>
      <c r="G6" s="14">
        <f>SQRT(E6*D6*((2*PI())/F6))</f>
        <v/>
      </c>
      <c r="H6" s="14">
        <f>IF(G6&gt;0, 1/G6, 9999.0)</f>
        <v/>
      </c>
      <c r="I6" s="17" t="inlineStr">
        <is>
          <t>Colapso de películas descendentes y atomización</t>
        </is>
      </c>
    </row>
    <row r="7">
      <c r="A7" s="16" t="inlineStr">
        <is>
          <t>Fusión Nuclear ICF (NIF Pellet)</t>
        </is>
      </c>
      <c r="B7" s="12" t="n">
        <v>10000</v>
      </c>
      <c r="C7" s="12" t="n">
        <v>200</v>
      </c>
      <c r="D7" s="12" t="n">
        <v>1000000000000</v>
      </c>
      <c r="E7" s="12">
        <f>ABS((B7-C7)/(B7+C7))</f>
        <v/>
      </c>
      <c r="F7" s="12" t="n">
        <v>0.001</v>
      </c>
      <c r="G7" s="12">
        <f>SQRT(E7*D7*((2*PI())/F7))</f>
        <v/>
      </c>
      <c r="H7" s="12">
        <f>IF(G7&gt;0, 1/G7, 9999.0)</f>
        <v/>
      </c>
      <c r="I7" s="16" t="inlineStr">
        <is>
          <t>Aceleración de cápsulas de deuterio-tritio</t>
        </is>
      </c>
    </row>
    <row r="8">
      <c r="A8" s="17" t="inlineStr">
        <is>
          <t>Supernova 1987A (Capa He/H)</t>
        </is>
      </c>
      <c r="B8" s="14" t="n">
        <v>1000</v>
      </c>
      <c r="C8" s="14" t="n">
        <v>10</v>
      </c>
      <c r="D8" s="14" t="n">
        <v>500000</v>
      </c>
      <c r="E8" s="14">
        <f>ABS((B8-C8)/(B8+C8))</f>
        <v/>
      </c>
      <c r="F8" s="14" t="n">
        <v>1000000000</v>
      </c>
      <c r="G8" s="14">
        <f>SQRT(E8*D8*((2*PI())/F8))</f>
        <v/>
      </c>
      <c r="H8" s="14">
        <f>IF(G8&gt;0, 1/G8, 9999.0)</f>
        <v/>
      </c>
      <c r="I8" s="17" t="inlineStr">
        <is>
          <t>Expulsión de manto estelar y mezcla de elementos pesados</t>
        </is>
      </c>
    </row>
    <row r="9">
      <c r="A9" s="16" t="inlineStr">
        <is>
          <t>Pluma Volcánica / Piroclástica</t>
        </is>
      </c>
      <c r="B9" s="12" t="n">
        <v>1500</v>
      </c>
      <c r="C9" s="12" t="n">
        <v>1.2</v>
      </c>
      <c r="D9" s="12" t="n">
        <v>9.81</v>
      </c>
      <c r="E9" s="12">
        <f>ABS((B9-C9)/(B9+C9))</f>
        <v/>
      </c>
      <c r="F9" s="12" t="n">
        <v>100</v>
      </c>
      <c r="G9" s="12">
        <f>SQRT(E9*D9*((2*PI())/F9))</f>
        <v/>
      </c>
      <c r="H9" s="12">
        <f>IF(G9&gt;0, 1/G9, 9999.0)</f>
        <v/>
      </c>
      <c r="I9" s="16" t="inlineStr">
        <is>
          <t>Colapso gravitacional de columnas densas de ceniza</t>
        </is>
      </c>
    </row>
    <row r="10">
      <c r="A10" s="17" t="inlineStr">
        <is>
          <t>Derrame de Petróleo Submarino</t>
        </is>
      </c>
      <c r="B10" s="14" t="n">
        <v>920</v>
      </c>
      <c r="C10" s="14" t="n">
        <v>1025</v>
      </c>
      <c r="D10" s="14" t="n">
        <v>9.81</v>
      </c>
      <c r="E10" s="14">
        <f>ABS((B10-C10)/(B10+C10))</f>
        <v/>
      </c>
      <c r="F10" s="14" t="n">
        <v>5</v>
      </c>
      <c r="G10" s="14">
        <f>SQRT(E10*D10*((2*PI())/F10))</f>
        <v/>
      </c>
      <c r="H10" s="14">
        <f>IF(G10&gt;0, 1/G10, 9999.0)</f>
        <v/>
      </c>
      <c r="I10" s="17" t="inlineStr">
        <is>
          <t>Flotabilidad invertida y plumas de dispersión marina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2026-10-23T22:03:55Z</dcterms:created>
  <dcterms:modified xmlns:dcterms="http://purl.org/dc/terms/" xmlns:xsi="http://www.w3.org/2001/XMLSchema-instance" xsi:type="dcterms:W3CDTF">2026-10-23T22:03:55Z</dcterms:modified>
</cp:coreProperties>
</file>