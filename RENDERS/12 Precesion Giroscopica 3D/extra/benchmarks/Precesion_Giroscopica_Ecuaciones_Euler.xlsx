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esion_Giroscopica_Eu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"/>
    <numFmt numFmtId="165" formatCode="0.000"/>
    <numFmt numFmtId="166" formatCode="0.0000"/>
    <numFmt numFmtId="167" formatCode="0.000000"/>
  </numFmts>
  <fonts count="7">
    <font>
      <name val="Calibri"/>
      <family val="2"/>
      <color theme="1"/>
      <sz val="11"/>
      <scheme val="minor"/>
    </font>
    <font>
      <name val="Consolas"/>
      <b val="1"/>
      <color rgb="0000F0FF"/>
      <sz val="11"/>
    </font>
    <font>
      <name val="Consolas"/>
      <b val="1"/>
      <color rgb="0000F0FF"/>
      <sz val="10"/>
    </font>
    <font>
      <name val="Consolas"/>
      <b val="1"/>
      <color rgb="0094A3B8"/>
      <sz val="9"/>
    </font>
    <font>
      <name val="Consolas"/>
      <b val="1"/>
      <color rgb="0038BDF8"/>
      <sz val="9"/>
    </font>
    <font>
      <name val="Consolas"/>
      <color rgb="0000FFA3"/>
      <sz val="9"/>
    </font>
    <font>
      <name val="Consolas"/>
      <color rgb="00E6EDF3"/>
      <sz val="9"/>
    </font>
  </fonts>
  <fills count="7">
    <fill>
      <patternFill/>
    </fill>
    <fill>
      <patternFill patternType="gray125"/>
    </fill>
    <fill>
      <patternFill patternType="solid">
        <fgColor rgb="000B0F19"/>
        <bgColor rgb="000B0F19"/>
      </patternFill>
    </fill>
    <fill>
      <patternFill patternType="solid">
        <fgColor rgb="00111827"/>
        <bgColor rgb="00111827"/>
      </patternFill>
    </fill>
    <fill>
      <patternFill patternType="solid">
        <fgColor rgb="001E293B"/>
        <bgColor rgb="001E293B"/>
      </patternFill>
    </fill>
    <fill>
      <patternFill patternType="solid">
        <fgColor rgb="000D1117"/>
        <bgColor rgb="000D1117"/>
      </patternFill>
    </fill>
    <fill>
      <patternFill patternType="solid">
        <fgColor rgb="00161B22"/>
        <bgColor rgb="00161B22"/>
      </patternFill>
    </fill>
  </fills>
  <borders count="2">
    <border>
      <left/>
      <right/>
      <top/>
      <bottom/>
      <diagonal/>
    </border>
    <border>
      <left style="thin">
        <color rgb="0021262D"/>
      </left>
      <right style="thin">
        <color rgb="0021262D"/>
      </right>
      <top style="thin">
        <color rgb="0021262D"/>
      </top>
      <bottom style="thin">
        <color rgb="0021262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0" borderId="1" pivotButton="0" quotePrefix="0" xfId="0"/>
    <xf numFmtId="2" fontId="4" fillId="4" borderId="1" applyAlignment="1" pivotButton="0" quotePrefix="0" xfId="0">
      <alignment horizontal="right"/>
    </xf>
    <xf numFmtId="3" fontId="6" fillId="0" borderId="1" pivotButton="0" quotePrefix="0" xfId="0"/>
    <xf numFmtId="165" fontId="6" fillId="0" borderId="1" pivotButton="0" quotePrefix="0" xfId="0"/>
    <xf numFmtId="164" fontId="6" fillId="0" borderId="1" pivotButton="0" quotePrefix="0" xfId="0"/>
    <xf numFmtId="2" fontId="5" fillId="0" borderId="1" pivotButton="0" quotePrefix="0" xfId="0"/>
    <xf numFmtId="166" fontId="6" fillId="0" borderId="1" pivotButton="0" quotePrefix="0" xfId="0"/>
    <xf numFmtId="165" fontId="5" fillId="0" borderId="1" pivotButton="0" quotePrefix="0" xfId="0"/>
    <xf numFmtId="167" fontId="5" fillId="0" borderId="1" pivotButton="0" quotePrefix="0" xfId="0"/>
    <xf numFmtId="3" fontId="6" fillId="6" borderId="1" pivotButton="0" quotePrefix="0" xfId="0"/>
    <xf numFmtId="165" fontId="6" fillId="6" borderId="1" pivotButton="0" quotePrefix="0" xfId="0"/>
    <xf numFmtId="164" fontId="6" fillId="6" borderId="1" pivotButton="0" quotePrefix="0" xfId="0"/>
    <xf numFmtId="2" fontId="5" fillId="6" borderId="1" pivotButton="0" quotePrefix="0" xfId="0"/>
    <xf numFmtId="166" fontId="6" fillId="6" borderId="1" pivotButton="0" quotePrefix="0" xfId="0"/>
    <xf numFmtId="165" fontId="5" fillId="6" borderId="1" pivotButton="0" quotePrefix="0" xfId="0"/>
    <xf numFmtId="167" fontId="5" fillId="6" borderId="1" pivotButton="0" quotePrefix="0" xfId="0"/>
    <xf numFmtId="3" fontId="4" fillId="4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2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166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02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  <col width="18" customWidth="1" min="11" max="11"/>
    <col width="16" customWidth="1" min="12" max="12"/>
    <col width="18" customWidth="1" min="13" max="13"/>
    <col width="16" customWidth="1" min="14" max="14"/>
    <col width="16" customWidth="1" min="15" max="15"/>
    <col width="16" customWidth="1" min="16" max="16"/>
    <col width="20" customWidth="1" min="17" max="17"/>
  </cols>
  <sheetData>
    <row r="1" ht="28" customHeight="1">
      <c r="A1" s="1" t="inlineStr">
        <is>
          <t>CONTINUUM LAB | SIMULACIÓN DINÁMICA DE PRECESIÓN GIROSCÓPICA Y NUTACIÓN 3D (ECUACIONES DE EULER)</t>
        </is>
      </c>
    </row>
    <row r="2" ht="24" customHeight="1">
      <c r="A2" s="2" t="inlineStr">
        <is>
          <t>PARÁMETROS FÍSICOS NOMINALES</t>
        </is>
      </c>
      <c r="B2" s="2" t="inlineStr">
        <is>
          <t>VALOR</t>
        </is>
      </c>
      <c r="D2" s="3" t="inlineStr">
        <is>
          <t>Paso</t>
        </is>
      </c>
      <c r="E2" s="3" t="inlineStr">
        <is>
          <t>Tiempo_s</t>
        </is>
      </c>
      <c r="F2" s="3" t="inlineStr">
        <is>
          <t>Theta_rad</t>
        </is>
      </c>
      <c r="G2" s="3" t="inlineStr">
        <is>
          <t>Theta_deg</t>
        </is>
      </c>
      <c r="H2" s="3" t="inlineStr">
        <is>
          <t>Phi_rad</t>
        </is>
      </c>
      <c r="I2" s="3" t="inlineStr">
        <is>
          <t>Phi_deg</t>
        </is>
      </c>
      <c r="J2" s="3" t="inlineStr">
        <is>
          <t>Omega_theta_rad_s</t>
        </is>
      </c>
      <c r="K2" s="3" t="inlineStr">
        <is>
          <t>Omega_phi_rad_s</t>
        </is>
      </c>
      <c r="L2" s="3" t="inlineStr">
        <is>
          <t>Torque_Grav_Nm</t>
        </is>
      </c>
      <c r="M2" s="3" t="inlineStr">
        <is>
          <t>L_z_Vertical_Nms</t>
        </is>
      </c>
      <c r="N2" s="3" t="inlineStr">
        <is>
          <t>Energia_Rot_J</t>
        </is>
      </c>
      <c r="O2" s="3" t="inlineStr">
        <is>
          <t>Energia_Pot_J</t>
        </is>
      </c>
      <c r="P2" s="3" t="inlineStr">
        <is>
          <t>Energia_Total_J</t>
        </is>
      </c>
      <c r="Q2" s="3" t="inlineStr">
        <is>
          <t>Deriva_Energia_Abs</t>
        </is>
      </c>
    </row>
    <row r="3">
      <c r="A3" s="4" t="inlineStr">
        <is>
          <t>Masa Rotor m (kg)</t>
        </is>
      </c>
      <c r="B3" s="5" t="n">
        <v>2.5</v>
      </c>
      <c r="D3" s="6" t="n">
        <v>1</v>
      </c>
      <c r="E3" s="7" t="n">
        <v>0</v>
      </c>
      <c r="F3" s="8" t="n">
        <v>1.570796326794897</v>
      </c>
      <c r="G3" s="9">
        <f>DEGREES(F3)</f>
        <v/>
      </c>
      <c r="H3" s="8" t="n">
        <v>0</v>
      </c>
      <c r="I3" s="9">
        <f>DEGREES(H3)</f>
        <v/>
      </c>
      <c r="J3" s="10" t="n">
        <v>-0</v>
      </c>
      <c r="K3" s="10" t="n">
        <v>0</v>
      </c>
      <c r="L3" s="11">
        <f>$B$5*$B$3*$B$6*SIN(F3)</f>
        <v/>
      </c>
      <c r="M3" s="11">
        <f>$B$9*K3*(SIN(F3))^2 + $B$8*($B$10+K3*COS(F3))*COS(F3)</f>
        <v/>
      </c>
      <c r="N3" s="11">
        <f>0.5*$B$9*(J3^2 + (K3*SIN(F3))^2) + 0.5*$B$8*($B$10 + K3*COS(F3))^2</f>
        <v/>
      </c>
      <c r="O3" s="11">
        <f>$B$3*$B$6*$B$5*COS(F3)</f>
        <v/>
      </c>
      <c r="P3" s="11">
        <f>N3+O3</f>
        <v/>
      </c>
      <c r="Q3" s="12">
        <f>ABS(P3-$P$3)</f>
        <v/>
      </c>
    </row>
    <row r="4">
      <c r="A4" s="4" t="inlineStr">
        <is>
          <t>Radio Disco R (m)</t>
        </is>
      </c>
      <c r="B4" s="5" t="n">
        <v>0.18</v>
      </c>
      <c r="D4" s="13" t="n">
        <v>2</v>
      </c>
      <c r="E4" s="14" t="n">
        <v>0.01000714796283059</v>
      </c>
      <c r="F4" s="15" t="n">
        <v>1.570450963864507</v>
      </c>
      <c r="G4" s="16">
        <f>DEGREES(F4)</f>
        <v/>
      </c>
      <c r="H4" s="15" t="n">
        <v>5.76076629994933e-06</v>
      </c>
      <c r="I4" s="16">
        <f>DEGREES(H4)</f>
        <v/>
      </c>
      <c r="J4" s="17" t="n">
        <v>-0.06900518369892754</v>
      </c>
      <c r="K4" s="17" t="n">
        <v>0.00172681465194735</v>
      </c>
      <c r="L4" s="18">
        <f>$B$5*$B$3*$B$6*SIN(F4)</f>
        <v/>
      </c>
      <c r="M4" s="18">
        <f>$B$9*K4*(SIN(F4))^2 + $B$8*($B$10+K4*COS(F4))*COS(F4)</f>
        <v/>
      </c>
      <c r="N4" s="18">
        <f>0.5*$B$9*(J4^2 + (K4*SIN(F4))^2) + 0.5*$B$8*($B$10 + K4*COS(F4))^2</f>
        <v/>
      </c>
      <c r="O4" s="18">
        <f>$B$3*$B$6*$B$5*COS(F4)</f>
        <v/>
      </c>
      <c r="P4" s="18">
        <f>N4+O4</f>
        <v/>
      </c>
      <c r="Q4" s="19">
        <f>ABS(P4-$P$3)</f>
        <v/>
      </c>
    </row>
    <row r="5">
      <c r="A5" s="4" t="inlineStr">
        <is>
          <t>Brazo Pivote r_cm (m)</t>
        </is>
      </c>
      <c r="B5" s="5" t="n">
        <v>0.25</v>
      </c>
      <c r="D5" s="6" t="n">
        <v>3</v>
      </c>
      <c r="E5" s="7" t="n">
        <v>0.02001429592566119</v>
      </c>
      <c r="F5" s="8" t="n">
        <v>1.569415959396554</v>
      </c>
      <c r="G5" s="9">
        <f>DEGREES(F5)</f>
        <v/>
      </c>
      <c r="H5" s="8" t="n">
        <v>4.60644251879215e-05</v>
      </c>
      <c r="I5" s="9">
        <f>DEGREES(H5)</f>
        <v/>
      </c>
      <c r="J5" s="10" t="n">
        <v>-0.137793714375543</v>
      </c>
      <c r="K5" s="10" t="n">
        <v>0.006901836991713095</v>
      </c>
      <c r="L5" s="11">
        <f>$B$5*$B$3*$B$6*SIN(F5)</f>
        <v/>
      </c>
      <c r="M5" s="11">
        <f>$B$9*K5*(SIN(F5))^2 + $B$8*($B$10+K5*COS(F5))*COS(F5)</f>
        <v/>
      </c>
      <c r="N5" s="11">
        <f>0.5*$B$9*(J5^2 + (K5*SIN(F5))^2) + 0.5*$B$8*($B$10 + K5*COS(F5))^2</f>
        <v/>
      </c>
      <c r="O5" s="11">
        <f>$B$3*$B$6*$B$5*COS(F5)</f>
        <v/>
      </c>
      <c r="P5" s="11">
        <f>N5+O5</f>
        <v/>
      </c>
      <c r="Q5" s="12">
        <f>ABS(P5-$P$3)</f>
        <v/>
      </c>
    </row>
    <row r="6">
      <c r="A6" s="4" t="inlineStr">
        <is>
          <t>Gravedad g (m/s²)</t>
        </is>
      </c>
      <c r="B6" s="5" t="n">
        <v>9.81</v>
      </c>
      <c r="D6" s="13" t="n">
        <v>4</v>
      </c>
      <c r="E6" s="14" t="n">
        <v>0.03002144388849178</v>
      </c>
      <c r="F6" s="15" t="n">
        <v>1.567694562956274</v>
      </c>
      <c r="G6" s="16">
        <f>DEGREES(F6)</f>
        <v/>
      </c>
      <c r="H6" s="15" t="n">
        <v>0.0001553454162100398</v>
      </c>
      <c r="I6" s="16">
        <f>DEGREES(H6)</f>
        <v/>
      </c>
      <c r="J6" s="17" t="n">
        <v>-0.2061496192250131</v>
      </c>
      <c r="K6" s="17" t="n">
        <v>0.01550881919311431</v>
      </c>
      <c r="L6" s="18">
        <f>$B$5*$B$3*$B$6*SIN(F6)</f>
        <v/>
      </c>
      <c r="M6" s="18">
        <f>$B$9*K6*(SIN(F6))^2 + $B$8*($B$10+K6*COS(F6))*COS(F6)</f>
        <v/>
      </c>
      <c r="N6" s="18">
        <f>0.5*$B$9*(J6^2 + (K6*SIN(F6))^2) + 0.5*$B$8*($B$10 + K6*COS(F6))^2</f>
        <v/>
      </c>
      <c r="O6" s="18">
        <f>$B$3*$B$6*$B$5*COS(F6)</f>
        <v/>
      </c>
      <c r="P6" s="18">
        <f>N6+O6</f>
        <v/>
      </c>
      <c r="Q6" s="19">
        <f>ABS(P6-$P$3)</f>
        <v/>
      </c>
    </row>
    <row r="7">
      <c r="A7" s="4" t="inlineStr">
        <is>
          <t>RPM Nominal (rpm)</t>
        </is>
      </c>
      <c r="B7" s="20" t="n">
        <v>10000</v>
      </c>
      <c r="D7" s="6" t="n">
        <v>5</v>
      </c>
      <c r="E7" s="7" t="n">
        <v>0.04002859185132238</v>
      </c>
      <c r="F7" s="8" t="n">
        <v>1.565292179148384</v>
      </c>
      <c r="G7" s="9">
        <f>DEGREES(F7)</f>
        <v/>
      </c>
      <c r="H7" s="8" t="n">
        <v>0.0003678216133346443</v>
      </c>
      <c r="I7" s="9">
        <f>DEGREES(H7)</f>
        <v/>
      </c>
      <c r="J7" s="10" t="n">
        <v>-0.2738582837418084</v>
      </c>
      <c r="K7" s="10" t="n">
        <v>0.02752073823256129</v>
      </c>
      <c r="L7" s="11">
        <f>$B$5*$B$3*$B$6*SIN(F7)</f>
        <v/>
      </c>
      <c r="M7" s="11">
        <f>$B$9*K7*(SIN(F7))^2 + $B$8*($B$10+K7*COS(F7))*COS(F7)</f>
        <v/>
      </c>
      <c r="N7" s="11">
        <f>0.5*$B$9*(J7^2 + (K7*SIN(F7))^2) + 0.5*$B$8*($B$10 + K7*COS(F7))^2</f>
        <v/>
      </c>
      <c r="O7" s="11">
        <f>$B$3*$B$6*$B$5*COS(F7)</f>
        <v/>
      </c>
      <c r="P7" s="11">
        <f>N7+O7</f>
        <v/>
      </c>
      <c r="Q7" s="12">
        <f>ABS(P7-$P$3)</f>
        <v/>
      </c>
    </row>
    <row r="8">
      <c r="A8" s="4" t="inlineStr">
        <is>
          <t>Inercia Polar Iz (kg·m²)</t>
        </is>
      </c>
      <c r="B8" s="21">
        <f>0.5*B3*B4^2</f>
        <v/>
      </c>
      <c r="D8" s="13" t="n">
        <v>6</v>
      </c>
      <c r="E8" s="14" t="n">
        <v>0.05003573981415297</v>
      </c>
      <c r="F8" s="15" t="n">
        <v>1.562216350648448</v>
      </c>
      <c r="G8" s="16">
        <f>DEGREES(F8)</f>
        <v/>
      </c>
      <c r="H8" s="15" t="n">
        <v>0.0007173868923593327</v>
      </c>
      <c r="I8" s="16">
        <f>DEGREES(H8)</f>
        <v/>
      </c>
      <c r="J8" s="17" t="n">
        <v>-0.3407071255369264</v>
      </c>
      <c r="K8" s="17" t="n">
        <v>0.04289988073224427</v>
      </c>
      <c r="L8" s="18">
        <f>$B$5*$B$3*$B$6*SIN(F8)</f>
        <v/>
      </c>
      <c r="M8" s="18">
        <f>$B$9*K8*(SIN(F8))^2 + $B$8*($B$10+K8*COS(F8))*COS(F8)</f>
        <v/>
      </c>
      <c r="N8" s="18">
        <f>0.5*$B$9*(J8^2 + (K8*SIN(F8))^2) + 0.5*$B$8*($B$10 + K8*COS(F8))^2</f>
        <v/>
      </c>
      <c r="O8" s="18">
        <f>$B$3*$B$6*$B$5*COS(F8)</f>
        <v/>
      </c>
      <c r="P8" s="18">
        <f>N8+O8</f>
        <v/>
      </c>
      <c r="Q8" s="19">
        <f>ABS(P8-$P$3)</f>
        <v/>
      </c>
    </row>
    <row r="9">
      <c r="A9" s="4" t="inlineStr">
        <is>
          <t>Inercia Transversal Ix (kg·m²)</t>
        </is>
      </c>
      <c r="B9" s="21">
        <f>0.25*B3*B4^2+B3*B5^2</f>
        <v/>
      </c>
      <c r="D9" s="6" t="n">
        <v>7</v>
      </c>
      <c r="E9" s="7" t="n">
        <v>0.06004288777698356</v>
      </c>
      <c r="F9" s="8" t="n">
        <v>1.55847673452141</v>
      </c>
      <c r="G9" s="9">
        <f>DEGREES(F9)</f>
        <v/>
      </c>
      <c r="H9" s="8" t="n">
        <v>0.001237504715563081</v>
      </c>
      <c r="I9" s="9">
        <f>DEGREES(H9)</f>
        <v/>
      </c>
      <c r="J9" s="10" t="n">
        <v>-0.4064862617749533</v>
      </c>
      <c r="K9" s="10" t="n">
        <v>0.0615979613674309</v>
      </c>
      <c r="L9" s="11">
        <f>$B$5*$B$3*$B$6*SIN(F9)</f>
        <v/>
      </c>
      <c r="M9" s="11">
        <f>$B$9*K9*(SIN(F9))^2 + $B$8*($B$10+K9*COS(F9))*COS(F9)</f>
        <v/>
      </c>
      <c r="N9" s="11">
        <f>0.5*$B$9*(J9^2 + (K9*SIN(F9))^2) + 0.5*$B$8*($B$10 + K9*COS(F9))^2</f>
        <v/>
      </c>
      <c r="O9" s="11">
        <f>$B$3*$B$6*$B$5*COS(F9)</f>
        <v/>
      </c>
      <c r="P9" s="11">
        <f>N9+O9</f>
        <v/>
      </c>
      <c r="Q9" s="12">
        <f>ABS(P9-$P$3)</f>
        <v/>
      </c>
    </row>
    <row r="10">
      <c r="A10" s="4" t="inlineStr">
        <is>
          <t>Spin Angular ω_s (rad/s)</t>
        </is>
      </c>
      <c r="B10" s="22">
        <f>B7*2*PI()/60</f>
        <v/>
      </c>
      <c r="D10" s="13" t="n">
        <v>8</v>
      </c>
      <c r="E10" s="14" t="n">
        <v>0.07005003573981416</v>
      </c>
      <c r="F10" s="15" t="n">
        <v>1.554085071901674</v>
      </c>
      <c r="G10" s="16">
        <f>DEGREES(F10)</f>
        <v/>
      </c>
      <c r="H10" s="15" t="n">
        <v>0.001961103067711731</v>
      </c>
      <c r="I10" s="16">
        <f>DEGREES(H10)</f>
        <v/>
      </c>
      <c r="J10" s="17" t="n">
        <v>-0.4709891681354379</v>
      </c>
      <c r="K10" s="17" t="n">
        <v>0.08355627446611358</v>
      </c>
      <c r="L10" s="18">
        <f>$B$5*$B$3*$B$6*SIN(F10)</f>
        <v/>
      </c>
      <c r="M10" s="18">
        <f>$B$9*K10*(SIN(F10))^2 + $B$8*($B$10+K10*COS(F10))*COS(F10)</f>
        <v/>
      </c>
      <c r="N10" s="18">
        <f>0.5*$B$9*(J10^2 + (K10*SIN(F10))^2) + 0.5*$B$8*($B$10 + K10*COS(F10))^2</f>
        <v/>
      </c>
      <c r="O10" s="18">
        <f>$B$3*$B$6*$B$5*COS(F10)</f>
        <v/>
      </c>
      <c r="P10" s="18">
        <f>N10+O10</f>
        <v/>
      </c>
      <c r="Q10" s="19">
        <f>ABS(P10-$P$3)</f>
        <v/>
      </c>
    </row>
    <row r="11">
      <c r="A11" s="4" t="inlineStr">
        <is>
          <t>Momento Angular L_s (N·m·s)</t>
        </is>
      </c>
      <c r="B11" s="23">
        <f>B8*B10</f>
        <v/>
      </c>
      <c r="D11" s="6" t="n">
        <v>9</v>
      </c>
      <c r="E11" s="7" t="n">
        <v>0.08005718370264475</v>
      </c>
      <c r="F11" s="8" t="n">
        <v>1.549055151129889</v>
      </c>
      <c r="G11" s="9">
        <f>DEGREES(F11)</f>
        <v/>
      </c>
      <c r="H11" s="8" t="n">
        <v>0.002920471073282457</v>
      </c>
      <c r="I11" s="9">
        <f>DEGREES(H11)</f>
        <v/>
      </c>
      <c r="J11" s="10" t="n">
        <v>-0.534013327229659</v>
      </c>
      <c r="K11" s="10" t="n">
        <v>0.108705878325036</v>
      </c>
      <c r="L11" s="11">
        <f>$B$5*$B$3*$B$6*SIN(F11)</f>
        <v/>
      </c>
      <c r="M11" s="11">
        <f>$B$9*K11*(SIN(F11))^2 + $B$8*($B$10+K11*COS(F11))*COS(F11)</f>
        <v/>
      </c>
      <c r="N11" s="11">
        <f>0.5*$B$9*(J11^2 + (K11*SIN(F11))^2) + 0.5*$B$8*($B$10 + K11*COS(F11))^2</f>
        <v/>
      </c>
      <c r="O11" s="11">
        <f>$B$3*$B$6*$B$5*COS(F11)</f>
        <v/>
      </c>
      <c r="P11" s="11">
        <f>N11+O11</f>
        <v/>
      </c>
      <c r="Q11" s="12">
        <f>ABS(P11-$P$3)</f>
        <v/>
      </c>
    </row>
    <row r="12">
      <c r="A12" s="4" t="inlineStr">
        <is>
          <t>Torque Gravitatorio τ_g (N·m)</t>
        </is>
      </c>
      <c r="B12" s="23">
        <f>B5*B3*B6</f>
        <v/>
      </c>
      <c r="D12" s="13" t="n">
        <v>10</v>
      </c>
      <c r="E12" s="14" t="n">
        <v>0.09006433166547534</v>
      </c>
      <c r="F12" s="15" t="n">
        <v>1.543402764462215</v>
      </c>
      <c r="G12" s="16">
        <f>DEGREES(F12)</f>
        <v/>
      </c>
      <c r="H12" s="15" t="n">
        <v>0.00414715761949426</v>
      </c>
      <c r="I12" s="16">
        <f>DEGREES(H12)</f>
        <v/>
      </c>
      <c r="J12" s="17" t="n">
        <v>-0.5953608644369794</v>
      </c>
      <c r="K12" s="17" t="n">
        <v>0.136967811663409</v>
      </c>
      <c r="L12" s="18">
        <f>$B$5*$B$3*$B$6*SIN(F12)</f>
        <v/>
      </c>
      <c r="M12" s="18">
        <f>$B$9*K12*(SIN(F12))^2 + $B$8*($B$10+K12*COS(F12))*COS(F12)</f>
        <v/>
      </c>
      <c r="N12" s="18">
        <f>0.5*$B$9*(J12^2 + (K12*SIN(F12))^2) + 0.5*$B$8*($B$10 + K12*COS(F12))^2</f>
        <v/>
      </c>
      <c r="O12" s="18">
        <f>$B$3*$B$6*$B$5*COS(F12)</f>
        <v/>
      </c>
      <c r="P12" s="18">
        <f>N12+O12</f>
        <v/>
      </c>
      <c r="Q12" s="19">
        <f>ABS(P12-$P$3)</f>
        <v/>
      </c>
    </row>
    <row r="13">
      <c r="A13" s="4" t="inlineStr">
        <is>
          <t>Tasa Precesión Ω_p (rad/s)</t>
        </is>
      </c>
      <c r="B13" s="24">
        <f>B12/B11</f>
        <v/>
      </c>
      <c r="D13" s="6" t="n">
        <v>11</v>
      </c>
      <c r="E13" s="7" t="n">
        <v>0.1000714796283059</v>
      </c>
      <c r="F13" s="8" t="n">
        <v>1.537145658487952</v>
      </c>
      <c r="G13" s="9">
        <f>DEGREES(F13)</f>
        <v/>
      </c>
      <c r="H13" s="8" t="n">
        <v>0.005671872303433856</v>
      </c>
      <c r="I13" s="9">
        <f>DEGREES(H13)</f>
        <v/>
      </c>
      <c r="J13" s="10" t="n">
        <v>-0.6548391691644712</v>
      </c>
      <c r="K13" s="10" t="n">
        <v>0.1682533415347214</v>
      </c>
      <c r="L13" s="11">
        <f>$B$5*$B$3*$B$6*SIN(F13)</f>
        <v/>
      </c>
      <c r="M13" s="11">
        <f>$B$9*K13*(SIN(F13))^2 + $B$8*($B$10+K13*COS(F13))*COS(F13)</f>
        <v/>
      </c>
      <c r="N13" s="11">
        <f>0.5*$B$9*(J13^2 + (K13*SIN(F13))^2) + 0.5*$B$8*($B$10 + K13*COS(F13))^2</f>
        <v/>
      </c>
      <c r="O13" s="11">
        <f>$B$3*$B$6*$B$5*COS(F13)</f>
        <v/>
      </c>
      <c r="P13" s="11">
        <f>N13+O13</f>
        <v/>
      </c>
      <c r="Q13" s="12">
        <f>ABS(P13-$P$3)</f>
        <v/>
      </c>
    </row>
    <row r="14">
      <c r="A14" s="4" t="inlineStr">
        <is>
          <t>Frecuencia Nutación ω_n (rad/s)</t>
        </is>
      </c>
      <c r="B14" s="22">
        <f>B11/B9</f>
        <v/>
      </c>
      <c r="D14" s="13" t="n">
        <v>12</v>
      </c>
      <c r="E14" s="14" t="n">
        <v>0.1100786275911365</v>
      </c>
      <c r="F14" s="15" t="n">
        <v>1.530303478411239</v>
      </c>
      <c r="G14" s="16">
        <f>DEGREES(F14)</f>
        <v/>
      </c>
      <c r="H14" s="15" t="n">
        <v>0.007524389014270022</v>
      </c>
      <c r="I14" s="16">
        <f>DEGREES(H14)</f>
        <v/>
      </c>
      <c r="J14" s="17" t="n">
        <v>-0.7122614995792677</v>
      </c>
      <c r="K14" s="17" t="n">
        <v>0.20246424191829</v>
      </c>
      <c r="L14" s="18">
        <f>$B$5*$B$3*$B$6*SIN(F14)</f>
        <v/>
      </c>
      <c r="M14" s="18">
        <f>$B$9*K14*(SIN(F14))^2 + $B$8*($B$10+K14*COS(F14))*COS(F14)</f>
        <v/>
      </c>
      <c r="N14" s="18">
        <f>0.5*$B$9*(J14^2 + (K14*SIN(F14))^2) + 0.5*$B$8*($B$10 + K14*COS(F14))^2</f>
        <v/>
      </c>
      <c r="O14" s="18">
        <f>$B$3*$B$6*$B$5*COS(F14)</f>
        <v/>
      </c>
      <c r="P14" s="18">
        <f>N14+O14</f>
        <v/>
      </c>
      <c r="Q14" s="19">
        <f>ABS(P14-$P$3)</f>
        <v/>
      </c>
    </row>
    <row r="15">
      <c r="D15" s="6" t="n">
        <v>13</v>
      </c>
      <c r="E15" s="7" t="n">
        <v>0.1200857755539671</v>
      </c>
      <c r="F15" s="8" t="n">
        <v>1.522897706371724</v>
      </c>
      <c r="G15" s="9">
        <f>DEGREES(F15)</f>
        <v/>
      </c>
      <c r="H15" s="8" t="n">
        <v>0.009733452453275102</v>
      </c>
      <c r="I15" s="9">
        <f>DEGREES(H15)</f>
        <v/>
      </c>
      <c r="J15" s="10" t="n">
        <v>-0.7674475689149886</v>
      </c>
      <c r="K15" s="10" t="n">
        <v>0.2394931021158626</v>
      </c>
      <c r="L15" s="11">
        <f>$B$5*$B$3*$B$6*SIN(F15)</f>
        <v/>
      </c>
      <c r="M15" s="11">
        <f>$B$9*K15*(SIN(F15))^2 + $B$8*($B$10+K15*COS(F15))*COS(F15)</f>
        <v/>
      </c>
      <c r="N15" s="11">
        <f>0.5*$B$9*(J15^2 + (K15*SIN(F15))^2) + 0.5*$B$8*($B$10 + K15*COS(F15))^2</f>
        <v/>
      </c>
      <c r="O15" s="11">
        <f>$B$3*$B$6*$B$5*COS(F15)</f>
        <v/>
      </c>
      <c r="P15" s="11">
        <f>N15+O15</f>
        <v/>
      </c>
      <c r="Q15" s="12">
        <f>ABS(P15-$P$3)</f>
        <v/>
      </c>
    </row>
    <row r="16">
      <c r="D16" s="13" t="n">
        <v>14</v>
      </c>
      <c r="E16" s="14" t="n">
        <v>0.1300929235167977</v>
      </c>
      <c r="F16" s="15" t="n">
        <v>1.514951593997894</v>
      </c>
      <c r="G16" s="16">
        <f>DEGREES(F16)</f>
        <v/>
      </c>
      <c r="H16" s="15" t="n">
        <v>0.01232668788515001</v>
      </c>
      <c r="I16" s="16">
        <f>DEGREES(H16)</f>
        <v/>
      </c>
      <c r="J16" s="17" t="n">
        <v>-0.8202241115114297</v>
      </c>
      <c r="K16" s="17" t="n">
        <v>0.2792236639850137</v>
      </c>
      <c r="L16" s="18">
        <f>$B$5*$B$3*$B$6*SIN(F16)</f>
        <v/>
      </c>
      <c r="M16" s="18">
        <f>$B$9*K16*(SIN(F16))^2 + $B$8*($B$10+K16*COS(F16))*COS(F16)</f>
        <v/>
      </c>
      <c r="N16" s="18">
        <f>0.5*$B$9*(J16^2 + (K16*SIN(F16))^2) + 0.5*$B$8*($B$10 + K16*COS(F16))^2</f>
        <v/>
      </c>
      <c r="O16" s="18">
        <f>$B$3*$B$6*$B$5*COS(F16)</f>
        <v/>
      </c>
      <c r="P16" s="18">
        <f>N16+O16</f>
        <v/>
      </c>
      <c r="Q16" s="19">
        <f>ABS(P16-$P$3)</f>
        <v/>
      </c>
    </row>
    <row r="17">
      <c r="D17" s="6" t="n">
        <v>15</v>
      </c>
      <c r="E17" s="7" t="n">
        <v>0.1401000714796283</v>
      </c>
      <c r="F17" s="8" t="n">
        <v>1.50649008940479</v>
      </c>
      <c r="G17" s="9">
        <f>DEGREES(F17)</f>
        <v/>
      </c>
      <c r="H17" s="8" t="n">
        <v>0.01533051440400279</v>
      </c>
      <c r="I17" s="9">
        <f>DEGREES(H17)</f>
        <v/>
      </c>
      <c r="J17" s="10" t="n">
        <v>-0.8704254268103464</v>
      </c>
      <c r="K17" s="10" t="n">
        <v>0.3215311869505331</v>
      </c>
      <c r="L17" s="11">
        <f>$B$5*$B$3*$B$6*SIN(F17)</f>
        <v/>
      </c>
      <c r="M17" s="11">
        <f>$B$9*K17*(SIN(F17))^2 + $B$8*($B$10+K17*COS(F17))*COS(F17)</f>
        <v/>
      </c>
      <c r="N17" s="11">
        <f>0.5*$B$9*(J17^2 + (K17*SIN(F17))^2) + 0.5*$B$8*($B$10 + K17*COS(F17))^2</f>
        <v/>
      </c>
      <c r="O17" s="11">
        <f>$B$3*$B$6*$B$5*COS(F17)</f>
        <v/>
      </c>
      <c r="P17" s="11">
        <f>N17+O17</f>
        <v/>
      </c>
      <c r="Q17" s="12">
        <f>ABS(P17-$P$3)</f>
        <v/>
      </c>
    </row>
    <row r="18">
      <c r="D18" s="13" t="n">
        <v>16</v>
      </c>
      <c r="E18" s="14" t="n">
        <v>0.1501072194424589</v>
      </c>
      <c r="F18" s="15" t="n">
        <v>1.497539758865338</v>
      </c>
      <c r="G18" s="16">
        <f>DEGREES(F18)</f>
        <v/>
      </c>
      <c r="H18" s="15" t="n">
        <v>0.01877006198629577</v>
      </c>
      <c r="I18" s="16">
        <f>DEGREES(H18)</f>
        <v/>
      </c>
      <c r="J18" s="17" t="n">
        <v>-0.9178938995993654</v>
      </c>
      <c r="K18" s="17" t="n">
        <v>0.3662828396477941</v>
      </c>
      <c r="L18" s="18">
        <f>$B$5*$B$3*$B$6*SIN(F18)</f>
        <v/>
      </c>
      <c r="M18" s="18">
        <f>$B$9*K18*(SIN(F18))^2 + $B$8*($B$10+K18*COS(F18))*COS(F18)</f>
        <v/>
      </c>
      <c r="N18" s="18">
        <f>0.5*$B$9*(J18^2 + (K18*SIN(F18))^2) + 0.5*$B$8*($B$10 + K18*COS(F18))^2</f>
        <v/>
      </c>
      <c r="O18" s="18">
        <f>$B$3*$B$6*$B$5*COS(F18)</f>
        <v/>
      </c>
      <c r="P18" s="18">
        <f>N18+O18</f>
        <v/>
      </c>
      <c r="Q18" s="19">
        <f>ABS(P18-$P$3)</f>
        <v/>
      </c>
    </row>
    <row r="19">
      <c r="D19" s="6" t="n">
        <v>17</v>
      </c>
      <c r="E19" s="7" t="n">
        <v>0.1601143674052895</v>
      </c>
      <c r="F19" s="8" t="n">
        <v>1.488128703401201</v>
      </c>
      <c r="G19" s="9">
        <f>DEGREES(F19)</f>
        <v/>
      </c>
      <c r="H19" s="8" t="n">
        <v>0.02266909259118893</v>
      </c>
      <c r="I19" s="9">
        <f>DEGREES(H19)</f>
        <v/>
      </c>
      <c r="J19" s="10" t="n">
        <v>-0.9624804948706362</v>
      </c>
      <c r="K19" s="10" t="n">
        <v>0.4133381169684759</v>
      </c>
      <c r="L19" s="11">
        <f>$B$5*$B$3*$B$6*SIN(F19)</f>
        <v/>
      </c>
      <c r="M19" s="11">
        <f>$B$9*K19*(SIN(F19))^2 + $B$8*($B$10+K19*COS(F19))*COS(F19)</f>
        <v/>
      </c>
      <c r="N19" s="11">
        <f>0.5*$B$9*(J19^2 + (K19*SIN(F19))^2) + 0.5*$B$8*($B$10 + K19*COS(F19))^2</f>
        <v/>
      </c>
      <c r="O19" s="11">
        <f>$B$3*$B$6*$B$5*COS(F19)</f>
        <v/>
      </c>
      <c r="P19" s="11">
        <f>N19+O19</f>
        <v/>
      </c>
      <c r="Q19" s="12">
        <f>ABS(P19-$P$3)</f>
        <v/>
      </c>
    </row>
    <row r="20">
      <c r="D20" s="13" t="n">
        <v>18</v>
      </c>
      <c r="E20" s="14" t="n">
        <v>0.1701215153681201</v>
      </c>
      <c r="F20" s="15" t="n">
        <v>1.478286470555046</v>
      </c>
      <c r="G20" s="16">
        <f>DEGREES(F20)</f>
        <v/>
      </c>
      <c r="H20" s="15" t="n">
        <v>0.0270499255559952</v>
      </c>
      <c r="I20" s="16">
        <f>DEGREES(H20)</f>
        <v/>
      </c>
      <c r="J20" s="17" t="n">
        <v>-1.004045225740532</v>
      </c>
      <c r="K20" s="17" t="n">
        <v>0.4625492811992535</v>
      </c>
      <c r="L20" s="18">
        <f>$B$5*$B$3*$B$6*SIN(F20)</f>
        <v/>
      </c>
      <c r="M20" s="18">
        <f>$B$9*K20*(SIN(F20))^2 + $B$8*($B$10+K20*COS(F20))*COS(F20)</f>
        <v/>
      </c>
      <c r="N20" s="18">
        <f>0.5*$B$9*(J20^2 + (K20*SIN(F20))^2) + 0.5*$B$8*($B$10 + K20*COS(F20))^2</f>
        <v/>
      </c>
      <c r="O20" s="18">
        <f>$B$3*$B$6*$B$5*COS(F20)</f>
        <v/>
      </c>
      <c r="P20" s="18">
        <f>N20+O20</f>
        <v/>
      </c>
      <c r="Q20" s="19">
        <f>ABS(P20-$P$3)</f>
        <v/>
      </c>
    </row>
    <row r="21">
      <c r="D21" s="6" t="n">
        <v>19</v>
      </c>
      <c r="E21" s="7" t="n">
        <v>0.1801286633309507</v>
      </c>
      <c r="F21" s="8" t="n">
        <v>1.46804396162121</v>
      </c>
      <c r="G21" s="9">
        <f>DEGREES(F21)</f>
        <v/>
      </c>
      <c r="H21" s="8" t="n">
        <v>0.03193336752098311</v>
      </c>
      <c r="I21" s="9">
        <f>DEGREES(H21)</f>
        <v/>
      </c>
      <c r="J21" s="10" t="n">
        <v>-1.042457592961289</v>
      </c>
      <c r="K21" s="10" t="n">
        <v>0.5137618258684304</v>
      </c>
      <c r="L21" s="11">
        <f>$B$5*$B$3*$B$6*SIN(F21)</f>
        <v/>
      </c>
      <c r="M21" s="11">
        <f>$B$9*K21*(SIN(F21))^2 + $B$8*($B$10+K21*COS(F21))*COS(F21)</f>
        <v/>
      </c>
      <c r="N21" s="11">
        <f>0.5*$B$9*(J21^2 + (K21*SIN(F21))^2) + 0.5*$B$8*($B$10 + K21*COS(F21))^2</f>
        <v/>
      </c>
      <c r="O21" s="11">
        <f>$B$3*$B$6*$B$5*COS(F21)</f>
        <v/>
      </c>
      <c r="P21" s="11">
        <f>N21+O21</f>
        <v/>
      </c>
      <c r="Q21" s="12">
        <f>ABS(P21-$P$3)</f>
        <v/>
      </c>
    </row>
    <row r="22">
      <c r="D22" s="13" t="n">
        <v>20</v>
      </c>
      <c r="E22" s="14" t="n">
        <v>0.1901358112937813</v>
      </c>
      <c r="F22" s="15" t="n">
        <v>1.457433334626058</v>
      </c>
      <c r="G22" s="16">
        <f>DEGREES(F22)</f>
        <v/>
      </c>
      <c r="H22" s="15" t="n">
        <v>0.03733864710353813</v>
      </c>
      <c r="I22" s="16">
        <f>DEGREES(H22)</f>
        <v/>
      </c>
      <c r="J22" s="17" t="n">
        <v>-1.077596994644665</v>
      </c>
      <c r="K22" s="17" t="n">
        <v>0.5668149608441916</v>
      </c>
      <c r="L22" s="18">
        <f>$B$5*$B$3*$B$6*SIN(F22)</f>
        <v/>
      </c>
      <c r="M22" s="18">
        <f>$B$9*K22*(SIN(F22))^2 + $B$8*($B$10+K22*COS(F22))*COS(F22)</f>
        <v/>
      </c>
      <c r="N22" s="18">
        <f>0.5*$B$9*(J22^2 + (K22*SIN(F22))^2) + 0.5*$B$8*($B$10 + K22*COS(F22))^2</f>
        <v/>
      </c>
      <c r="O22" s="18">
        <f>$B$3*$B$6*$B$5*COS(F22)</f>
        <v/>
      </c>
      <c r="P22" s="18">
        <f>N22+O22</f>
        <v/>
      </c>
      <c r="Q22" s="19">
        <f>ABS(P22-$P$3)</f>
        <v/>
      </c>
    </row>
    <row r="23">
      <c r="D23" s="6" t="n">
        <v>21</v>
      </c>
      <c r="E23" s="7" t="n">
        <v>0.2001429592566119</v>
      </c>
      <c r="F23" s="8" t="n">
        <v>1.44648790336261</v>
      </c>
      <c r="G23" s="9">
        <f>DEGREES(F23)</f>
        <v/>
      </c>
      <c r="H23" s="8" t="n">
        <v>0.04328335452678395</v>
      </c>
      <c r="I23" s="9">
        <f>DEGREES(H23)</f>
        <v/>
      </c>
      <c r="J23" s="10" t="n">
        <v>-1.109353104911228</v>
      </c>
      <c r="K23" s="10" t="n">
        <v>0.6215421171614315</v>
      </c>
      <c r="L23" s="11">
        <f>$B$5*$B$3*$B$6*SIN(F23)</f>
        <v/>
      </c>
      <c r="M23" s="11">
        <f>$B$9*K23*(SIN(F23))^2 + $B$8*($B$10+K23*COS(F23))*COS(F23)</f>
        <v/>
      </c>
      <c r="N23" s="11">
        <f>0.5*$B$9*(J23^2 + (K23*SIN(F23))^2) + 0.5*$B$8*($B$10 + K23*COS(F23))^2</f>
        <v/>
      </c>
      <c r="O23" s="11">
        <f>$B$3*$B$6*$B$5*COS(F23)</f>
        <v/>
      </c>
      <c r="P23" s="11">
        <f>N23+O23</f>
        <v/>
      </c>
      <c r="Q23" s="12">
        <f>ABS(P23-$P$3)</f>
        <v/>
      </c>
    </row>
    <row r="24">
      <c r="D24" s="13" t="n">
        <v>22</v>
      </c>
      <c r="E24" s="14" t="n">
        <v>0.2101501072194425</v>
      </c>
      <c r="F24" s="15" t="n">
        <v>1.435242032796462</v>
      </c>
      <c r="G24" s="16">
        <f>DEGREES(F24)</f>
        <v/>
      </c>
      <c r="H24" s="15" t="n">
        <v>0.04978338639220969</v>
      </c>
      <c r="I24" s="16">
        <f>DEGREES(H24)</f>
        <v/>
      </c>
      <c r="J24" s="17" t="n">
        <v>-1.137626220276438</v>
      </c>
      <c r="K24" s="17" t="n">
        <v>0.6777714699921724</v>
      </c>
      <c r="L24" s="18">
        <f>$B$5*$B$3*$B$6*SIN(F24)</f>
        <v/>
      </c>
      <c r="M24" s="18">
        <f>$B$9*K24*(SIN(F24))^2 + $B$8*($B$10+K24*COS(F24))*COS(F24)</f>
        <v/>
      </c>
      <c r="N24" s="18">
        <f>0.5*$B$9*(J24^2 + (K24*SIN(F24))^2) + 0.5*$B$8*($B$10 + K24*COS(F24))^2</f>
        <v/>
      </c>
      <c r="O24" s="18">
        <f>$B$3*$B$6*$B$5*COS(F24)</f>
        <v/>
      </c>
      <c r="P24" s="18">
        <f>N24+O24</f>
        <v/>
      </c>
      <c r="Q24" s="19">
        <f>ABS(P24-$P$3)</f>
        <v/>
      </c>
    </row>
    <row r="25">
      <c r="D25" s="6" t="n">
        <v>23</v>
      </c>
      <c r="E25" s="7" t="n">
        <v>0.2201572551822731</v>
      </c>
      <c r="F25" s="8" t="n">
        <v>1.423731031171373</v>
      </c>
      <c r="G25" s="9">
        <f>DEGREES(F25)</f>
        <v/>
      </c>
      <c r="H25" s="8" t="n">
        <v>0.05685289576969865</v>
      </c>
      <c r="I25" s="9">
        <f>DEGREES(H25)</f>
        <v/>
      </c>
      <c r="J25" s="10" t="n">
        <v>-1.162327572685989</v>
      </c>
      <c r="K25" s="10" t="n">
        <v>0.7353264781176183</v>
      </c>
      <c r="L25" s="11">
        <f>$B$5*$B$3*$B$6*SIN(F25)</f>
        <v/>
      </c>
      <c r="M25" s="11">
        <f>$B$9*K25*(SIN(F25))^2 + $B$8*($B$10+K25*COS(F25))*COS(F25)</f>
        <v/>
      </c>
      <c r="N25" s="11">
        <f>0.5*$B$9*(J25^2 + (K25*SIN(F25))^2) + 0.5*$B$8*($B$10 + K25*COS(F25))^2</f>
        <v/>
      </c>
      <c r="O25" s="11">
        <f>$B$3*$B$6*$B$5*COS(F25)</f>
        <v/>
      </c>
      <c r="P25" s="11">
        <f>N25+O25</f>
        <v/>
      </c>
      <c r="Q25" s="12">
        <f>ABS(P25-$P$3)</f>
        <v/>
      </c>
    </row>
    <row r="26">
      <c r="D26" s="13" t="n">
        <v>24</v>
      </c>
      <c r="E26" s="14" t="n">
        <v>0.2301644031451037</v>
      </c>
      <c r="F26" s="15" t="n">
        <v>1.411991039153279</v>
      </c>
      <c r="G26" s="16">
        <f>DEGREES(F26)</f>
        <v/>
      </c>
      <c r="H26" s="15" t="n">
        <v>0.06450424776165786</v>
      </c>
      <c r="I26" s="16">
        <f>DEGREES(H26)</f>
        <v/>
      </c>
      <c r="J26" s="17" t="n">
        <v>-1.183379608217581</v>
      </c>
      <c r="K26" s="17" t="n">
        <v>0.7940264382080889</v>
      </c>
      <c r="L26" s="18">
        <f>$B$5*$B$3*$B$6*SIN(F26)</f>
        <v/>
      </c>
      <c r="M26" s="18">
        <f>$B$9*K26*(SIN(F26))^2 + $B$8*($B$10+K26*COS(F26))*COS(F26)</f>
        <v/>
      </c>
      <c r="N26" s="18">
        <f>0.5*$B$9*(J26^2 + (K26*SIN(F26))^2) + 0.5*$B$8*($B$10 + K26*COS(F26))^2</f>
        <v/>
      </c>
      <c r="O26" s="18">
        <f>$B$3*$B$6*$B$5*COS(F26)</f>
        <v/>
      </c>
      <c r="P26" s="18">
        <f>N26+O26</f>
        <v/>
      </c>
      <c r="Q26" s="19">
        <f>ABS(P26-$P$3)</f>
        <v/>
      </c>
    </row>
    <row r="27">
      <c r="D27" s="6" t="n">
        <v>25</v>
      </c>
      <c r="E27" s="7" t="n">
        <v>0.2401715511079343</v>
      </c>
      <c r="F27" s="8" t="n">
        <v>1.400058916360781</v>
      </c>
      <c r="G27" s="9">
        <f>DEGREES(F27)</f>
        <v/>
      </c>
      <c r="H27" s="8" t="n">
        <v>0.07274798068076396</v>
      </c>
      <c r="I27" s="9">
        <f>DEGREES(H27)</f>
        <v/>
      </c>
      <c r="J27" s="10" t="n">
        <v>-1.200716230574108</v>
      </c>
      <c r="K27" s="10" t="n">
        <v>0.8536870521705793</v>
      </c>
      <c r="L27" s="11">
        <f>$B$5*$B$3*$B$6*SIN(F27)</f>
        <v/>
      </c>
      <c r="M27" s="11">
        <f>$B$9*K27*(SIN(F27))^2 + $B$8*($B$10+K27*COS(F27))*COS(F27)</f>
        <v/>
      </c>
      <c r="N27" s="11">
        <f>0.5*$B$9*(J27^2 + (K27*SIN(F27))^2) + 0.5*$B$8*($B$10 + K27*COS(F27))^2</f>
        <v/>
      </c>
      <c r="O27" s="11">
        <f>$B$3*$B$6*$B$5*COS(F27)</f>
        <v/>
      </c>
      <c r="P27" s="11">
        <f>N27+O27</f>
        <v/>
      </c>
      <c r="Q27" s="12">
        <f>ABS(P27-$P$3)</f>
        <v/>
      </c>
    </row>
    <row r="28">
      <c r="D28" s="13" t="n">
        <v>26</v>
      </c>
      <c r="E28" s="14" t="n">
        <v>0.2501786990707648</v>
      </c>
      <c r="F28" s="15" t="n">
        <v>1.387972125638364</v>
      </c>
      <c r="G28" s="16">
        <f>DEGREES(F28)</f>
        <v/>
      </c>
      <c r="H28" s="15" t="n">
        <v>0.08159277296321263</v>
      </c>
      <c r="I28" s="16">
        <f>DEGREES(H28)</f>
        <v/>
      </c>
      <c r="J28" s="17" t="n">
        <v>-1.214283008603751</v>
      </c>
      <c r="K28" s="17" t="n">
        <v>0.9141210057826631</v>
      </c>
      <c r="L28" s="18">
        <f>$B$5*$B$3*$B$6*SIN(F28)</f>
        <v/>
      </c>
      <c r="M28" s="18">
        <f>$B$9*K28*(SIN(F28))^2 + $B$8*($B$10+K28*COS(F28))*COS(F28)</f>
        <v/>
      </c>
      <c r="N28" s="18">
        <f>0.5*$B$9*(J28^2 + (K28*SIN(F28))^2) + 0.5*$B$8*($B$10 + K28*COS(F28))^2</f>
        <v/>
      </c>
      <c r="O28" s="18">
        <f>$B$3*$B$6*$B$5*COS(F28)</f>
        <v/>
      </c>
      <c r="P28" s="18">
        <f>N28+O28</f>
        <v/>
      </c>
      <c r="Q28" s="19">
        <f>ABS(P28-$P$3)</f>
        <v/>
      </c>
    </row>
    <row r="29">
      <c r="D29" s="6" t="n">
        <v>27</v>
      </c>
      <c r="E29" s="7" t="n">
        <v>0.2601858470335954</v>
      </c>
      <c r="F29" s="8" t="n">
        <v>1.375768615435691</v>
      </c>
      <c r="G29" s="9">
        <f>DEGREES(F29)</f>
        <v/>
      </c>
      <c r="H29" s="8" t="n">
        <v>0.09104541592135348</v>
      </c>
      <c r="I29" s="9">
        <f>DEGREES(H29)</f>
        <v/>
      </c>
      <c r="J29" s="10" t="n">
        <v>-1.224037347195452</v>
      </c>
      <c r="K29" s="10" t="n">
        <v>0.9751385567960261</v>
      </c>
      <c r="L29" s="11">
        <f>$B$5*$B$3*$B$6*SIN(F29)</f>
        <v/>
      </c>
      <c r="M29" s="11">
        <f>$B$9*K29*(SIN(F29))^2 + $B$8*($B$10+K29*COS(F29))*COS(F29)</f>
        <v/>
      </c>
      <c r="N29" s="11">
        <f>0.5*$B$9*(J29^2 + (K29*SIN(F29))^2) + 0.5*$B$8*($B$10 + K29*COS(F29))^2</f>
        <v/>
      </c>
      <c r="O29" s="11">
        <f>$B$3*$B$6*$B$5*COS(F29)</f>
        <v/>
      </c>
      <c r="P29" s="11">
        <f>N29+O29</f>
        <v/>
      </c>
      <c r="Q29" s="12">
        <f>ABS(P29-$P$3)</f>
        <v/>
      </c>
    </row>
    <row r="30">
      <c r="D30" s="13" t="n">
        <v>28</v>
      </c>
      <c r="E30" s="14" t="n">
        <v>0.270192994996426</v>
      </c>
      <c r="F30" s="15" t="n">
        <v>1.36348670066226</v>
      </c>
      <c r="G30" s="16">
        <f>DEGREES(F30)</f>
        <v/>
      </c>
      <c r="H30" s="15" t="n">
        <v>0.101110792421258</v>
      </c>
      <c r="I30" s="16">
        <f>DEGREES(H30)</f>
        <v/>
      </c>
      <c r="J30" s="17" t="n">
        <v>-1.229948621013212</v>
      </c>
      <c r="K30" s="17" t="n">
        <v>1.036548130663186</v>
      </c>
      <c r="L30" s="18">
        <f>$B$5*$B$3*$B$6*SIN(F30)</f>
        <v/>
      </c>
      <c r="M30" s="18">
        <f>$B$9*K30*(SIN(F30))^2 + $B$8*($B$10+K30*COS(F30))*COS(F30)</f>
        <v/>
      </c>
      <c r="N30" s="18">
        <f>0.5*$B$9*(J30^2 + (K30*SIN(F30))^2) + 0.5*$B$8*($B$10 + K30*COS(F30))^2</f>
        <v/>
      </c>
      <c r="O30" s="18">
        <f>$B$3*$B$6*$B$5*COS(F30)</f>
        <v/>
      </c>
      <c r="P30" s="18">
        <f>N30+O30</f>
        <v/>
      </c>
      <c r="Q30" s="19">
        <f>ABS(P30-$P$3)</f>
        <v/>
      </c>
    </row>
    <row r="31">
      <c r="D31" s="6" t="n">
        <v>29</v>
      </c>
      <c r="E31" s="7" t="n">
        <v>0.2802001429592567</v>
      </c>
      <c r="F31" s="8" t="n">
        <v>1.351164942391495</v>
      </c>
      <c r="G31" s="9">
        <f>DEGREES(F31)</f>
        <v/>
      </c>
      <c r="H31" s="8" t="n">
        <v>0.1117918615521657</v>
      </c>
      <c r="I31" s="9">
        <f>DEGREES(H31)</f>
        <v/>
      </c>
      <c r="J31" s="10" t="n">
        <v>-1.23199827064932</v>
      </c>
      <c r="K31" s="10" t="n">
        <v>1.098156922017008</v>
      </c>
      <c r="L31" s="11">
        <f>$B$5*$B$3*$B$6*SIN(F31)</f>
        <v/>
      </c>
      <c r="M31" s="11">
        <f>$B$9*K31*(SIN(F31))^2 + $B$8*($B$10+K31*COS(F31))*COS(F31)</f>
        <v/>
      </c>
      <c r="N31" s="11">
        <f>0.5*$B$9*(J31^2 + (K31*SIN(F31))^2) + 0.5*$B$8*($B$10 + K31*COS(F31))^2</f>
        <v/>
      </c>
      <c r="O31" s="11">
        <f>$B$3*$B$6*$B$5*COS(F31)</f>
        <v/>
      </c>
      <c r="P31" s="11">
        <f>N31+O31</f>
        <v/>
      </c>
      <c r="Q31" s="12">
        <f>ABS(P31-$P$3)</f>
        <v/>
      </c>
    </row>
    <row r="32">
      <c r="D32" s="13" t="n">
        <v>30</v>
      </c>
      <c r="E32" s="14" t="n">
        <v>0.2902072909220872</v>
      </c>
      <c r="F32" s="15" t="n">
        <v>1.33884202679198</v>
      </c>
      <c r="G32" s="16">
        <f>DEGREES(F32)</f>
        <v/>
      </c>
      <c r="H32" s="15" t="n">
        <v>0.1230896493359407</v>
      </c>
      <c r="I32" s="16">
        <f>DEGREES(H32)</f>
        <v/>
      </c>
      <c r="J32" s="17" t="n">
        <v>-1.230179860894644</v>
      </c>
      <c r="K32" s="17" t="n">
        <v>1.159771500014585</v>
      </c>
      <c r="L32" s="18">
        <f>$B$5*$B$3*$B$6*SIN(F32)</f>
        <v/>
      </c>
      <c r="M32" s="18">
        <f>$B$9*K32*(SIN(F32))^2 + $B$8*($B$10+K32*COS(F32))*COS(F32)</f>
        <v/>
      </c>
      <c r="N32" s="18">
        <f>0.5*$B$9*(J32^2 + (K32*SIN(F32))^2) + 0.5*$B$8*($B$10 + K32*COS(F32))^2</f>
        <v/>
      </c>
      <c r="O32" s="18">
        <f>$B$3*$B$6*$B$5*COS(F32)</f>
        <v/>
      </c>
      <c r="P32" s="18">
        <f>N32+O32</f>
        <v/>
      </c>
      <c r="Q32" s="19">
        <f>ABS(P32-$P$3)</f>
        <v/>
      </c>
    </row>
    <row r="33">
      <c r="D33" s="6" t="n">
        <v>31</v>
      </c>
      <c r="E33" s="7" t="n">
        <v>0.3002144388849178</v>
      </c>
      <c r="F33" s="8" t="n">
        <v>1.326556643665916</v>
      </c>
      <c r="G33" s="9">
        <f>DEGREES(F33)</f>
        <v/>
      </c>
      <c r="H33" s="8" t="n">
        <v>0.1350032455057092</v>
      </c>
      <c r="I33" s="9">
        <f>DEGREES(H33)</f>
        <v/>
      </c>
      <c r="J33" s="10" t="n">
        <v>-1.224499100943017</v>
      </c>
      <c r="K33" s="10" t="n">
        <v>1.221198415644901</v>
      </c>
      <c r="L33" s="11">
        <f>$B$5*$B$3*$B$6*SIN(F33)</f>
        <v/>
      </c>
      <c r="M33" s="11">
        <f>$B$9*K33*(SIN(F33))^2 + $B$8*($B$10+K33*COS(F33))*COS(F33)</f>
        <v/>
      </c>
      <c r="N33" s="11">
        <f>0.5*$B$9*(J33^2 + (K33*SIN(F33))^2) + 0.5*$B$8*($B$10 + K33*COS(F33))^2</f>
        <v/>
      </c>
      <c r="O33" s="11">
        <f>$B$3*$B$6*$B$5*COS(F33)</f>
        <v/>
      </c>
      <c r="P33" s="11">
        <f>N33+O33</f>
        <v/>
      </c>
      <c r="Q33" s="12">
        <f>ABS(P33-$P$3)</f>
        <v/>
      </c>
    </row>
    <row r="34">
      <c r="D34" s="13" t="n">
        <v>32</v>
      </c>
      <c r="E34" s="14" t="n">
        <v>0.3102215868477484</v>
      </c>
      <c r="F34" s="15" t="n">
        <v>1.314347364976191</v>
      </c>
      <c r="G34" s="16">
        <f>DEGREES(F34)</f>
        <v/>
      </c>
      <c r="H34" s="15" t="n">
        <v>0.1475298063637909</v>
      </c>
      <c r="I34" s="16">
        <f>DEGREES(H34)</f>
        <v/>
      </c>
      <c r="J34" s="17" t="n">
        <v>-1.214973826466289</v>
      </c>
      <c r="K34" s="17" t="n">
        <v>1.282244809093528</v>
      </c>
      <c r="L34" s="18">
        <f>$B$5*$B$3*$B$6*SIN(F34)</f>
        <v/>
      </c>
      <c r="M34" s="18">
        <f>$B$9*K34*(SIN(F34))^2 + $B$8*($B$10+K34*COS(F34))*COS(F34)</f>
        <v/>
      </c>
      <c r="N34" s="18">
        <f>0.5*$B$9*(J34^2 + (K34*SIN(F34))^2) + 0.5*$B$8*($B$10 + K34*COS(F34))^2</f>
        <v/>
      </c>
      <c r="O34" s="18">
        <f>$B$3*$B$6*$B$5*COS(F34)</f>
        <v/>
      </c>
      <c r="P34" s="18">
        <f>N34+O34</f>
        <v/>
      </c>
      <c r="Q34" s="19">
        <f>ABS(P34-$P$3)</f>
        <v/>
      </c>
    </row>
    <row r="35">
      <c r="D35" s="6" t="n">
        <v>33</v>
      </c>
      <c r="E35" s="7" t="n">
        <v>0.320228734810579</v>
      </c>
      <c r="F35" s="8" t="n">
        <v>1.302252523743405</v>
      </c>
      <c r="G35" s="9">
        <f>DEGREES(F35)</f>
        <v/>
      </c>
      <c r="H35" s="8" t="n">
        <v>0.1606645637099508</v>
      </c>
      <c r="I35" s="9">
        <f>DEGREES(H35)</f>
        <v/>
      </c>
      <c r="J35" s="10" t="n">
        <v>-1.201633943616335</v>
      </c>
      <c r="K35" s="10" t="n">
        <v>1.342719015257457</v>
      </c>
      <c r="L35" s="11">
        <f>$B$5*$B$3*$B$6*SIN(F35)</f>
        <v/>
      </c>
      <c r="M35" s="11">
        <f>$B$9*K35*(SIN(F35))^2 + $B$8*($B$10+K35*COS(F35))*COS(F35)</f>
        <v/>
      </c>
      <c r="N35" s="11">
        <f>0.5*$B$9*(J35^2 + (K35*SIN(F35))^2) + 0.5*$B$8*($B$10 + K35*COS(F35))^2</f>
        <v/>
      </c>
      <c r="O35" s="11">
        <f>$B$3*$B$6*$B$5*COS(F35)</f>
        <v/>
      </c>
      <c r="P35" s="11">
        <f>N35+O35</f>
        <v/>
      </c>
      <c r="Q35" s="12">
        <f>ABS(P35-$P$3)</f>
        <v/>
      </c>
    </row>
    <row r="36">
      <c r="D36" s="13" t="n">
        <v>34</v>
      </c>
      <c r="E36" s="14" t="n">
        <v>0.3302358827734096</v>
      </c>
      <c r="F36" s="15" t="n">
        <v>1.290310093693111</v>
      </c>
      <c r="G36" s="16">
        <f>DEGREES(F36)</f>
        <v/>
      </c>
      <c r="H36" s="15" t="n">
        <v>0.1744008398119416</v>
      </c>
      <c r="I36" s="16">
        <f>DEGREES(H36)</f>
        <v/>
      </c>
      <c r="J36" s="17" t="n">
        <v>-1.18452133512981</v>
      </c>
      <c r="K36" s="17" t="n">
        <v>1.402431165508927</v>
      </c>
      <c r="L36" s="18">
        <f>$B$5*$B$3*$B$6*SIN(F36)</f>
        <v/>
      </c>
      <c r="M36" s="18">
        <f>$B$9*K36*(SIN(F36))^2 + $B$8*($B$10+K36*COS(F36))*COS(F36)</f>
        <v/>
      </c>
      <c r="N36" s="18">
        <f>0.5*$B$9*(J36^2 + (K36*SIN(F36))^2) + 0.5*$B$8*($B$10 + K36*COS(F36))^2</f>
        <v/>
      </c>
      <c r="O36" s="18">
        <f>$B$3*$B$6*$B$5*COS(F36)</f>
        <v/>
      </c>
      <c r="P36" s="18">
        <f>N36+O36</f>
        <v/>
      </c>
      <c r="Q36" s="19">
        <f>ABS(P36-$P$3)</f>
        <v/>
      </c>
    </row>
    <row r="37">
      <c r="D37" s="6" t="n">
        <v>35</v>
      </c>
      <c r="E37" s="7" t="n">
        <v>0.3402430307362402</v>
      </c>
      <c r="F37" s="8" t="n">
        <v>1.27855757003111</v>
      </c>
      <c r="G37" s="9">
        <f>DEGREES(F37)</f>
        <v/>
      </c>
      <c r="H37" s="8" t="n">
        <v>0.1887300683713322</v>
      </c>
      <c r="I37" s="9">
        <f>DEGREES(H37)</f>
        <v/>
      </c>
      <c r="J37" s="10" t="n">
        <v>-1.163689728830473</v>
      </c>
      <c r="K37" s="10" t="n">
        <v>1.46119378381893</v>
      </c>
      <c r="L37" s="11">
        <f>$B$5*$B$3*$B$6*SIN(F37)</f>
        <v/>
      </c>
      <c r="M37" s="11">
        <f>$B$9*K37*(SIN(F37))^2 + $B$8*($B$10+K37*COS(F37))*COS(F37)</f>
        <v/>
      </c>
      <c r="N37" s="11">
        <f>0.5*$B$9*(J37^2 + (K37*SIN(F37))^2) + 0.5*$B$8*($B$10 + K37*COS(F37))^2</f>
        <v/>
      </c>
      <c r="O37" s="11">
        <f>$B$3*$B$6*$B$5*COS(F37)</f>
        <v/>
      </c>
      <c r="P37" s="11">
        <f>N37+O37</f>
        <v/>
      </c>
      <c r="Q37" s="12">
        <f>ABS(P37-$P$3)</f>
        <v/>
      </c>
    </row>
    <row r="38">
      <c r="D38" s="13" t="n">
        <v>36</v>
      </c>
      <c r="E38" s="14" t="n">
        <v>0.3502501786990708</v>
      </c>
      <c r="F38" s="15" t="n">
        <v>1.267031851721143</v>
      </c>
      <c r="G38" s="16">
        <f>DEGREES(F38)</f>
        <v/>
      </c>
      <c r="H38" s="15" t="n">
        <v>0.2036418214187982</v>
      </c>
      <c r="I38" s="16">
        <f>DEGREES(H38)</f>
        <v/>
      </c>
      <c r="J38" s="17" t="n">
        <v>-1.139204528941926</v>
      </c>
      <c r="K38" s="17" t="n">
        <v>1.518822375368769</v>
      </c>
      <c r="L38" s="18">
        <f>$B$5*$B$3*$B$6*SIN(F38)</f>
        <v/>
      </c>
      <c r="M38" s="18">
        <f>$B$9*K38*(SIN(F38))^2 + $B$8*($B$10+K38*COS(F38))*COS(F38)</f>
        <v/>
      </c>
      <c r="N38" s="18">
        <f>0.5*$B$9*(J38^2 + (K38*SIN(F38))^2) + 0.5*$B$8*($B$10 + K38*COS(F38))^2</f>
        <v/>
      </c>
      <c r="O38" s="18">
        <f>$B$3*$B$6*$B$5*COS(F38)</f>
        <v/>
      </c>
      <c r="P38" s="18">
        <f>N38+O38</f>
        <v/>
      </c>
      <c r="Q38" s="19">
        <f>ABS(P38-$P$3)</f>
        <v/>
      </c>
    </row>
    <row r="39">
      <c r="D39" s="6" t="n">
        <v>37</v>
      </c>
      <c r="E39" s="7" t="n">
        <v>0.3602573266619014</v>
      </c>
      <c r="F39" s="8" t="n">
        <v>1.255769125634575</v>
      </c>
      <c r="G39" s="9">
        <f>DEGREES(F39)</f>
        <v/>
      </c>
      <c r="H39" s="8" t="n">
        <v>0.2191238420544317</v>
      </c>
      <c r="I39" s="9">
        <f>DEGREES(H39)</f>
        <v/>
      </c>
      <c r="J39" s="10" t="n">
        <v>-1.111142610740395</v>
      </c>
      <c r="K39" s="10" t="n">
        <v>1.575136005801606</v>
      </c>
      <c r="L39" s="11">
        <f>$B$5*$B$3*$B$6*SIN(F39)</f>
        <v/>
      </c>
      <c r="M39" s="11">
        <f>$B$9*K39*(SIN(F39))^2 + $B$8*($B$10+K39*COS(F39))*COS(F39)</f>
        <v/>
      </c>
      <c r="N39" s="11">
        <f>0.5*$B$9*(J39^2 + (K39*SIN(F39))^2) + 0.5*$B$8*($B$10 + K39*COS(F39))^2</f>
        <v/>
      </c>
      <c r="O39" s="11">
        <f>$B$3*$B$6*$B$5*COS(F39)</f>
        <v/>
      </c>
      <c r="P39" s="11">
        <f>N39+O39</f>
        <v/>
      </c>
      <c r="Q39" s="12">
        <f>ABS(P39-$P$3)</f>
        <v/>
      </c>
    </row>
    <row r="40">
      <c r="D40" s="13" t="n">
        <v>38</v>
      </c>
      <c r="E40" s="14" t="n">
        <v>0.370264474624732</v>
      </c>
      <c r="F40" s="15" t="n">
        <v>1.244804752935821</v>
      </c>
      <c r="G40" s="16">
        <f>DEGREES(F40)</f>
        <v/>
      </c>
      <c r="H40" s="15" t="n">
        <v>0.2351620829302755</v>
      </c>
      <c r="I40" s="16">
        <f>DEGREES(H40)</f>
        <v/>
      </c>
      <c r="J40" s="17" t="n">
        <v>-1.079592079192264</v>
      </c>
      <c r="K40" s="17" t="n">
        <v>1.629957869295379</v>
      </c>
      <c r="L40" s="18">
        <f>$B$5*$B$3*$B$6*SIN(F40)</f>
        <v/>
      </c>
      <c r="M40" s="18">
        <f>$B$9*K40*(SIN(F40))^2 + $B$8*($B$10+K40*COS(F40))*COS(F40)</f>
        <v/>
      </c>
      <c r="N40" s="18">
        <f>0.5*$B$9*(J40^2 + (K40*SIN(F40))^2) + 0.5*$B$8*($B$10 + K40*COS(F40))^2</f>
        <v/>
      </c>
      <c r="O40" s="18">
        <f>$B$3*$B$6*$B$5*COS(F40)</f>
        <v/>
      </c>
      <c r="P40" s="18">
        <f>N40+O40</f>
        <v/>
      </c>
      <c r="Q40" s="19">
        <f>ABS(P40-$P$3)</f>
        <v/>
      </c>
    </row>
    <row r="41">
      <c r="D41" s="6" t="n">
        <v>39</v>
      </c>
      <c r="E41" s="7" t="n">
        <v>0.3802716225875626</v>
      </c>
      <c r="F41" s="8" t="n">
        <v>1.234173158060199</v>
      </c>
      <c r="G41" s="9">
        <f>DEGREES(F41)</f>
        <v/>
      </c>
      <c r="H41" s="8" t="n">
        <v>0.2517407503542627</v>
      </c>
      <c r="I41" s="9">
        <f>DEGREES(H41)</f>
        <v/>
      </c>
      <c r="J41" s="10" t="n">
        <v>-1.044651992334177</v>
      </c>
      <c r="K41" s="10" t="n">
        <v>1.683115843673489</v>
      </c>
      <c r="L41" s="11">
        <f>$B$5*$B$3*$B$6*SIN(F41)</f>
        <v/>
      </c>
      <c r="M41" s="11">
        <f>$B$9*K41*(SIN(F41))^2 + $B$8*($B$10+K41*COS(F41))*COS(F41)</f>
        <v/>
      </c>
      <c r="N41" s="11">
        <f>0.5*$B$9*(J41^2 + (K41*SIN(F41))^2) + 0.5*$B$8*($B$10 + K41*COS(F41))^2</f>
        <v/>
      </c>
      <c r="O41" s="11">
        <f>$B$3*$B$6*$B$5*COS(F41)</f>
        <v/>
      </c>
      <c r="P41" s="11">
        <f>N41+O41</f>
        <v/>
      </c>
      <c r="Q41" s="12">
        <f>ABS(P41-$P$3)</f>
        <v/>
      </c>
    </row>
    <row r="42">
      <c r="D42" s="13" t="n">
        <v>40</v>
      </c>
      <c r="E42" s="14" t="n">
        <v>0.3902787705503932</v>
      </c>
      <c r="F42" s="15" t="n">
        <v>1.223907720632809</v>
      </c>
      <c r="G42" s="16">
        <f>DEGREES(F42)</f>
        <v/>
      </c>
      <c r="H42" s="15" t="n">
        <v>0.268842353877087</v>
      </c>
      <c r="I42" s="16">
        <f>DEGREES(H42)</f>
        <v/>
      </c>
      <c r="J42" s="17" t="n">
        <v>-1.006432050264183</v>
      </c>
      <c r="K42" s="17" t="n">
        <v>1.734443030810439</v>
      </c>
      <c r="L42" s="18">
        <f>$B$5*$B$3*$B$6*SIN(F42)</f>
        <v/>
      </c>
      <c r="M42" s="18">
        <f>$B$9*K42*(SIN(F42))^2 + $B$8*($B$10+K42*COS(F42))*COS(F42)</f>
        <v/>
      </c>
      <c r="N42" s="18">
        <f>0.5*$B$9*(J42^2 + (K42*SIN(F42))^2) + 0.5*$B$8*($B$10 + K42*COS(F42))^2</f>
        <v/>
      </c>
      <c r="O42" s="18">
        <f>$B$3*$B$6*$B$5*COS(F42)</f>
        <v/>
      </c>
      <c r="P42" s="18">
        <f>N42+O42</f>
        <v/>
      </c>
      <c r="Q42" s="19">
        <f>ABS(P42-$P$3)</f>
        <v/>
      </c>
    </row>
    <row r="43">
      <c r="D43" s="6" t="n">
        <v>41</v>
      </c>
      <c r="E43" s="7" t="n">
        <v>0.4002859185132238</v>
      </c>
      <c r="F43" s="8" t="n">
        <v>1.214040670667757</v>
      </c>
      <c r="G43" s="9">
        <f>DEGREES(F43)</f>
        <v/>
      </c>
      <c r="H43" s="8" t="n">
        <v>0.2864477612063195</v>
      </c>
      <c r="I43" s="9">
        <f>DEGREES(H43)</f>
        <v/>
      </c>
      <c r="J43" s="10" t="n">
        <v>-0.9650522507203972</v>
      </c>
      <c r="K43" s="10" t="n">
        <v>1.783778280635699</v>
      </c>
      <c r="L43" s="11">
        <f>$B$5*$B$3*$B$6*SIN(F43)</f>
        <v/>
      </c>
      <c r="M43" s="11">
        <f>$B$9*K43*(SIN(F43))^2 + $B$8*($B$10+K43*COS(F43))*COS(F43)</f>
        <v/>
      </c>
      <c r="N43" s="11">
        <f>0.5*$B$9*(J43^2 + (K43*SIN(F43))^2) + 0.5*$B$8*($B$10 + K43*COS(F43))^2</f>
        <v/>
      </c>
      <c r="O43" s="11">
        <f>$B$3*$B$6*$B$5*COS(F43)</f>
        <v/>
      </c>
      <c r="P43" s="11">
        <f>N43+O43</f>
        <v/>
      </c>
      <c r="Q43" s="12">
        <f>ABS(P43-$P$3)</f>
        <v/>
      </c>
    </row>
    <row r="44">
      <c r="D44" s="13" t="n">
        <v>42</v>
      </c>
      <c r="E44" s="14" t="n">
        <v>0.4102930664760543</v>
      </c>
      <c r="F44" s="15" t="n">
        <v>1.204602987376772</v>
      </c>
      <c r="G44" s="16">
        <f>DEGREES(F44)</f>
        <v/>
      </c>
      <c r="H44" s="15" t="n">
        <v>0.3045362582753593</v>
      </c>
      <c r="I44" s="16">
        <f>DEGREES(H44)</f>
        <v/>
      </c>
      <c r="J44" s="17" t="n">
        <v>-0.9206425123285407</v>
      </c>
      <c r="K44" s="17" t="n">
        <v>1.830966697090623</v>
      </c>
      <c r="L44" s="18">
        <f>$B$5*$B$3*$B$6*SIN(F44)</f>
        <v/>
      </c>
      <c r="M44" s="18">
        <f>$B$9*K44*(SIN(F44))^2 + $B$8*($B$10+K44*COS(F44))*COS(F44)</f>
        <v/>
      </c>
      <c r="N44" s="18">
        <f>0.5*$B$9*(J44^2 + (K44*SIN(F44))^2) + 0.5*$B$8*($B$10 + K44*COS(F44))^2</f>
        <v/>
      </c>
      <c r="O44" s="18">
        <f>$B$3*$B$6*$B$5*COS(F44)</f>
        <v/>
      </c>
      <c r="P44" s="18">
        <f>N44+O44</f>
        <v/>
      </c>
      <c r="Q44" s="19">
        <f>ABS(P44-$P$3)</f>
        <v/>
      </c>
    </row>
    <row r="45">
      <c r="D45" s="6" t="n">
        <v>43</v>
      </c>
      <c r="E45" s="7" t="n">
        <v>0.4203002144388849</v>
      </c>
      <c r="F45" s="8" t="n">
        <v>1.195624301904922</v>
      </c>
      <c r="G45" s="9">
        <f>DEGREES(F45)</f>
        <v/>
      </c>
      <c r="H45" s="8" t="n">
        <v>0.3230856142786218</v>
      </c>
      <c r="I45" s="9">
        <f>DEGREES(H45)</f>
        <v/>
      </c>
      <c r="J45" s="10" t="n">
        <v>-0.8733422667012393</v>
      </c>
      <c r="K45" s="10" t="n">
        <v>1.875860124449871</v>
      </c>
      <c r="L45" s="11">
        <f>$B$5*$B$3*$B$6*SIN(F45)</f>
        <v/>
      </c>
      <c r="M45" s="11">
        <f>$B$9*K45*(SIN(F45))^2 + $B$8*($B$10+K45*COS(F45))*COS(F45)</f>
        <v/>
      </c>
      <c r="N45" s="11">
        <f>0.5*$B$9*(J45^2 + (K45*SIN(F45))^2) + 0.5*$B$8*($B$10 + K45*COS(F45))^2</f>
        <v/>
      </c>
      <c r="O45" s="11">
        <f>$B$3*$B$6*$B$5*COS(F45)</f>
        <v/>
      </c>
      <c r="P45" s="11">
        <f>N45+O45</f>
        <v/>
      </c>
      <c r="Q45" s="12">
        <f>ABS(P45-$P$3)</f>
        <v/>
      </c>
    </row>
    <row r="46">
      <c r="D46" s="13" t="n">
        <v>44</v>
      </c>
      <c r="E46" s="14" t="n">
        <v>0.4303073624017155</v>
      </c>
      <c r="F46" s="15" t="n">
        <v>1.187132804298805</v>
      </c>
      <c r="G46" s="16">
        <f>DEGREES(F46)</f>
        <v/>
      </c>
      <c r="H46" s="15" t="n">
        <v>0.3420721514687767</v>
      </c>
      <c r="I46" s="16">
        <f>DEGREES(H46)</f>
        <v/>
      </c>
      <c r="J46" s="17" t="n">
        <v>-0.8233000206697479</v>
      </c>
      <c r="K46" s="17" t="n">
        <v>1.918317612480461</v>
      </c>
      <c r="L46" s="18">
        <f>$B$5*$B$3*$B$6*SIN(F46)</f>
        <v/>
      </c>
      <c r="M46" s="18">
        <f>$B$9*K46*(SIN(F46))^2 + $B$8*($B$10+K46*COS(F46))*COS(F46)</f>
        <v/>
      </c>
      <c r="N46" s="18">
        <f>0.5*$B$9*(J46^2 + (K46*SIN(F46))^2) + 0.5*$B$8*($B$10 + K46*COS(F46))^2</f>
        <v/>
      </c>
      <c r="O46" s="18">
        <f>$B$3*$B$6*$B$5*COS(F46)</f>
        <v/>
      </c>
      <c r="P46" s="18">
        <f>N46+O46</f>
        <v/>
      </c>
      <c r="Q46" s="19">
        <f>ABS(P46-$P$3)</f>
        <v/>
      </c>
    </row>
    <row r="47">
      <c r="D47" s="6" t="n">
        <v>45</v>
      </c>
      <c r="E47" s="7" t="n">
        <v>0.4403145103645462</v>
      </c>
      <c r="F47" s="8" t="n">
        <v>1.179155154999297</v>
      </c>
      <c r="G47" s="9">
        <f>DEGREES(F47)</f>
        <v/>
      </c>
      <c r="H47" s="8" t="n">
        <v>0.3614708194968961</v>
      </c>
      <c r="I47" s="9">
        <f>DEGREES(H47)</f>
        <v/>
      </c>
      <c r="J47" s="10" t="n">
        <v>-0.7706728900225447</v>
      </c>
      <c r="K47" s="10" t="n">
        <v>1.958205858978</v>
      </c>
      <c r="L47" s="11">
        <f>$B$5*$B$3*$B$6*SIN(F47)</f>
        <v/>
      </c>
      <c r="M47" s="11">
        <f>$B$9*K47*(SIN(F47))^2 + $B$8*($B$10+K47*COS(F47))*COS(F47)</f>
        <v/>
      </c>
      <c r="N47" s="11">
        <f>0.5*$B$9*(J47^2 + (K47*SIN(F47))^2) + 0.5*$B$8*($B$10 + K47*COS(F47))^2</f>
        <v/>
      </c>
      <c r="O47" s="11">
        <f>$B$3*$B$6*$B$5*COS(F47)</f>
        <v/>
      </c>
      <c r="P47" s="11">
        <f>N47+O47</f>
        <v/>
      </c>
      <c r="Q47" s="12">
        <f>ABS(P47-$P$3)</f>
        <v/>
      </c>
    </row>
    <row r="48">
      <c r="D48" s="13" t="n">
        <v>46</v>
      </c>
      <c r="E48" s="14" t="n">
        <v>0.4503216583273768</v>
      </c>
      <c r="F48" s="15" t="n">
        <v>1.17171640113676</v>
      </c>
      <c r="G48" s="16">
        <f>DEGREES(F48)</f>
        <v/>
      </c>
      <c r="H48" s="15" t="n">
        <v>0.3812552740621064</v>
      </c>
      <c r="I48" s="16">
        <f>DEGREES(H48)</f>
        <v/>
      </c>
      <c r="J48" s="17" t="n">
        <v>-0.7156261062147065</v>
      </c>
      <c r="K48" s="17" t="n">
        <v>1.995399628290684</v>
      </c>
      <c r="L48" s="18">
        <f>$B$5*$B$3*$B$6*SIN(F48)</f>
        <v/>
      </c>
      <c r="M48" s="18">
        <f>$B$9*K48*(SIN(F48))^2 + $B$8*($B$10+K48*COS(F48))*COS(F48)</f>
        <v/>
      </c>
      <c r="N48" s="18">
        <f>0.5*$B$9*(J48^2 + (K48*SIN(F48))^2) + 0.5*$B$8*($B$10 + K48*COS(F48))^2</f>
        <v/>
      </c>
      <c r="O48" s="18">
        <f>$B$3*$B$6*$B$5*COS(F48)</f>
        <v/>
      </c>
      <c r="P48" s="18">
        <f>N48+O48</f>
        <v/>
      </c>
      <c r="Q48" s="19">
        <f>ABS(P48-$P$3)</f>
        <v/>
      </c>
    </row>
    <row r="49">
      <c r="D49" s="6" t="n">
        <v>47</v>
      </c>
      <c r="E49" s="7" t="n">
        <v>0.4603288062902073</v>
      </c>
      <c r="F49" s="8" t="n">
        <v>1.164839897891489</v>
      </c>
      <c r="G49" s="9">
        <f>DEGREES(F49)</f>
        <v/>
      </c>
      <c r="H49" s="8" t="n">
        <v>0.4013979596238171</v>
      </c>
      <c r="I49" s="9">
        <f>DEGREES(H49)</f>
        <v/>
      </c>
      <c r="J49" s="10" t="n">
        <v>-0.6583324975968174</v>
      </c>
      <c r="K49" s="10" t="n">
        <v>2.029782144517039</v>
      </c>
      <c r="L49" s="11">
        <f>$B$5*$B$3*$B$6*SIN(F49)</f>
        <v/>
      </c>
      <c r="M49" s="11">
        <f>$B$9*K49*(SIN(F49))^2 + $B$8*($B$10+K49*COS(F49))*COS(F49)</f>
        <v/>
      </c>
      <c r="N49" s="11">
        <f>0.5*$B$9*(J49^2 + (K49*SIN(F49))^2) + 0.5*$B$8*($B$10 + K49*COS(F49))^2</f>
        <v/>
      </c>
      <c r="O49" s="11">
        <f>$B$3*$B$6*$B$5*COS(F49)</f>
        <v/>
      </c>
      <c r="P49" s="11">
        <f>N49+O49</f>
        <v/>
      </c>
      <c r="Q49" s="12">
        <f>ABS(P49-$P$3)</f>
        <v/>
      </c>
    </row>
    <row r="50">
      <c r="D50" s="13" t="n">
        <v>48</v>
      </c>
      <c r="E50" s="14" t="n">
        <v>0.4703359542530379</v>
      </c>
      <c r="F50" s="15" t="n">
        <v>1.158547235166316</v>
      </c>
      <c r="G50" s="16">
        <f>DEGREES(F50)</f>
        <v/>
      </c>
      <c r="H50" s="15" t="n">
        <v>0.4218701959168311</v>
      </c>
      <c r="I50" s="16">
        <f>DEGREES(H50)</f>
        <v/>
      </c>
      <c r="J50" s="17" t="n">
        <v>-0.5989719467921951</v>
      </c>
      <c r="K50" s="17" t="n">
        <v>2.061245458142902</v>
      </c>
      <c r="L50" s="18">
        <f>$B$5*$B$3*$B$6*SIN(F50)</f>
        <v/>
      </c>
      <c r="M50" s="18">
        <f>$B$9*K50*(SIN(F50))^2 + $B$8*($B$10+K50*COS(F50))*COS(F50)</f>
        <v/>
      </c>
      <c r="N50" s="18">
        <f>0.5*$B$9*(J50^2 + (K50*SIN(F50))^2) + 0.5*$B$8*($B$10 + K50*COS(F50))^2</f>
        <v/>
      </c>
      <c r="O50" s="18">
        <f>$B$3*$B$6*$B$5*COS(F50)</f>
        <v/>
      </c>
      <c r="P50" s="18">
        <f>N50+O50</f>
        <v/>
      </c>
      <c r="Q50" s="19">
        <f>ABS(P50-$P$3)</f>
        <v/>
      </c>
    </row>
    <row r="51">
      <c r="D51" s="6" t="n">
        <v>49</v>
      </c>
      <c r="E51" s="7" t="n">
        <v>0.4803431022158685</v>
      </c>
      <c r="F51" s="8" t="n">
        <v>1.152858169801594</v>
      </c>
      <c r="G51" s="9">
        <f>DEGREES(F51)</f>
        <v/>
      </c>
      <c r="H51" s="8" t="n">
        <v>0.4426422679977119</v>
      </c>
      <c r="I51" s="9">
        <f>DEGREES(H51)</f>
        <v/>
      </c>
      <c r="J51" s="10" t="n">
        <v>-0.537730825926071</v>
      </c>
      <c r="K51" s="10" t="n">
        <v>2.089690784966511</v>
      </c>
      <c r="L51" s="11">
        <f>$B$5*$B$3*$B$6*SIN(F51)</f>
        <v/>
      </c>
      <c r="M51" s="11">
        <f>$B$9*K51*(SIN(F51))^2 + $B$8*($B$10+K51*COS(F51))*COS(F51)</f>
        <v/>
      </c>
      <c r="N51" s="11">
        <f>0.5*$B$9*(J51^2 + (K51*SIN(F51))^2) + 0.5*$B$8*($B$10 + K51*COS(F51))^2</f>
        <v/>
      </c>
      <c r="O51" s="11">
        <f>$B$3*$B$6*$B$5*COS(F51)</f>
        <v/>
      </c>
      <c r="P51" s="11">
        <f>N51+O51</f>
        <v/>
      </c>
      <c r="Q51" s="12">
        <f>ABS(P51-$P$3)</f>
        <v/>
      </c>
    </row>
    <row r="52">
      <c r="D52" s="13" t="n">
        <v>50</v>
      </c>
      <c r="E52" s="14" t="n">
        <v>0.4903502501786991</v>
      </c>
      <c r="F52" s="15" t="n">
        <v>1.147790563545373</v>
      </c>
      <c r="G52" s="16">
        <f>DEGREES(F52)</f>
        <v/>
      </c>
      <c r="H52" s="15" t="n">
        <v>0.4636835195396936</v>
      </c>
      <c r="I52" s="16">
        <f>DEGREES(H52)</f>
        <v/>
      </c>
      <c r="J52" s="17" t="n">
        <v>-0.4748014114799229</v>
      </c>
      <c r="K52" s="17" t="n">
        <v>2.115028816247616</v>
      </c>
      <c r="L52" s="18">
        <f>$B$5*$B$3*$B$6*SIN(F52)</f>
        <v/>
      </c>
      <c r="M52" s="18">
        <f>$B$9*K52*(SIN(F52))^2 + $B$8*($B$10+K52*COS(F52))*COS(F52)</f>
        <v/>
      </c>
      <c r="N52" s="18">
        <f>0.5*$B$9*(J52^2 + (K52*SIN(F52))^2) + 0.5*$B$8*($B$10 + K52*COS(F52))^2</f>
        <v/>
      </c>
      <c r="O52" s="18">
        <f>$B$3*$B$6*$B$5*COS(F52)</f>
        <v/>
      </c>
      <c r="P52" s="18">
        <f>N52+O52</f>
        <v/>
      </c>
      <c r="Q52" s="19">
        <f>ABS(P52-$P$3)</f>
        <v/>
      </c>
    </row>
    <row r="53">
      <c r="D53" s="6" t="n">
        <v>51</v>
      </c>
      <c r="E53" s="7" t="n">
        <v>0.5003573981415297</v>
      </c>
      <c r="F53" s="8" t="n">
        <v>1.143360326973532</v>
      </c>
      <c r="G53" s="9">
        <f>DEGREES(F53)</f>
        <v/>
      </c>
      <c r="H53" s="8" t="n">
        <v>0.4849624490832142</v>
      </c>
      <c r="I53" s="9">
        <f>DEGREES(H53)</f>
        <v/>
      </c>
      <c r="J53" s="10" t="n">
        <v>-0.4103812806081223</v>
      </c>
      <c r="K53" s="10" t="n">
        <v>2.137179999106821</v>
      </c>
      <c r="L53" s="11">
        <f>$B$5*$B$3*$B$6*SIN(F53)</f>
        <v/>
      </c>
      <c r="M53" s="11">
        <f>$B$9*K53*(SIN(F53))^2 + $B$8*($B$10+K53*COS(F53))*COS(F53)</f>
        <v/>
      </c>
      <c r="N53" s="11">
        <f>0.5*$B$9*(J53^2 + (K53*SIN(F53))^2) + 0.5*$B$8*($B$10 + K53*COS(F53))^2</f>
        <v/>
      </c>
      <c r="O53" s="11">
        <f>$B$3*$B$6*$B$5*COS(F53)</f>
        <v/>
      </c>
      <c r="P53" s="11">
        <f>N53+O53</f>
        <v/>
      </c>
      <c r="Q53" s="12">
        <f>ABS(P53-$P$3)</f>
        <v/>
      </c>
    </row>
    <row r="54">
      <c r="D54" s="13" t="n">
        <v>52</v>
      </c>
      <c r="E54" s="14" t="n">
        <v>0.5103645461043603</v>
      </c>
      <c r="F54" s="15" t="n">
        <v>1.139581369535933</v>
      </c>
      <c r="G54" s="16">
        <f>DEGREES(F54)</f>
        <v/>
      </c>
      <c r="H54" s="15" t="n">
        <v>0.5064468089398839</v>
      </c>
      <c r="I54" s="16">
        <f>DEGREES(H54)</f>
        <v/>
      </c>
      <c r="J54" s="17" t="n">
        <v>-0.3446726908122506</v>
      </c>
      <c r="K54" s="17" t="n">
        <v>2.156074786294817</v>
      </c>
      <c r="L54" s="18">
        <f>$B$5*$B$3*$B$6*SIN(F54)</f>
        <v/>
      </c>
      <c r="M54" s="18">
        <f>$B$9*K54*(SIN(F54))^2 + $B$8*($B$10+K54*COS(F54))*COS(F54)</f>
        <v/>
      </c>
      <c r="N54" s="18">
        <f>0.5*$B$9*(J54^2 + (K54*SIN(F54))^2) + 0.5*$B$8*($B$10 + K54*COS(F54))^2</f>
        <v/>
      </c>
      <c r="O54" s="18">
        <f>$B$3*$B$6*$B$5*COS(F54)</f>
        <v/>
      </c>
      <c r="P54" s="18">
        <f>N54+O54</f>
        <v/>
      </c>
      <c r="Q54" s="19">
        <f>ABS(P54-$P$3)</f>
        <v/>
      </c>
    </row>
    <row r="55">
      <c r="D55" s="6" t="n">
        <v>53</v>
      </c>
      <c r="E55" s="7" t="n">
        <v>0.5203716940671909</v>
      </c>
      <c r="F55" s="8" t="n">
        <v>1.136465555885434</v>
      </c>
      <c r="G55" s="9">
        <f>DEGREES(F55)</f>
        <v/>
      </c>
      <c r="H55" s="8" t="n">
        <v>0.5281037064393587</v>
      </c>
      <c r="I55" s="9">
        <f>DEGREES(H55)</f>
        <v/>
      </c>
      <c r="J55" s="10" t="n">
        <v>-0.2778819449207054</v>
      </c>
      <c r="K55" s="10" t="n">
        <v>2.171653854547311</v>
      </c>
      <c r="L55" s="11">
        <f>$B$5*$B$3*$B$6*SIN(F55)</f>
        <v/>
      </c>
      <c r="M55" s="11">
        <f>$B$9*K55*(SIN(F55))^2 + $B$8*($B$10+K55*COS(F55))*COS(F55)</f>
        <v/>
      </c>
      <c r="N55" s="11">
        <f>0.5*$B$9*(J55^2 + (K55*SIN(F55))^2) + 0.5*$B$8*($B$10 + K55*COS(F55))^2</f>
        <v/>
      </c>
      <c r="O55" s="11">
        <f>$B$3*$B$6*$B$5*COS(F55)</f>
        <v/>
      </c>
      <c r="P55" s="11">
        <f>N55+O55</f>
        <v/>
      </c>
      <c r="Q55" s="12">
        <f>ABS(P55-$P$3)</f>
        <v/>
      </c>
    </row>
    <row r="56">
      <c r="D56" s="13" t="n">
        <v>54</v>
      </c>
      <c r="E56" s="14" t="n">
        <v>0.5303788420300215</v>
      </c>
      <c r="F56" s="15" t="n">
        <v>1.13402266862688</v>
      </c>
      <c r="G56" s="16">
        <f>DEGREES(F56)</f>
        <v/>
      </c>
      <c r="H56" s="15" t="n">
        <v>0.5498997072012412</v>
      </c>
      <c r="I56" s="16">
        <f>DEGREES(H56)</f>
        <v/>
      </c>
      <c r="J56" s="17" t="n">
        <v>-0.2102187433673395</v>
      </c>
      <c r="K56" s="17" t="n">
        <v>2.18386829084008</v>
      </c>
      <c r="L56" s="18">
        <f>$B$5*$B$3*$B$6*SIN(F56)</f>
        <v/>
      </c>
      <c r="M56" s="18">
        <f>$B$9*K56*(SIN(F56))^2 + $B$8*($B$10+K56*COS(F56))*COS(F56)</f>
        <v/>
      </c>
      <c r="N56" s="18">
        <f>0.5*$B$9*(J56^2 + (K56*SIN(F56))^2) + 0.5*$B$8*($B$10 + K56*COS(F56))^2</f>
        <v/>
      </c>
      <c r="O56" s="18">
        <f>$B$3*$B$6*$B$5*COS(F56)</f>
        <v/>
      </c>
      <c r="P56" s="18">
        <f>N56+O56</f>
        <v/>
      </c>
      <c r="Q56" s="19">
        <f>ABS(P56-$P$3)</f>
        <v/>
      </c>
    </row>
    <row r="57">
      <c r="D57" s="6" t="n">
        <v>55</v>
      </c>
      <c r="E57" s="7" t="n">
        <v>0.540385989992852</v>
      </c>
      <c r="F57" s="8" t="n">
        <v>1.132260377603019</v>
      </c>
      <c r="G57" s="9">
        <f>DEGREES(F57)</f>
        <v/>
      </c>
      <c r="H57" s="8" t="n">
        <v>0.5718009401077665</v>
      </c>
      <c r="I57" s="9">
        <f>DEGREES(H57)</f>
        <v/>
      </c>
      <c r="J57" s="10" t="n">
        <v>-0.1418955258027735</v>
      </c>
      <c r="K57" s="10" t="n">
        <v>2.192679745959389</v>
      </c>
      <c r="L57" s="11">
        <f>$B$5*$B$3*$B$6*SIN(F57)</f>
        <v/>
      </c>
      <c r="M57" s="11">
        <f>$B$9*K57*(SIN(F57))^2 + $B$8*($B$10+K57*COS(F57))*COS(F57)</f>
        <v/>
      </c>
      <c r="N57" s="11">
        <f>0.5*$B$9*(J57^2 + (K57*SIN(F57))^2) + 0.5*$B$8*($B$10 + K57*COS(F57))^2</f>
        <v/>
      </c>
      <c r="O57" s="11">
        <f>$B$3*$B$6*$B$5*COS(F57)</f>
        <v/>
      </c>
      <c r="P57" s="11">
        <f>N57+O57</f>
        <v/>
      </c>
      <c r="Q57" s="12">
        <f>ABS(P57-$P$3)</f>
        <v/>
      </c>
    </row>
    <row r="58">
      <c r="D58" s="13" t="n">
        <v>56</v>
      </c>
      <c r="E58" s="14" t="n">
        <v>0.5503931379556827</v>
      </c>
      <c r="F58" s="15" t="n">
        <v>1.131184215813779</v>
      </c>
      <c r="G58" s="16">
        <f>DEGREES(F58)</f>
        <v/>
      </c>
      <c r="H58" s="15" t="n">
        <v>0.5937732036476994</v>
      </c>
      <c r="I58" s="16">
        <f>DEGREES(H58)</f>
        <v/>
      </c>
      <c r="J58" s="17" t="n">
        <v>-0.07312680410547602</v>
      </c>
      <c r="K58" s="17" t="n">
        <v>2.19806055490559</v>
      </c>
      <c r="L58" s="18">
        <f>$B$5*$B$3*$B$6*SIN(F58)</f>
        <v/>
      </c>
      <c r="M58" s="18">
        <f>$B$9*K58*(SIN(F58))^2 + $B$8*($B$10+K58*COS(F58))*COS(F58)</f>
        <v/>
      </c>
      <c r="N58" s="18">
        <f>0.5*$B$9*(J58^2 + (K58*SIN(F58))^2) + 0.5*$B$8*($B$10 + K58*COS(F58))^2</f>
        <v/>
      </c>
      <c r="O58" s="18">
        <f>$B$3*$B$6*$B$5*COS(F58)</f>
        <v/>
      </c>
      <c r="P58" s="18">
        <f>N58+O58</f>
        <v/>
      </c>
      <c r="Q58" s="19">
        <f>ABS(P58-$P$3)</f>
        <v/>
      </c>
    </row>
    <row r="59">
      <c r="D59" s="6" t="n">
        <v>57</v>
      </c>
      <c r="E59" s="7" t="n">
        <v>0.5604002859185133</v>
      </c>
      <c r="F59" s="8" t="n">
        <v>1.130797562044515</v>
      </c>
      <c r="G59" s="9">
        <f>DEGREES(F59)</f>
        <v/>
      </c>
      <c r="H59" s="8" t="n">
        <v>0.615782073297552</v>
      </c>
      <c r="I59" s="9">
        <f>DEGREES(H59)</f>
        <v/>
      </c>
      <c r="J59" s="10" t="n">
        <v>-0.00412848888676138</v>
      </c>
      <c r="K59" s="10" t="n">
        <v>2.199993823751907</v>
      </c>
      <c r="L59" s="11">
        <f>$B$5*$B$3*$B$6*SIN(F59)</f>
        <v/>
      </c>
      <c r="M59" s="11">
        <f>$B$9*K59*(SIN(F59))^2 + $B$8*($B$10+K59*COS(F59))*COS(F59)</f>
        <v/>
      </c>
      <c r="N59" s="11">
        <f>0.5*$B$9*(J59^2 + (K59*SIN(F59))^2) + 0.5*$B$8*($B$10 + K59*COS(F59))^2</f>
        <v/>
      </c>
      <c r="O59" s="11">
        <f>$B$3*$B$6*$B$5*COS(F59)</f>
        <v/>
      </c>
      <c r="P59" s="11">
        <f>N59+O59</f>
        <v/>
      </c>
      <c r="Q59" s="12">
        <f>ABS(P59-$P$3)</f>
        <v/>
      </c>
    </row>
    <row r="60">
      <c r="D60" s="13" t="n">
        <v>58</v>
      </c>
      <c r="E60" s="14" t="n">
        <v>0.5704074338813439</v>
      </c>
      <c r="F60" s="15" t="n">
        <v>1.131101630257763</v>
      </c>
      <c r="G60" s="16">
        <f>DEGREES(F60)</f>
        <v/>
      </c>
      <c r="H60" s="15" t="n">
        <v>0.6377930096029877</v>
      </c>
      <c r="I60" s="16">
        <f>DEGREES(H60)</f>
        <v/>
      </c>
      <c r="J60" s="17" t="n">
        <v>0.06488278839577101</v>
      </c>
      <c r="K60" s="17" t="n">
        <v>2.198473482685666</v>
      </c>
      <c r="L60" s="18">
        <f>$B$5*$B$3*$B$6*SIN(F60)</f>
        <v/>
      </c>
      <c r="M60" s="18">
        <f>$B$9*K60*(SIN(F60))^2 + $B$8*($B$10+K60*COS(F60))*COS(F60)</f>
        <v/>
      </c>
      <c r="N60" s="18">
        <f>0.5*$B$9*(J60^2 + (K60*SIN(F60))^2) + 0.5*$B$8*($B$10 + K60*COS(F60))^2</f>
        <v/>
      </c>
      <c r="O60" s="18">
        <f>$B$3*$B$6*$B$5*COS(F60)</f>
        <v/>
      </c>
      <c r="P60" s="18">
        <f>N60+O60</f>
        <v/>
      </c>
      <c r="Q60" s="19">
        <f>ABS(P60-$P$3)</f>
        <v/>
      </c>
    </row>
    <row r="61">
      <c r="D61" s="6" t="n">
        <v>59</v>
      </c>
      <c r="E61" s="7" t="n">
        <v>0.5804145818441745</v>
      </c>
      <c r="F61" s="8" t="n">
        <v>1.132095465781803</v>
      </c>
      <c r="G61" s="9">
        <f>DEGREES(F61)</f>
        <v/>
      </c>
      <c r="H61" s="8" t="n">
        <v>0.6597714666210683</v>
      </c>
      <c r="I61" s="9">
        <f>DEGREES(H61)</f>
        <v/>
      </c>
      <c r="J61" s="10" t="n">
        <v>0.1336903555880117</v>
      </c>
      <c r="K61" s="10" t="n">
        <v>2.193504305065466</v>
      </c>
      <c r="L61" s="11">
        <f>$B$5*$B$3*$B$6*SIN(F61)</f>
        <v/>
      </c>
      <c r="M61" s="11">
        <f>$B$9*K61*(SIN(F61))^2 + $B$8*($B$10+K61*COS(F61))*COS(F61)</f>
        <v/>
      </c>
      <c r="N61" s="11">
        <f>0.5*$B$9*(J61^2 + (K61*SIN(F61))^2) + 0.5*$B$8*($B$10 + K61*COS(F61))^2</f>
        <v/>
      </c>
      <c r="O61" s="11">
        <f>$B$3*$B$6*$B$5*COS(F61)</f>
        <v/>
      </c>
      <c r="P61" s="11">
        <f>N61+O61</f>
        <v/>
      </c>
      <c r="Q61" s="12">
        <f>ABS(P61-$P$3)</f>
        <v/>
      </c>
    </row>
    <row r="62">
      <c r="D62" s="13" t="n">
        <v>60</v>
      </c>
      <c r="E62" s="14" t="n">
        <v>0.590421729807005</v>
      </c>
      <c r="F62" s="15" t="n">
        <v>1.133775948308009</v>
      </c>
      <c r="G62" s="16">
        <f>DEGREES(F62)</f>
        <v/>
      </c>
      <c r="H62" s="15" t="n">
        <v>0.6816830003828717</v>
      </c>
      <c r="I62" s="16">
        <f>DEGREES(H62)</f>
        <v/>
      </c>
      <c r="J62" s="17" t="n">
        <v>0.2020781801168814</v>
      </c>
      <c r="K62" s="17" t="n">
        <v>2.185101892434441</v>
      </c>
      <c r="L62" s="18">
        <f>$B$5*$B$3*$B$6*SIN(F62)</f>
        <v/>
      </c>
      <c r="M62" s="18">
        <f>$B$9*K62*(SIN(F62))^2 + $B$8*($B$10+K62*COS(F62))*COS(F62)</f>
        <v/>
      </c>
      <c r="N62" s="18">
        <f>0.5*$B$9*(J62^2 + (K62*SIN(F62))^2) + 0.5*$B$8*($B$10 + K62*COS(F62))^2</f>
        <v/>
      </c>
      <c r="O62" s="18">
        <f>$B$3*$B$6*$B$5*COS(F62)</f>
        <v/>
      </c>
      <c r="P62" s="18">
        <f>N62+O62</f>
        <v/>
      </c>
      <c r="Q62" s="19">
        <f>ABS(P62-$P$3)</f>
        <v/>
      </c>
    </row>
    <row r="63">
      <c r="D63" s="6" t="n">
        <v>61</v>
      </c>
      <c r="E63" s="7" t="n">
        <v>0.6004288777698357</v>
      </c>
      <c r="F63" s="8" t="n">
        <v>1.136137801687564</v>
      </c>
      <c r="G63" s="9">
        <f>DEGREES(F63)</f>
        <v/>
      </c>
      <c r="H63" s="8" t="n">
        <v>0.7034933770359482</v>
      </c>
      <c r="I63" s="9">
        <f>DEGREES(H63)</f>
        <v/>
      </c>
      <c r="J63" s="10" t="n">
        <v>0.2698315472598159</v>
      </c>
      <c r="K63" s="10" t="n">
        <v>2.173292625536666</v>
      </c>
      <c r="L63" s="11">
        <f>$B$5*$B$3*$B$6*SIN(F63)</f>
        <v/>
      </c>
      <c r="M63" s="11">
        <f>$B$9*K63*(SIN(F63))^2 + $B$8*($B$10+K63*COS(F63))*COS(F63)</f>
        <v/>
      </c>
      <c r="N63" s="11">
        <f>0.5*$B$9*(J63^2 + (K63*SIN(F63))^2) + 0.5*$B$8*($B$10 + K63*COS(F63))^2</f>
        <v/>
      </c>
      <c r="O63" s="11">
        <f>$B$3*$B$6*$B$5*COS(F63)</f>
        <v/>
      </c>
      <c r="P63" s="11">
        <f>N63+O63</f>
        <v/>
      </c>
      <c r="Q63" s="12">
        <f>ABS(P63-$P$3)</f>
        <v/>
      </c>
    </row>
    <row r="64">
      <c r="D64" s="13" t="n">
        <v>62</v>
      </c>
      <c r="E64" s="14" t="n">
        <v>0.6104360257326662</v>
      </c>
      <c r="F64" s="15" t="n">
        <v>1.139173610496793</v>
      </c>
      <c r="G64" s="16">
        <f>DEGREES(F64)</f>
        <v/>
      </c>
      <c r="H64" s="15" t="n">
        <v>0.7251686803270793</v>
      </c>
      <c r="I64" s="16">
        <f>DEGREES(H64)</f>
        <v/>
      </c>
      <c r="J64" s="17" t="n">
        <v>0.33673773427663</v>
      </c>
      <c r="K64" s="17" t="n">
        <v>2.15811358149052</v>
      </c>
      <c r="L64" s="18">
        <f>$B$5*$B$3*$B$6*SIN(F64)</f>
        <v/>
      </c>
      <c r="M64" s="18">
        <f>$B$9*K64*(SIN(F64))^2 + $B$8*($B$10+K64*COS(F64))*COS(F64)</f>
        <v/>
      </c>
      <c r="N64" s="18">
        <f>0.5*$B$9*(J64^2 + (K64*SIN(F64))^2) + 0.5*$B$8*($B$10 + K64*COS(F64))^2</f>
        <v/>
      </c>
      <c r="O64" s="18">
        <f>$B$3*$B$6*$B$5*COS(F64)</f>
        <v/>
      </c>
      <c r="P64" s="18">
        <f>N64+O64</f>
        <v/>
      </c>
      <c r="Q64" s="19">
        <f>ABS(P64-$P$3)</f>
        <v/>
      </c>
    </row>
    <row r="65">
      <c r="D65" s="6" t="n">
        <v>63</v>
      </c>
      <c r="E65" s="7" t="n">
        <v>0.6204431736954968</v>
      </c>
      <c r="F65" s="8" t="n">
        <v>1.142873843319092</v>
      </c>
      <c r="G65" s="9">
        <f>DEGREES(F65)</f>
        <v/>
      </c>
      <c r="H65" s="8" t="n">
        <v>0.7466754180878847</v>
      </c>
      <c r="I65" s="9">
        <f>DEGREES(H65)</f>
        <v/>
      </c>
      <c r="J65" s="10" t="n">
        <v>0.4025866782872405</v>
      </c>
      <c r="K65" s="10" t="n">
        <v>2.139612417379025</v>
      </c>
      <c r="L65" s="11">
        <f>$B$5*$B$3*$B$6*SIN(F65)</f>
        <v/>
      </c>
      <c r="M65" s="11">
        <f>$B$9*K65*(SIN(F65))^2 + $B$8*($B$10+K65*COS(F65))*COS(F65)</f>
        <v/>
      </c>
      <c r="N65" s="11">
        <f>0.5*$B$9*(J65^2 + (K65*SIN(F65))^2) + 0.5*$B$8*($B$10 + K65*COS(F65))^2</f>
        <v/>
      </c>
      <c r="O65" s="11">
        <f>$B$3*$B$6*$B$5*COS(F65)</f>
        <v/>
      </c>
      <c r="P65" s="11">
        <f>N65+O65</f>
        <v/>
      </c>
      <c r="Q65" s="12">
        <f>ABS(P65-$P$3)</f>
        <v/>
      </c>
    </row>
    <row r="66">
      <c r="D66" s="13" t="n">
        <v>64</v>
      </c>
      <c r="E66" s="14" t="n">
        <v>0.6304503216583274</v>
      </c>
      <c r="F66" s="15" t="n">
        <v>1.147226882670364</v>
      </c>
      <c r="G66" s="16">
        <f>DEGREES(F66)</f>
        <v/>
      </c>
      <c r="H66" s="15" t="n">
        <v>0.7679806273889422</v>
      </c>
      <c r="I66" s="16">
        <f>DEGREES(H66)</f>
        <v/>
      </c>
      <c r="J66" s="17" t="n">
        <v>0.4671716357983128</v>
      </c>
      <c r="K66" s="17" t="n">
        <v>2.117847220622663</v>
      </c>
      <c r="L66" s="18">
        <f>$B$5*$B$3*$B$6*SIN(F66)</f>
        <v/>
      </c>
      <c r="M66" s="18">
        <f>$B$9*K66*(SIN(F66))^2 + $B$8*($B$10+K66*COS(F66))*COS(F66)</f>
        <v/>
      </c>
      <c r="N66" s="18">
        <f>0.5*$B$9*(J66^2 + (K66*SIN(F66))^2) + 0.5*$B$8*($B$10 + K66*COS(F66))^2</f>
        <v/>
      </c>
      <c r="O66" s="18">
        <f>$B$3*$B$6*$B$5*COS(F66)</f>
        <v/>
      </c>
      <c r="P66" s="18">
        <f>N66+O66</f>
        <v/>
      </c>
      <c r="Q66" s="19">
        <f>ABS(P66-$P$3)</f>
        <v/>
      </c>
    </row>
    <row r="67">
      <c r="D67" s="6" t="n">
        <v>65</v>
      </c>
      <c r="E67" s="7" t="n">
        <v>0.640457469621158</v>
      </c>
      <c r="F67" s="8" t="n">
        <v>1.152219061474006</v>
      </c>
      <c r="G67" s="9">
        <f>DEGREES(F67)</f>
        <v/>
      </c>
      <c r="H67" s="8" t="n">
        <v>0.7890519780322801</v>
      </c>
      <c r="I67" s="9">
        <f>DEGREES(H67)</f>
        <v/>
      </c>
      <c r="J67" s="10" t="n">
        <v>0.5302898318081669</v>
      </c>
      <c r="K67" s="10" t="n">
        <v>2.092886326604455</v>
      </c>
      <c r="L67" s="11">
        <f>$B$5*$B$3*$B$6*SIN(F67)</f>
        <v/>
      </c>
      <c r="M67" s="11">
        <f>$B$9*K67*(SIN(F67))^2 + $B$8*($B$10+K67*COS(F67))*COS(F67)</f>
        <v/>
      </c>
      <c r="N67" s="11">
        <f>0.5*$B$9*(J67^2 + (K67*SIN(F67))^2) + 0.5*$B$8*($B$10 + K67*COS(F67))^2</f>
        <v/>
      </c>
      <c r="O67" s="11">
        <f>$B$3*$B$6*$B$5*COS(F67)</f>
        <v/>
      </c>
      <c r="P67" s="11">
        <f>N67+O67</f>
        <v/>
      </c>
      <c r="Q67" s="12">
        <f>ABS(P67-$P$3)</f>
        <v/>
      </c>
    </row>
    <row r="68">
      <c r="D68" s="13" t="n">
        <v>66</v>
      </c>
      <c r="E68" s="14" t="n">
        <v>0.6504646175839887</v>
      </c>
      <c r="F68" s="15" t="n">
        <v>1.15783470597092</v>
      </c>
      <c r="G68" s="16">
        <f>DEGREES(F68)</f>
        <v/>
      </c>
      <c r="H68" s="15" t="n">
        <v>0.8098578740573013</v>
      </c>
      <c r="I68" s="16">
        <f>DEGREES(H68)</f>
        <v/>
      </c>
      <c r="J68" s="17" t="n">
        <v>0.5917430964519386</v>
      </c>
      <c r="K68" s="17" t="n">
        <v>2.064808104119886</v>
      </c>
      <c r="L68" s="18">
        <f>$B$5*$B$3*$B$6*SIN(F68)</f>
        <v/>
      </c>
      <c r="M68" s="18">
        <f>$B$9*K68*(SIN(F68))^2 + $B$8*($B$10+K68*COS(F68))*COS(F68)</f>
        <v/>
      </c>
      <c r="N68" s="18">
        <f>0.5*$B$9*(J68^2 + (K68*SIN(F68))^2) + 0.5*$B$8*($B$10 + K68*COS(F68))^2</f>
        <v/>
      </c>
      <c r="O68" s="18">
        <f>$B$3*$B$6*$B$5*COS(F68)</f>
        <v/>
      </c>
      <c r="P68" s="18">
        <f>N68+O68</f>
        <v/>
      </c>
      <c r="Q68" s="19">
        <f>ABS(P68-$P$3)</f>
        <v/>
      </c>
    </row>
    <row r="69">
      <c r="D69" s="6" t="n">
        <v>67</v>
      </c>
      <c r="E69" s="7" t="n">
        <v>0.6604717655468192</v>
      </c>
      <c r="F69" s="8" t="n">
        <v>1.164056184929838</v>
      </c>
      <c r="G69" s="9">
        <f>DEGREES(F69)</f>
        <v/>
      </c>
      <c r="H69" s="8" t="n">
        <v>0.8303675529414531</v>
      </c>
      <c r="I69" s="9">
        <f>DEGREES(H69)</f>
        <v/>
      </c>
      <c r="J69" s="10" t="n">
        <v>0.6513384871881789</v>
      </c>
      <c r="K69" s="10" t="n">
        <v>2.033700709325295</v>
      </c>
      <c r="L69" s="11">
        <f>$B$5*$B$3*$B$6*SIN(F69)</f>
        <v/>
      </c>
      <c r="M69" s="11">
        <f>$B$9*K69*(SIN(F69))^2 + $B$8*($B$10+K69*COS(F69))*COS(F69)</f>
        <v/>
      </c>
      <c r="N69" s="11">
        <f>0.5*$B$9*(J69^2 + (K69*SIN(F69))^2) + 0.5*$B$8*($B$10 + K69*COS(F69))^2</f>
        <v/>
      </c>
      <c r="O69" s="11">
        <f>$B$3*$B$6*$B$5*COS(F69)</f>
        <v/>
      </c>
      <c r="P69" s="11">
        <f>N69+O69</f>
        <v/>
      </c>
      <c r="Q69" s="12">
        <f>ABS(P69-$P$3)</f>
        <v/>
      </c>
    </row>
    <row r="70">
      <c r="D70" s="13" t="n">
        <v>68</v>
      </c>
      <c r="E70" s="14" t="n">
        <v>0.6704789135096498</v>
      </c>
      <c r="F70" s="15" t="n">
        <v>1.170863965003446</v>
      </c>
      <c r="G70" s="16">
        <f>DEGREES(F70)</f>
        <v/>
      </c>
      <c r="H70" s="15" t="n">
        <v>0.850551182184182</v>
      </c>
      <c r="I70" s="16">
        <f>DEGREES(H70)</f>
        <v/>
      </c>
      <c r="J70" s="17" t="n">
        <v>0.7088888945734131</v>
      </c>
      <c r="K70" s="17" t="n">
        <v>1.999661808957255</v>
      </c>
      <c r="L70" s="18">
        <f>$B$5*$B$3*$B$6*SIN(F70)</f>
        <v/>
      </c>
      <c r="M70" s="18">
        <f>$B$9*K70*(SIN(F70))^2 + $B$8*($B$10+K70*COS(F70))*COS(F70)</f>
        <v/>
      </c>
      <c r="N70" s="18">
        <f>0.5*$B$9*(J70^2 + (K70*SIN(F70))^2) + 0.5*$B$8*($B$10 + K70*COS(F70))^2</f>
        <v/>
      </c>
      <c r="O70" s="18">
        <f>$B$3*$B$6*$B$5*COS(F70)</f>
        <v/>
      </c>
      <c r="P70" s="18">
        <f>N70+O70</f>
        <v/>
      </c>
      <c r="Q70" s="19">
        <f>ABS(P70-$P$3)</f>
        <v/>
      </c>
    </row>
    <row r="71">
      <c r="D71" s="6" t="n">
        <v>69</v>
      </c>
      <c r="E71" s="7" t="n">
        <v>0.6804860614724804</v>
      </c>
      <c r="F71" s="8" t="n">
        <v>1.17823667205651</v>
      </c>
      <c r="G71" s="9">
        <f>DEGREES(F71)</f>
        <v/>
      </c>
      <c r="H71" s="8" t="n">
        <v>0.8703799529709295</v>
      </c>
      <c r="I71" s="9">
        <f>DEGREES(H71)</f>
        <v/>
      </c>
      <c r="J71" s="10" t="n">
        <v>0.7642136297227334</v>
      </c>
      <c r="K71" s="10" t="n">
        <v>1.962798273691934</v>
      </c>
      <c r="L71" s="11">
        <f>$B$5*$B$3*$B$6*SIN(F71)</f>
        <v/>
      </c>
      <c r="M71" s="11">
        <f>$B$9*K71*(SIN(F71))^2 + $B$8*($B$10+K71*COS(F71))*COS(F71)</f>
        <v/>
      </c>
      <c r="N71" s="11">
        <f>0.5*$B$9*(J71^2 + (K71*SIN(F71))^2) + 0.5*$B$8*($B$10 + K71*COS(F71))^2</f>
        <v/>
      </c>
      <c r="O71" s="11">
        <f>$B$3*$B$6*$B$5*COS(F71)</f>
        <v/>
      </c>
      <c r="P71" s="11">
        <f>N71+O71</f>
        <v/>
      </c>
      <c r="Q71" s="12">
        <f>ABS(P71-$P$3)</f>
        <v/>
      </c>
    </row>
    <row r="72">
      <c r="D72" s="13" t="n">
        <v>70</v>
      </c>
      <c r="E72" s="14" t="n">
        <v>0.690493209435311</v>
      </c>
      <c r="F72" s="15" t="n">
        <v>1.18615115827346</v>
      </c>
      <c r="G72" s="16">
        <f>DEGREES(F72)</f>
        <v/>
      </c>
      <c r="H72" s="15" t="n">
        <v>0.8898261706231042</v>
      </c>
      <c r="I72" s="16">
        <f>DEGREES(H72)</f>
        <v/>
      </c>
      <c r="J72" s="17" t="n">
        <v>0.8171389916120119</v>
      </c>
      <c r="K72" s="17" t="n">
        <v>1.923225842607184</v>
      </c>
      <c r="L72" s="18">
        <f>$B$5*$B$3*$B$6*SIN(F72)</f>
        <v/>
      </c>
      <c r="M72" s="18">
        <f>$B$9*K72*(SIN(F72))^2 + $B$8*($B$10+K72*COS(F72))*COS(F72)</f>
        <v/>
      </c>
      <c r="N72" s="18">
        <f>0.5*$B$9*(J72^2 + (K72*SIN(F72))^2) + 0.5*$B$8*($B$10 + K72*COS(F72))^2</f>
        <v/>
      </c>
      <c r="O72" s="18">
        <f>$B$3*$B$6*$B$5*COS(F72)</f>
        <v/>
      </c>
      <c r="P72" s="18">
        <f>N72+O72</f>
        <v/>
      </c>
      <c r="Q72" s="19">
        <f>ABS(P72-$P$3)</f>
        <v/>
      </c>
    </row>
    <row r="73">
      <c r="D73" s="6" t="n">
        <v>71</v>
      </c>
      <c r="E73" s="7" t="n">
        <v>0.7005003573981415</v>
      </c>
      <c r="F73" s="8" t="n">
        <v>1.194582574834728</v>
      </c>
      <c r="G73" s="9">
        <f>DEGREES(F73)</f>
        <v/>
      </c>
      <c r="H73" s="8" t="n">
        <v>0.9088633415500372</v>
      </c>
      <c r="I73" s="9">
        <f>DEGREES(H73)</f>
        <v/>
      </c>
      <c r="J73" s="10" t="n">
        <v>0.8674988124405751</v>
      </c>
      <c r="K73" s="10" t="n">
        <v>1.881068759800841</v>
      </c>
      <c r="L73" s="11">
        <f>$B$5*$B$3*$B$6*SIN(F73)</f>
        <v/>
      </c>
      <c r="M73" s="11">
        <f>$B$9*K73*(SIN(F73))^2 + $B$8*($B$10+K73*COS(F73))*COS(F73)</f>
        <v/>
      </c>
      <c r="N73" s="11">
        <f>0.5*$B$9*(J73^2 + (K73*SIN(F73))^2) + 0.5*$B$8*($B$10 + K73*COS(F73))^2</f>
        <v/>
      </c>
      <c r="O73" s="11">
        <f>$B$3*$B$6*$B$5*COS(F73)</f>
        <v/>
      </c>
      <c r="P73" s="11">
        <f>N73+O73</f>
        <v/>
      </c>
      <c r="Q73" s="12">
        <f>ABS(P73-$P$3)</f>
        <v/>
      </c>
    </row>
    <row r="74">
      <c r="D74" s="13" t="n">
        <v>72</v>
      </c>
      <c r="E74" s="14" t="n">
        <v>0.7105075053609722</v>
      </c>
      <c r="F74" s="15" t="n">
        <v>1.203504449933671</v>
      </c>
      <c r="G74" s="16">
        <f>DEGREES(F74)</f>
        <v/>
      </c>
      <c r="H74" s="15" t="n">
        <v>0.9274662564299304</v>
      </c>
      <c r="I74" s="16">
        <f>DEGREES(H74)</f>
        <v/>
      </c>
      <c r="J74" s="17" t="n">
        <v>0.9151349793421036</v>
      </c>
      <c r="K74" s="17" t="n">
        <v>1.83645938430613</v>
      </c>
      <c r="L74" s="18">
        <f>$B$5*$B$3*$B$6*SIN(F74)</f>
        <v/>
      </c>
      <c r="M74" s="18">
        <f>$B$9*K74*(SIN(F74))^2 + $B$8*($B$10+K74*COS(F74))*COS(F74)</f>
        <v/>
      </c>
      <c r="N74" s="18">
        <f>0.5*$B$9*(J74^2 + (K74*SIN(F74))^2) + 0.5*$B$8*($B$10 + K74*COS(F74))^2</f>
        <v/>
      </c>
      <c r="O74" s="18">
        <f>$B$3*$B$6*$B$5*COS(F74)</f>
        <v/>
      </c>
      <c r="P74" s="18">
        <f>N74+O74</f>
        <v/>
      </c>
      <c r="Q74" s="19">
        <f>ABS(P74-$P$3)</f>
        <v/>
      </c>
    </row>
    <row r="75">
      <c r="D75" s="6" t="n">
        <v>73</v>
      </c>
      <c r="E75" s="7" t="n">
        <v>0.7205146533238027</v>
      </c>
      <c r="F75" s="8" t="n">
        <v>1.212888771889116</v>
      </c>
      <c r="G75" s="9">
        <f>DEGREES(F75)</f>
        <v/>
      </c>
      <c r="H75" s="8" t="n">
        <v>0.9456110693586298</v>
      </c>
      <c r="I75" s="9">
        <f>DEGREES(H75)</f>
        <v/>
      </c>
      <c r="J75" s="10" t="n">
        <v>0.9598979308057455</v>
      </c>
      <c r="K75" s="10" t="n">
        <v>1.789537774528902</v>
      </c>
      <c r="L75" s="11">
        <f>$B$5*$B$3*$B$6*SIN(F75)</f>
        <v/>
      </c>
      <c r="M75" s="11">
        <f>$B$9*K75*(SIN(F75))^2 + $B$8*($B$10+K75*COS(F75))*COS(F75)</f>
        <v/>
      </c>
      <c r="N75" s="11">
        <f>0.5*$B$9*(J75^2 + (K75*SIN(F75))^2) + 0.5*$B$8*($B$10 + K75*COS(F75))^2</f>
        <v/>
      </c>
      <c r="O75" s="11">
        <f>$B$3*$B$6*$B$5*COS(F75)</f>
        <v/>
      </c>
      <c r="P75" s="11">
        <f>N75+O75</f>
        <v/>
      </c>
      <c r="Q75" s="12">
        <f>ABS(P75-$P$3)</f>
        <v/>
      </c>
    </row>
    <row r="76">
      <c r="D76" s="13" t="n">
        <v>74</v>
      </c>
      <c r="E76" s="14" t="n">
        <v>0.7305218012866334</v>
      </c>
      <c r="F76" s="15" t="n">
        <v>1.222706077092608</v>
      </c>
      <c r="G76" s="16">
        <f>DEGREES(F76)</f>
        <v/>
      </c>
      <c r="H76" s="15" t="n">
        <v>0.96327537271773</v>
      </c>
      <c r="I76" s="16">
        <f>DEGREES(H76)</f>
        <v/>
      </c>
      <c r="J76" s="17" t="n">
        <v>1.001647126248861</v>
      </c>
      <c r="K76" s="17" t="n">
        <v>1.740451248511442</v>
      </c>
      <c r="L76" s="18">
        <f>$B$5*$B$3*$B$6*SIN(F76)</f>
        <v/>
      </c>
      <c r="M76" s="18">
        <f>$B$9*K76*(SIN(F76))^2 + $B$8*($B$10+K76*COS(F76))*COS(F76)</f>
        <v/>
      </c>
      <c r="N76" s="18">
        <f>0.5*$B$9*(J76^2 + (K76*SIN(F76))^2) + 0.5*$B$8*($B$10 + K76*COS(F76))^2</f>
        <v/>
      </c>
      <c r="O76" s="18">
        <f>$B$3*$B$6*$B$5*COS(F76)</f>
        <v/>
      </c>
      <c r="P76" s="18">
        <f>N76+O76</f>
        <v/>
      </c>
      <c r="Q76" s="19">
        <f>ABS(P76-$P$3)</f>
        <v/>
      </c>
    </row>
    <row r="77">
      <c r="D77" s="6" t="n">
        <v>75</v>
      </c>
      <c r="E77" s="7" t="n">
        <v>0.740528949249464</v>
      </c>
      <c r="F77" s="8" t="n">
        <v>1.232925542514205</v>
      </c>
      <c r="G77" s="9">
        <f>DEGREES(F77)</f>
        <v/>
      </c>
      <c r="H77" s="8" t="n">
        <v>0.9804382675269441</v>
      </c>
      <c r="I77" s="9">
        <f>DEGREES(H77)</f>
        <v/>
      </c>
      <c r="J77" s="10" t="n">
        <v>1.04025148726709</v>
      </c>
      <c r="K77" s="10" t="n">
        <v>1.689353921403459</v>
      </c>
      <c r="L77" s="11">
        <f>$B$5*$B$3*$B$6*SIN(F77)</f>
        <v/>
      </c>
      <c r="M77" s="11">
        <f>$B$9*K77*(SIN(F77))^2 + $B$8*($B$10+K77*COS(F77))*COS(F77)</f>
        <v/>
      </c>
      <c r="N77" s="11">
        <f>0.5*$B$9*(J77^2 + (K77*SIN(F77))^2) + 0.5*$B$8*($B$10 + K77*COS(F77))^2</f>
        <v/>
      </c>
      <c r="O77" s="11">
        <f>$B$3*$B$6*$B$5*COS(F77)</f>
        <v/>
      </c>
      <c r="P77" s="11">
        <f>N77+O77</f>
        <v/>
      </c>
      <c r="Q77" s="12">
        <f>ABS(P77-$P$3)</f>
        <v/>
      </c>
    </row>
    <row r="78">
      <c r="D78" s="13" t="n">
        <v>76</v>
      </c>
      <c r="E78" s="14" t="n">
        <v>0.7505360972122945</v>
      </c>
      <c r="F78" s="15" t="n">
        <v>1.243515082476406</v>
      </c>
      <c r="G78" s="16">
        <f>DEGREES(F78)</f>
        <v/>
      </c>
      <c r="H78" s="15" t="n">
        <v>0.9970804290598583</v>
      </c>
      <c r="I78" s="16">
        <f>DEGREES(H78)</f>
        <v/>
      </c>
      <c r="J78" s="17" t="n">
        <v>1.075589809176368</v>
      </c>
      <c r="K78" s="17" t="n">
        <v>1.636406221592454</v>
      </c>
      <c r="L78" s="18">
        <f>$B$5*$B$3*$B$6*SIN(F78)</f>
        <v/>
      </c>
      <c r="M78" s="18">
        <f>$B$9*K78*(SIN(F78))^2 + $B$8*($B$10+K78*COS(F78))*COS(F78)</f>
        <v/>
      </c>
      <c r="N78" s="18">
        <f>0.5*$B$9*(J78^2 + (K78*SIN(F78))^2) + 0.5*$B$8*($B$10 + K78*COS(F78))^2</f>
        <v/>
      </c>
      <c r="O78" s="18">
        <f>$B$3*$B$6*$B$5*COS(F78)</f>
        <v/>
      </c>
      <c r="P78" s="18">
        <f>N78+O78</f>
        <v/>
      </c>
      <c r="Q78" s="19">
        <f>ABS(P78-$P$3)</f>
        <v/>
      </c>
    </row>
    <row r="79">
      <c r="D79" s="6" t="n">
        <v>77</v>
      </c>
      <c r="E79" s="7" t="n">
        <v>0.7605432451751252</v>
      </c>
      <c r="F79" s="8" t="n">
        <v>1.254441449392367</v>
      </c>
      <c r="G79" s="9">
        <f>DEGREES(F79)</f>
        <v/>
      </c>
      <c r="H79" s="8" t="n">
        <v>1.013184167517062</v>
      </c>
      <c r="I79" s="9">
        <f>DEGREES(H79)</f>
        <v/>
      </c>
      <c r="J79" s="10" t="n">
        <v>1.10755114155479</v>
      </c>
      <c r="K79" s="10" t="n">
        <v>1.581774387012646</v>
      </c>
      <c r="L79" s="11">
        <f>$B$5*$B$3*$B$6*SIN(F79)</f>
        <v/>
      </c>
      <c r="M79" s="11">
        <f>$B$9*K79*(SIN(F79))^2 + $B$8*($B$10+K79*COS(F79))*COS(F79)</f>
        <v/>
      </c>
      <c r="N79" s="11">
        <f>0.5*$B$9*(J79^2 + (K79*SIN(F79))^2) + 0.5*$B$8*($B$10 + K79*COS(F79))^2</f>
        <v/>
      </c>
      <c r="O79" s="11">
        <f>$B$3*$B$6*$B$5*COS(F79)</f>
        <v/>
      </c>
      <c r="P79" s="11">
        <f>N79+O79</f>
        <v/>
      </c>
      <c r="Q79" s="12">
        <f>ABS(P79-$P$3)</f>
        <v/>
      </c>
    </row>
    <row r="80">
      <c r="D80" s="13" t="n">
        <v>78</v>
      </c>
      <c r="E80" s="14" t="n">
        <v>0.7705503931379557</v>
      </c>
      <c r="F80" s="15" t="n">
        <v>1.26567033815212</v>
      </c>
      <c r="G80" s="16">
        <f>DEGREES(F80)</f>
        <v/>
      </c>
      <c r="H80" s="15" t="n">
        <v>1.028733483566155</v>
      </c>
      <c r="I80" s="16">
        <f>DEGREES(H80)</f>
        <v/>
      </c>
      <c r="J80" s="17" t="n">
        <v>1.136035136589542</v>
      </c>
      <c r="K80" s="17" t="n">
        <v>1.525629943213881</v>
      </c>
      <c r="L80" s="18">
        <f>$B$5*$B$3*$B$6*SIN(F80)</f>
        <v/>
      </c>
      <c r="M80" s="18">
        <f>$B$9*K80*(SIN(F80))^2 + $B$8*($B$10+K80*COS(F80))*COS(F80)</f>
        <v/>
      </c>
      <c r="N80" s="18">
        <f>0.5*$B$9*(J80^2 + (K80*SIN(F80))^2) + 0.5*$B$8*($B$10 + K80*COS(F80))^2</f>
        <v/>
      </c>
      <c r="O80" s="18">
        <f>$B$3*$B$6*$B$5*COS(F80)</f>
        <v/>
      </c>
      <c r="P80" s="18">
        <f>N80+O80</f>
        <v/>
      </c>
      <c r="Q80" s="19">
        <f>ABS(P80-$P$3)</f>
        <v/>
      </c>
    </row>
    <row r="81">
      <c r="D81" s="6" t="n">
        <v>79</v>
      </c>
      <c r="E81" s="7" t="n">
        <v>0.7805575411007863</v>
      </c>
      <c r="F81" s="8" t="n">
        <v>1.277166493829055</v>
      </c>
      <c r="G81" s="9">
        <f>DEGREES(F81)</f>
        <v/>
      </c>
      <c r="H81" s="8" t="n">
        <v>1.043714118574262</v>
      </c>
      <c r="I81" s="9">
        <f>DEGREES(H81)</f>
        <v/>
      </c>
      <c r="J81" s="10" t="n">
        <v>1.160952364135222</v>
      </c>
      <c r="K81" s="10" t="n">
        <v>1.468149164829208</v>
      </c>
      <c r="L81" s="11">
        <f>$B$5*$B$3*$B$6*SIN(F81)</f>
        <v/>
      </c>
      <c r="M81" s="11">
        <f>$B$9*K81*(SIN(F81))^2 + $B$8*($B$10+K81*COS(F81))*COS(F81)</f>
        <v/>
      </c>
      <c r="N81" s="11">
        <f>0.5*$B$9*(J81^2 + (K81*SIN(F81))^2) + 0.5*$B$8*($B$10 + K81*COS(F81))^2</f>
        <v/>
      </c>
      <c r="O81" s="11">
        <f>$B$3*$B$6*$B$5*COS(F81)</f>
        <v/>
      </c>
      <c r="P81" s="11">
        <f>N81+O81</f>
        <v/>
      </c>
      <c r="Q81" s="12">
        <f>ABS(P81-$P$3)</f>
        <v/>
      </c>
    </row>
    <row r="82">
      <c r="D82" s="13" t="n">
        <v>80</v>
      </c>
      <c r="E82" s="14" t="n">
        <v>0.7905646890636169</v>
      </c>
      <c r="F82" s="15" t="n">
        <v>1.288893822368509</v>
      </c>
      <c r="G82" s="16">
        <f>DEGREES(F82)</f>
        <v/>
      </c>
      <c r="H82" s="15" t="n">
        <v>1.058113599375328</v>
      </c>
      <c r="I82" s="16">
        <f>DEGREES(H82)</f>
        <v/>
      </c>
      <c r="J82" s="17" t="n">
        <v>1.182224592494354</v>
      </c>
      <c r="K82" s="17" t="n">
        <v>1.409512522131937</v>
      </c>
      <c r="L82" s="18">
        <f>$B$5*$B$3*$B$6*SIN(F82)</f>
        <v/>
      </c>
      <c r="M82" s="18">
        <f>$B$9*K82*(SIN(F82))^2 + $B$8*($B$10+K82*COS(F82))*COS(F82)</f>
        <v/>
      </c>
      <c r="N82" s="18">
        <f>0.5*$B$9*(J82^2 + (K82*SIN(F82))^2) + 0.5*$B$8*($B$10 + K82*COS(F82))^2</f>
        <v/>
      </c>
      <c r="O82" s="18">
        <f>$B$3*$B$6*$B$5*COS(F82)</f>
        <v/>
      </c>
      <c r="P82" s="18">
        <f>N82+O82</f>
        <v/>
      </c>
      <c r="Q82" s="19">
        <f>ABS(P82-$P$3)</f>
        <v/>
      </c>
    </row>
    <row r="83">
      <c r="D83" s="6" t="n">
        <v>81</v>
      </c>
      <c r="E83" s="7" t="n">
        <v>0.8005718370264475</v>
      </c>
      <c r="F83" s="8" t="n">
        <v>1.300815503910938</v>
      </c>
      <c r="G83" s="9">
        <f>DEGREES(F83)</f>
        <v/>
      </c>
      <c r="H83" s="8" t="n">
        <v>1.071921277431668</v>
      </c>
      <c r="I83" s="9">
        <f>DEGREES(H83)</f>
        <v/>
      </c>
      <c r="J83" s="10" t="n">
        <v>1.199785034038555</v>
      </c>
      <c r="K83" s="10" t="n">
        <v>1.349904114419795</v>
      </c>
      <c r="L83" s="11">
        <f>$B$5*$B$3*$B$6*SIN(F83)</f>
        <v/>
      </c>
      <c r="M83" s="11">
        <f>$B$9*K83*(SIN(F83))^2 + $B$8*($B$10+K83*COS(F83))*COS(F83)</f>
        <v/>
      </c>
      <c r="N83" s="11">
        <f>0.5*$B$9*(J83^2 + (K83*SIN(F83))^2) + 0.5*$B$8*($B$10 + K83*COS(F83))^2</f>
        <v/>
      </c>
      <c r="O83" s="11">
        <f>$B$3*$B$6*$B$5*COS(F83)</f>
        <v/>
      </c>
      <c r="P83" s="11">
        <f>N83+O83</f>
        <v/>
      </c>
      <c r="Q83" s="12">
        <f>ABS(P83-$P$3)</f>
        <v/>
      </c>
    </row>
    <row r="84">
      <c r="D84" s="13" t="n">
        <v>82</v>
      </c>
      <c r="E84" s="14" t="n">
        <v>0.8105789849892782</v>
      </c>
      <c r="F84" s="15" t="n">
        <v>1.312894108393861</v>
      </c>
      <c r="G84" s="16">
        <f>DEGREES(F84)</f>
        <v/>
      </c>
      <c r="H84" s="15" t="n">
        <v>1.085128362266775</v>
      </c>
      <c r="I84" s="16">
        <f>DEGREES(H84)</f>
        <v/>
      </c>
      <c r="J84" s="17" t="n">
        <v>1.213578554899183</v>
      </c>
      <c r="K84" s="17" t="n">
        <v>1.289511092005175</v>
      </c>
      <c r="L84" s="18">
        <f>$B$5*$B$3*$B$6*SIN(F84)</f>
        <v/>
      </c>
      <c r="M84" s="18">
        <f>$B$9*K84*(SIN(F84))^2 + $B$8*($B$10+K84*COS(F84))*COS(F84)</f>
        <v/>
      </c>
      <c r="N84" s="18">
        <f>0.5*$B$9*(J84^2 + (K84*SIN(F84))^2) + 0.5*$B$8*($B$10 + K84*COS(F84))^2</f>
        <v/>
      </c>
      <c r="O84" s="18">
        <f>$B$3*$B$6*$B$5*COS(F84)</f>
        <v/>
      </c>
      <c r="P84" s="18">
        <f>N84+O84</f>
        <v/>
      </c>
      <c r="Q84" s="19">
        <f>ABS(P84-$P$3)</f>
        <v/>
      </c>
    </row>
    <row r="85">
      <c r="D85" s="6" t="n">
        <v>83</v>
      </c>
      <c r="E85" s="7" t="n">
        <v>0.8205861329521087</v>
      </c>
      <c r="F85" s="8" t="n">
        <v>1.325091713069651</v>
      </c>
      <c r="G85" s="9">
        <f>DEGREES(F85)</f>
        <v/>
      </c>
      <c r="H85" s="8" t="n">
        <v>1.09772794906446</v>
      </c>
      <c r="I85" s="9">
        <f>DEGREES(H85)</f>
        <v/>
      </c>
      <c r="J85" s="10" t="n">
        <v>1.223561848069103</v>
      </c>
      <c r="K85" s="10" t="n">
        <v>1.228523068626228</v>
      </c>
      <c r="L85" s="11">
        <f>$B$5*$B$3*$B$6*SIN(F85)</f>
        <v/>
      </c>
      <c r="M85" s="11">
        <f>$B$9*K85*(SIN(F85))^2 + $B$8*($B$10+K85*COS(F85))*COS(F85)</f>
        <v/>
      </c>
      <c r="N85" s="11">
        <f>0.5*$B$9*(J85^2 + (K85*SIN(F85))^2) + 0.5*$B$8*($B$10 + K85*COS(F85))^2</f>
        <v/>
      </c>
      <c r="O85" s="11">
        <f>$B$3*$B$6*$B$5*COS(F85)</f>
        <v/>
      </c>
      <c r="P85" s="11">
        <f>N85+O85</f>
        <v/>
      </c>
      <c r="Q85" s="12">
        <f>ABS(P85-$P$3)</f>
        <v/>
      </c>
    </row>
    <row r="86">
      <c r="D86" s="13" t="n">
        <v>84</v>
      </c>
      <c r="E86" s="14" t="n">
        <v>0.8305932809149393</v>
      </c>
      <c r="F86" s="15" t="n">
        <v>1.337370021570174</v>
      </c>
      <c r="G86" s="16">
        <f>DEGREES(F86)</f>
        <v/>
      </c>
      <c r="H86" s="15" t="n">
        <v>1.109715040347648</v>
      </c>
      <c r="I86" s="16">
        <f>DEGREES(H86)</f>
        <v/>
      </c>
      <c r="J86" s="17" t="n">
        <v>1.229703569372097</v>
      </c>
      <c r="K86" s="17" t="n">
        <v>1.167131526123613</v>
      </c>
      <c r="L86" s="18">
        <f>$B$5*$B$3*$B$6*SIN(F86)</f>
        <v/>
      </c>
      <c r="M86" s="18">
        <f>$B$9*K86*(SIN(F86))^2 + $B$8*($B$10+K86*COS(F86))*COS(F86)</f>
        <v/>
      </c>
      <c r="N86" s="18">
        <f>0.5*$B$9*(J86^2 + (K86*SIN(F86))^2) + 0.5*$B$8*($B$10 + K86*COS(F86))^2</f>
        <v/>
      </c>
      <c r="O86" s="18">
        <f>$B$3*$B$6*$B$5*COS(F86)</f>
        <v/>
      </c>
      <c r="P86" s="18">
        <f>N86+O86</f>
        <v/>
      </c>
      <c r="Q86" s="19">
        <f>ABS(P86-$P$3)</f>
        <v/>
      </c>
    </row>
    <row r="87">
      <c r="D87" s="6" t="n">
        <v>85</v>
      </c>
      <c r="E87" s="7" t="n">
        <v>0.8406004288777699</v>
      </c>
      <c r="F87" s="8" t="n">
        <v>1.349690484144485</v>
      </c>
      <c r="G87" s="9">
        <f>DEGREES(F87)</f>
        <v/>
      </c>
      <c r="H87" s="8" t="n">
        <v>1.121086561668769</v>
      </c>
      <c r="I87" s="9">
        <f>DEGREES(H87)</f>
        <v/>
      </c>
      <c r="J87" s="10" t="n">
        <v>1.231984435873011</v>
      </c>
      <c r="K87" s="10" t="n">
        <v>1.105529213252056</v>
      </c>
      <c r="L87" s="11">
        <f>$B$5*$B$3*$B$6*SIN(F87)</f>
        <v/>
      </c>
      <c r="M87" s="11">
        <f>$B$9*K87*(SIN(F87))^2 + $B$8*($B$10+K87*COS(F87))*COS(F87)</f>
        <v/>
      </c>
      <c r="N87" s="11">
        <f>0.5*$B$9*(J87^2 + (K87*SIN(F87))^2) + 0.5*$B$8*($B$10 + K87*COS(F87))^2</f>
        <v/>
      </c>
      <c r="O87" s="11">
        <f>$B$3*$B$6*$B$5*COS(F87)</f>
        <v/>
      </c>
      <c r="P87" s="11">
        <f>N87+O87</f>
        <v/>
      </c>
      <c r="Q87" s="12">
        <f>ABS(P87-$P$3)</f>
        <v/>
      </c>
    </row>
    <row r="88">
      <c r="D88" s="13" t="n">
        <v>86</v>
      </c>
      <c r="E88" s="14" t="n">
        <v>0.8506075768406005</v>
      </c>
      <c r="F88" s="15" t="n">
        <v>1.362014418692054</v>
      </c>
      <c r="G88" s="16">
        <f>DEGREES(F88)</f>
        <v/>
      </c>
      <c r="H88" s="15" t="n">
        <v>1.131841371262492</v>
      </c>
      <c r="I88" s="16">
        <f>DEGREES(H88)</f>
        <v/>
      </c>
      <c r="J88" s="17" t="n">
        <v>1.230397286419676</v>
      </c>
      <c r="K88" s="17" t="n">
        <v>1.043909540514214</v>
      </c>
      <c r="L88" s="18">
        <f>$B$5*$B$3*$B$6*SIN(F88)</f>
        <v/>
      </c>
      <c r="M88" s="18">
        <f>$B$9*K88*(SIN(F88))^2 + $B$8*($B$10+K88*COS(F88))*COS(F88)</f>
        <v/>
      </c>
      <c r="N88" s="18">
        <f>0.5*$B$9*(J88^2 + (K88*SIN(F88))^2) + 0.5*$B$8*($B$10 + K88*COS(F88))^2</f>
        <v/>
      </c>
      <c r="O88" s="18">
        <f>$B$3*$B$6*$B$5*COS(F88)</f>
        <v/>
      </c>
      <c r="P88" s="18">
        <f>N88+O88</f>
        <v/>
      </c>
      <c r="Q88" s="19">
        <f>ABS(P88-$P$3)</f>
        <v/>
      </c>
    </row>
    <row r="89">
      <c r="D89" s="6" t="n">
        <v>87</v>
      </c>
      <c r="E89" s="7" t="n">
        <v>0.860614724803431</v>
      </c>
      <c r="F89" s="8" t="n">
        <v>1.374303132211522</v>
      </c>
      <c r="G89" s="9">
        <f>DEGREES(F89)</f>
        <v/>
      </c>
      <c r="H89" s="8" t="n">
        <v>1.141980263630476</v>
      </c>
      <c r="I89" s="9">
        <f>DEGREES(H89)</f>
        <v/>
      </c>
      <c r="J89" s="10" t="n">
        <v>1.224947104126513</v>
      </c>
      <c r="K89" s="10" t="n">
        <v>0.9824659729168709</v>
      </c>
      <c r="L89" s="11">
        <f>$B$5*$B$3*$B$6*SIN(F89)</f>
        <v/>
      </c>
      <c r="M89" s="11">
        <f>$B$9*K89*(SIN(F89))^2 + $B$8*($B$10+K89*COS(F89))*COS(F89)</f>
        <v/>
      </c>
      <c r="N89" s="11">
        <f>0.5*$B$9*(J89^2 + (K89*SIN(F89))^2) + 0.5*$B$8*($B$10 + K89*COS(F89))^2</f>
        <v/>
      </c>
      <c r="O89" s="11">
        <f>$B$3*$B$6*$B$5*COS(F89)</f>
        <v/>
      </c>
      <c r="P89" s="11">
        <f>N89+O89</f>
        <v/>
      </c>
      <c r="Q89" s="12">
        <f>ABS(P89-$P$3)</f>
        <v/>
      </c>
    </row>
    <row r="90">
      <c r="D90" s="13" t="n">
        <v>88</v>
      </c>
      <c r="E90" s="14" t="n">
        <v>0.8706218727662617</v>
      </c>
      <c r="F90" s="15" t="n">
        <v>1.386518042283693</v>
      </c>
      <c r="G90" s="16">
        <f>DEGREES(F90)</f>
        <v/>
      </c>
      <c r="H90" s="15" t="n">
        <v>1.15150596704691</v>
      </c>
      <c r="I90" s="16">
        <f>DEGREES(H90)</f>
        <v/>
      </c>
      <c r="J90" s="17" t="n">
        <v>1.215651000729228</v>
      </c>
      <c r="K90" s="17" t="n">
        <v>0.9213914225560167</v>
      </c>
      <c r="L90" s="18">
        <f>$B$5*$B$3*$B$6*SIN(F90)</f>
        <v/>
      </c>
      <c r="M90" s="18">
        <f>$B$9*K90*(SIN(F90))^2 + $B$8*($B$10+K90*COS(F90))*COS(F90)</f>
        <v/>
      </c>
      <c r="N90" s="18">
        <f>0.5*$B$9*(J90^2 + (K90*SIN(F90))^2) + 0.5*$B$8*($B$10 + K90*COS(F90))^2</f>
        <v/>
      </c>
      <c r="O90" s="18">
        <f>$B$3*$B$6*$B$5*COS(F90)</f>
        <v/>
      </c>
      <c r="P90" s="18">
        <f>N90+O90</f>
        <v/>
      </c>
      <c r="Q90" s="19">
        <f>ABS(P90-$P$3)</f>
        <v/>
      </c>
    </row>
    <row r="91">
      <c r="D91" s="6" t="n">
        <v>89</v>
      </c>
      <c r="E91" s="7" t="n">
        <v>0.8806290207290923</v>
      </c>
      <c r="F91" s="8" t="n">
        <v>1.398620798207321</v>
      </c>
      <c r="G91" s="9">
        <f>DEGREES(F91)</f>
        <v/>
      </c>
      <c r="H91" s="8" t="n">
        <v>1.160423134992649</v>
      </c>
      <c r="I91" s="9">
        <f>DEGREES(H91)</f>
        <v/>
      </c>
      <c r="J91" s="10" t="n">
        <v>1.202538162859738</v>
      </c>
      <c r="K91" s="10" t="n">
        <v>0.8608776429378786</v>
      </c>
      <c r="L91" s="11">
        <f>$B$5*$B$3*$B$6*SIN(F91)</f>
        <v/>
      </c>
      <c r="M91" s="11">
        <f>$B$9*K91*(SIN(F91))^2 + $B$8*($B$10+K91*COS(F91))*COS(F91)</f>
        <v/>
      </c>
      <c r="N91" s="11">
        <f>0.5*$B$9*(J91^2 + (K91*SIN(F91))^2) + 0.5*$B$8*($B$10 + K91*COS(F91))^2</f>
        <v/>
      </c>
      <c r="O91" s="11">
        <f>$B$3*$B$6*$B$5*COS(F91)</f>
        <v/>
      </c>
      <c r="P91" s="11">
        <f>N91+O91</f>
        <v/>
      </c>
      <c r="Q91" s="12">
        <f>ABS(P91-$P$3)</f>
        <v/>
      </c>
    </row>
    <row r="92">
      <c r="D92" s="13" t="n">
        <v>90</v>
      </c>
      <c r="E92" s="14" t="n">
        <v>0.8906361686919229</v>
      </c>
      <c r="F92" s="15" t="n">
        <v>1.410573401407391</v>
      </c>
      <c r="G92" s="16">
        <f>DEGREES(F92)</f>
        <v/>
      </c>
      <c r="H92" s="15" t="n">
        <v>1.168738331544848</v>
      </c>
      <c r="I92" s="16">
        <f>DEGREES(H92)</f>
        <v/>
      </c>
      <c r="J92" s="17" t="n">
        <v>1.18564976040997</v>
      </c>
      <c r="K92" s="17" t="n">
        <v>0.8011146269375289</v>
      </c>
      <c r="L92" s="18">
        <f>$B$5*$B$3*$B$6*SIN(F92)</f>
        <v/>
      </c>
      <c r="M92" s="18">
        <f>$B$9*K92*(SIN(F92))^2 + $B$8*($B$10+K92*COS(F92))*COS(F92)</f>
        <v/>
      </c>
      <c r="N92" s="18">
        <f>0.5*$B$9*(J92^2 + (K92*SIN(F92))^2) + 0.5*$B$8*($B$10 + K92*COS(F92))^2</f>
        <v/>
      </c>
      <c r="O92" s="18">
        <f>$B$3*$B$6*$B$5*COS(F92)</f>
        <v/>
      </c>
      <c r="P92" s="18">
        <f>N92+O92</f>
        <v/>
      </c>
      <c r="Q92" s="19">
        <f>ABS(P92-$P$3)</f>
        <v/>
      </c>
    </row>
    <row r="93">
      <c r="D93" s="6" t="n">
        <v>91</v>
      </c>
      <c r="E93" s="7" t="n">
        <v>0.9006433166547535</v>
      </c>
      <c r="F93" s="8" t="n">
        <v>1.42233832473784</v>
      </c>
      <c r="G93" s="9">
        <f>DEGREES(F93)</f>
        <v/>
      </c>
      <c r="H93" s="8" t="n">
        <v>1.176460010767979</v>
      </c>
      <c r="I93" s="9">
        <f>DEGREES(H93)</f>
        <v/>
      </c>
      <c r="J93" s="10" t="n">
        <v>1.165038817272286</v>
      </c>
      <c r="K93" s="10" t="n">
        <v>0.7422900102852827</v>
      </c>
      <c r="L93" s="11">
        <f>$B$5*$B$3*$B$6*SIN(F93)</f>
        <v/>
      </c>
      <c r="M93" s="11">
        <f>$B$9*K93*(SIN(F93))^2 + $B$8*($B$10+K93*COS(F93))*COS(F93)</f>
        <v/>
      </c>
      <c r="N93" s="11">
        <f>0.5*$B$9*(J93^2 + (K93*SIN(F93))^2) + 0.5*$B$8*($B$10 + K93*COS(F93))^2</f>
        <v/>
      </c>
      <c r="O93" s="11">
        <f>$B$3*$B$6*$B$5*COS(F93)</f>
        <v/>
      </c>
      <c r="P93" s="11">
        <f>N93+O93</f>
        <v/>
      </c>
      <c r="Q93" s="12">
        <f>ABS(P93-$P$3)</f>
        <v/>
      </c>
    </row>
    <row r="94">
      <c r="D94" s="13" t="n">
        <v>92</v>
      </c>
      <c r="E94" s="14" t="n">
        <v>0.910650464617584</v>
      </c>
      <c r="F94" s="15" t="n">
        <v>1.433878630304148</v>
      </c>
      <c r="G94" s="16">
        <f>DEGREES(F94)</f>
        <v/>
      </c>
      <c r="H94" s="15" t="n">
        <v>1.183598490170912</v>
      </c>
      <c r="I94" s="16">
        <f>DEGREES(H94)</f>
        <v/>
      </c>
      <c r="J94" s="17" t="n">
        <v>1.140770044862324</v>
      </c>
      <c r="K94" s="17" t="n">
        <v>0.684588482453741</v>
      </c>
      <c r="L94" s="18">
        <f>$B$5*$B$3*$B$6*SIN(F94)</f>
        <v/>
      </c>
      <c r="M94" s="18">
        <f>$B$9*K94*(SIN(F94))^2 + $B$8*($B$10+K94*COS(F94))*COS(F94)</f>
        <v/>
      </c>
      <c r="N94" s="18">
        <f>0.5*$B$9*(J94^2 + (K94*SIN(F94))^2) + 0.5*$B$8*($B$10 + K94*COS(F94))^2</f>
        <v/>
      </c>
      <c r="O94" s="18">
        <f>$B$3*$B$6*$B$5*COS(F94)</f>
        <v/>
      </c>
      <c r="P94" s="18">
        <f>N94+O94</f>
        <v/>
      </c>
      <c r="Q94" s="19">
        <f>ABS(P94-$P$3)</f>
        <v/>
      </c>
    </row>
    <row r="95">
      <c r="D95" s="6" t="n">
        <v>93</v>
      </c>
      <c r="E95" s="7" t="n">
        <v>0.9206576125804147</v>
      </c>
      <c r="F95" s="8" t="n">
        <v>1.44515808543588</v>
      </c>
      <c r="G95" s="9">
        <f>DEGREES(F95)</f>
        <v/>
      </c>
      <c r="H95" s="8" t="n">
        <v>1.190165918313418</v>
      </c>
      <c r="I95" s="9">
        <f>DEGREES(H95)</f>
        <v/>
      </c>
      <c r="J95" s="10" t="n">
        <v>1.112919638946959</v>
      </c>
      <c r="K95" s="10" t="n">
        <v>0.628191206795083</v>
      </c>
      <c r="L95" s="11">
        <f>$B$5*$B$3*$B$6*SIN(F95)</f>
        <v/>
      </c>
      <c r="M95" s="11">
        <f>$B$9*K95*(SIN(F95))^2 + $B$8*($B$10+K95*COS(F95))*COS(F95)</f>
        <v/>
      </c>
      <c r="N95" s="11">
        <f>0.5*$B$9*(J95^2 + (K95*SIN(F95))^2) + 0.5*$B$8*($B$10 + K95*COS(F95))^2</f>
        <v/>
      </c>
      <c r="O95" s="11">
        <f>$B$3*$B$6*$B$5*COS(F95)</f>
        <v/>
      </c>
      <c r="P95" s="11">
        <f>N95+O95</f>
        <v/>
      </c>
      <c r="Q95" s="12">
        <f>ABS(P95-$P$3)</f>
        <v/>
      </c>
    </row>
    <row r="96">
      <c r="D96" s="13" t="n">
        <v>94</v>
      </c>
      <c r="E96" s="14" t="n">
        <v>0.9306647605432452</v>
      </c>
      <c r="F96" s="15" t="n">
        <v>1.456141276445057</v>
      </c>
      <c r="G96" s="16">
        <f>DEGREES(F96)</f>
        <v/>
      </c>
      <c r="H96" s="15" t="n">
        <v>1.196176236663781</v>
      </c>
      <c r="I96" s="16">
        <f>DEGREES(H96)</f>
        <v/>
      </c>
      <c r="J96" s="17" t="n">
        <v>1.081575040415279</v>
      </c>
      <c r="K96" s="17" t="n">
        <v>0.5732752517491968</v>
      </c>
      <c r="L96" s="18">
        <f>$B$5*$B$3*$B$6*SIN(F96)</f>
        <v/>
      </c>
      <c r="M96" s="18">
        <f>$B$9*K96*(SIN(F96))^2 + $B$8*($B$10+K96*COS(F96))*COS(F96)</f>
        <v/>
      </c>
      <c r="N96" s="18">
        <f>0.5*$B$9*(J96^2 + (K96*SIN(F96))^2) + 0.5*$B$8*($B$10 + K96*COS(F96))^2</f>
        <v/>
      </c>
      <c r="O96" s="18">
        <f>$B$3*$B$6*$B$5*COS(F96)</f>
        <v/>
      </c>
      <c r="P96" s="18">
        <f>N96+O96</f>
        <v/>
      </c>
      <c r="Q96" s="19">
        <f>ABS(P96-$P$3)</f>
        <v/>
      </c>
    </row>
    <row r="97">
      <c r="D97" s="6" t="n">
        <v>95</v>
      </c>
      <c r="E97" s="7" t="n">
        <v>0.9406719085060758</v>
      </c>
      <c r="F97" s="8" t="n">
        <v>1.466793719813208</v>
      </c>
      <c r="G97" s="9">
        <f>DEGREES(F97)</f>
        <v/>
      </c>
      <c r="H97" s="8" t="n">
        <v>1.201645135827292</v>
      </c>
      <c r="I97" s="9">
        <f>DEGREES(H97)</f>
        <v/>
      </c>
      <c r="J97" s="10" t="n">
        <v>1.046834660743653</v>
      </c>
      <c r="K97" s="10" t="n">
        <v>0.520013034908442</v>
      </c>
      <c r="L97" s="11">
        <f>$B$5*$B$3*$B$6*SIN(F97)</f>
        <v/>
      </c>
      <c r="M97" s="11">
        <f>$B$9*K97*(SIN(F97))^2 + $B$8*($B$10+K97*COS(F97))*COS(F97)</f>
        <v/>
      </c>
      <c r="N97" s="11">
        <f>0.5*$B$9*(J97^2 + (K97*SIN(F97))^2) + 0.5*$B$8*($B$10 + K97*COS(F97))^2</f>
        <v/>
      </c>
      <c r="O97" s="11">
        <f>$B$3*$B$6*$B$5*COS(F97)</f>
        <v/>
      </c>
      <c r="P97" s="11">
        <f>N97+O97</f>
        <v/>
      </c>
      <c r="Q97" s="12">
        <f>ABS(P97-$P$3)</f>
        <v/>
      </c>
    </row>
    <row r="98">
      <c r="D98" s="13" t="n">
        <v>96</v>
      </c>
      <c r="E98" s="14" t="n">
        <v>0.9506790564689064</v>
      </c>
      <c r="F98" s="15" t="n">
        <v>1.477081970457992</v>
      </c>
      <c r="G98" s="16">
        <f>DEGREES(F98)</f>
        <v/>
      </c>
      <c r="H98" s="15" t="n">
        <v>1.206590006283027</v>
      </c>
      <c r="I98" s="16">
        <f>DEGREES(H98)</f>
        <v/>
      </c>
      <c r="J98" s="17" t="n">
        <v>1.008807573016867</v>
      </c>
      <c r="K98" s="17" t="n">
        <v>0.4685717816845218</v>
      </c>
      <c r="L98" s="18">
        <f>$B$5*$B$3*$B$6*SIN(F98)</f>
        <v/>
      </c>
      <c r="M98" s="18">
        <f>$B$9*K98*(SIN(F98))^2 + $B$8*($B$10+K98*COS(F98))*COS(F98)</f>
        <v/>
      </c>
      <c r="N98" s="18">
        <f>0.5*$B$9*(J98^2 + (K98*SIN(F98))^2) + 0.5*$B$8*($B$10 + K98*COS(F98))^2</f>
        <v/>
      </c>
      <c r="O98" s="18">
        <f>$B$3*$B$6*$B$5*COS(F98)</f>
        <v/>
      </c>
      <c r="P98" s="18">
        <f>N98+O98</f>
        <v/>
      </c>
      <c r="Q98" s="19">
        <f>ABS(P98-$P$3)</f>
        <v/>
      </c>
    </row>
    <row r="99">
      <c r="D99" s="6" t="n">
        <v>97</v>
      </c>
      <c r="E99" s="7" t="n">
        <v>0.960686204431737</v>
      </c>
      <c r="F99" s="8" t="n">
        <v>1.486973726739489</v>
      </c>
      <c r="G99" s="9">
        <f>DEGREES(F99)</f>
        <v/>
      </c>
      <c r="H99" s="8" t="n">
        <v>1.211029883783614</v>
      </c>
      <c r="I99" s="9">
        <f>DEGREES(H99)</f>
        <v/>
      </c>
      <c r="J99" s="10" t="n">
        <v>0.9676131694753882</v>
      </c>
      <c r="K99" s="10" t="n">
        <v>0.4191130002770387</v>
      </c>
      <c r="L99" s="11">
        <f>$B$5*$B$3*$B$6*SIN(F99)</f>
        <v/>
      </c>
      <c r="M99" s="11">
        <f>$B$9*K99*(SIN(F99))^2 + $B$8*($B$10+K99*COS(F99))*COS(F99)</f>
        <v/>
      </c>
      <c r="N99" s="11">
        <f>0.5*$B$9*(J99^2 + (K99*SIN(F99))^2) + 0.5*$B$8*($B$10 + K99*COS(F99))^2</f>
        <v/>
      </c>
      <c r="O99" s="11">
        <f>$B$3*$B$6*$B$5*COS(F99)</f>
        <v/>
      </c>
      <c r="P99" s="11">
        <f>N99+O99</f>
        <v/>
      </c>
      <c r="Q99" s="12">
        <f>ABS(P99-$P$3)</f>
        <v/>
      </c>
    </row>
    <row r="100">
      <c r="D100" s="13" t="n">
        <v>98</v>
      </c>
      <c r="E100" s="14" t="n">
        <v>0.9706933523945677</v>
      </c>
      <c r="F100" s="15" t="n">
        <v>1.496437931876461</v>
      </c>
      <c r="G100" s="16">
        <f>DEGREES(F100)</f>
        <v/>
      </c>
      <c r="H100" s="15" t="n">
        <v>1.214985389589377</v>
      </c>
      <c r="I100" s="16">
        <f>DEGREES(H100)</f>
        <v/>
      </c>
      <c r="J100" s="17" t="n">
        <v>0.9233807866639678</v>
      </c>
      <c r="K100" s="17" t="n">
        <v>0.3717919745921768</v>
      </c>
      <c r="L100" s="18">
        <f>$B$5*$B$3*$B$6*SIN(F100)</f>
        <v/>
      </c>
      <c r="M100" s="18">
        <f>$B$9*K100*(SIN(F100))^2 + $B$8*($B$10+K100*COS(F100))*COS(F100)</f>
        <v/>
      </c>
      <c r="N100" s="18">
        <f>0.5*$B$9*(J100^2 + (K100*SIN(F100))^2) + 0.5*$B$8*($B$10 + K100*COS(F100))^2</f>
        <v/>
      </c>
      <c r="O100" s="18">
        <f>$B$3*$B$6*$B$5*COS(F100)</f>
        <v/>
      </c>
      <c r="P100" s="18">
        <f>N100+O100</f>
        <v/>
      </c>
      <c r="Q100" s="19">
        <f>ABS(P100-$P$3)</f>
        <v/>
      </c>
    </row>
    <row r="101">
      <c r="D101" s="6" t="n">
        <v>99</v>
      </c>
      <c r="E101" s="7" t="n">
        <v>0.9807005003573982</v>
      </c>
      <c r="F101" s="8" t="n">
        <v>1.505444871454183</v>
      </c>
      <c r="G101" s="9">
        <f>DEGREES(F101)</f>
        <v/>
      </c>
      <c r="H101" s="8" t="n">
        <v>1.218478665724528</v>
      </c>
      <c r="I101" s="9">
        <f>DEGREES(H101)</f>
        <v/>
      </c>
      <c r="J101" s="10" t="n">
        <v>0.8762492993584788</v>
      </c>
      <c r="K101" s="10" t="n">
        <v>0.3267572767035701</v>
      </c>
      <c r="L101" s="11">
        <f>$B$5*$B$3*$B$6*SIN(F101)</f>
        <v/>
      </c>
      <c r="M101" s="11">
        <f>$B$9*K101*(SIN(F101))^2 + $B$8*($B$10+K101*COS(F101))*COS(F101)</f>
        <v/>
      </c>
      <c r="N101" s="11">
        <f>0.5*$B$9*(J101^2 + (K101*SIN(F101))^2) + 0.5*$B$8*($B$10 + K101*COS(F101))^2</f>
        <v/>
      </c>
      <c r="O101" s="11">
        <f>$B$3*$B$6*$B$5*COS(F101)</f>
        <v/>
      </c>
      <c r="P101" s="11">
        <f>N101+O101</f>
        <v/>
      </c>
      <c r="Q101" s="12">
        <f>ABS(P101-$P$3)</f>
        <v/>
      </c>
    </row>
    <row r="102">
      <c r="D102" s="13" t="n">
        <v>100</v>
      </c>
      <c r="E102" s="14" t="n">
        <v>0.9907076483202288</v>
      </c>
      <c r="F102" s="15" t="n">
        <v>1.513966266717686</v>
      </c>
      <c r="G102" s="16">
        <f>DEGREES(F102)</f>
        <v/>
      </c>
      <c r="H102" s="15" t="n">
        <v>1.22153330545868</v>
      </c>
      <c r="I102" s="16">
        <f>DEGREES(H102)</f>
        <v/>
      </c>
      <c r="J102" s="17" t="n">
        <v>0.8263666845459147</v>
      </c>
      <c r="K102" s="17" t="n">
        <v>0.2841503003860536</v>
      </c>
      <c r="L102" s="18">
        <f>$B$5*$B$3*$B$6*SIN(F102)</f>
        <v/>
      </c>
      <c r="M102" s="18">
        <f>$B$9*K102*(SIN(F102))^2 + $B$8*($B$10+K102*COS(F102))*COS(F102)</f>
        <v/>
      </c>
      <c r="N102" s="18">
        <f>0.5*$B$9*(J102^2 + (K102*SIN(F102))^2) + 0.5*$B$8*($B$10 + K102*COS(F102))^2</f>
        <v/>
      </c>
      <c r="O102" s="18">
        <f>$B$3*$B$6*$B$5*COS(F102)</f>
        <v/>
      </c>
      <c r="P102" s="18">
        <f>N102+O102</f>
        <v/>
      </c>
      <c r="Q102" s="19">
        <f>ABS(P102-$P$3)</f>
        <v/>
      </c>
    </row>
    <row r="103">
      <c r="D103" s="6" t="n">
        <v>101</v>
      </c>
      <c r="E103" s="7" t="n">
        <v>1.000714796283059</v>
      </c>
      <c r="F103" s="8" t="n">
        <v>1.521975363357523</v>
      </c>
      <c r="G103" s="9">
        <f>DEGREES(F103)</f>
        <v/>
      </c>
      <c r="H103" s="8" t="n">
        <v>1.224174279231921</v>
      </c>
      <c r="I103" s="9">
        <f>DEGREES(H103)</f>
        <v/>
      </c>
      <c r="J103" s="10" t="n">
        <v>0.7738895568265237</v>
      </c>
      <c r="K103" s="10" t="n">
        <v>0.2441048171868657</v>
      </c>
      <c r="L103" s="11">
        <f>$B$5*$B$3*$B$6*SIN(F103)</f>
        <v/>
      </c>
      <c r="M103" s="11">
        <f>$B$9*K103*(SIN(F103))^2 + $B$8*($B$10+K103*COS(F103))*COS(F103)</f>
        <v/>
      </c>
      <c r="N103" s="11">
        <f>0.5*$B$9*(J103^2 + (K103*SIN(F103))^2) + 0.5*$B$8*($B$10 + K103*COS(F103))^2</f>
        <v/>
      </c>
      <c r="O103" s="11">
        <f>$B$3*$B$6*$B$5*COS(F103)</f>
        <v/>
      </c>
      <c r="P103" s="11">
        <f>N103+O103</f>
        <v/>
      </c>
      <c r="Q103" s="12">
        <f>ABS(P103-$P$3)</f>
        <v/>
      </c>
    </row>
    <row r="104">
      <c r="D104" s="13" t="n">
        <v>102</v>
      </c>
      <c r="E104" s="14" t="n">
        <v>1.01072194424589</v>
      </c>
      <c r="F104" s="15" t="n">
        <v>1.529447015509284</v>
      </c>
      <c r="G104" s="16">
        <f>DEGREES(F104)</f>
        <v/>
      </c>
      <c r="H104" s="15" t="n">
        <v>1.226427856256056</v>
      </c>
      <c r="I104" s="16">
        <f>DEGREES(H104)</f>
        <v/>
      </c>
      <c r="J104" s="17" t="n">
        <v>0.718982676696738</v>
      </c>
      <c r="K104" s="17" t="n">
        <v>0.2067465564280649</v>
      </c>
      <c r="L104" s="18">
        <f>$B$5*$B$3*$B$6*SIN(F104)</f>
        <v/>
      </c>
      <c r="M104" s="18">
        <f>$B$9*K104*(SIN(F104))^2 + $B$8*($B$10+K104*COS(F104))*COS(F104)</f>
        <v/>
      </c>
      <c r="N104" s="18">
        <f>0.5*$B$9*(J104^2 + (K104*SIN(F104))^2) + 0.5*$B$8*($B$10 + K104*COS(F104))^2</f>
        <v/>
      </c>
      <c r="O104" s="18">
        <f>$B$3*$B$6*$B$5*COS(F104)</f>
        <v/>
      </c>
      <c r="P104" s="18">
        <f>N104+O104</f>
        <v/>
      </c>
      <c r="Q104" s="19">
        <f>ABS(P104-$P$3)</f>
        <v/>
      </c>
    </row>
    <row r="105">
      <c r="D105" s="6" t="n">
        <v>103</v>
      </c>
      <c r="E105" s="7" t="n">
        <v>1.020729092208721</v>
      </c>
      <c r="F105" s="8" t="n">
        <v>1.53635776470313</v>
      </c>
      <c r="G105" s="9">
        <f>DEGREES(F105)</f>
        <v/>
      </c>
      <c r="H105" s="8" t="n">
        <v>1.228321522038129</v>
      </c>
      <c r="I105" s="9">
        <f>DEGREES(H105)</f>
        <v/>
      </c>
      <c r="J105" s="10" t="n">
        <v>0.6618184332567398</v>
      </c>
      <c r="K105" s="10" t="n">
        <v>0.1721928104588319</v>
      </c>
      <c r="L105" s="11">
        <f>$B$5*$B$3*$B$6*SIN(F105)</f>
        <v/>
      </c>
      <c r="M105" s="11">
        <f>$B$9*K105*(SIN(F105))^2 + $B$8*($B$10+K105*COS(F105))*COS(F105)</f>
        <v/>
      </c>
      <c r="N105" s="11">
        <f>0.5*$B$9*(J105^2 + (K105*SIN(F105))^2) + 0.5*$B$8*($B$10 + K105*COS(F105))^2</f>
        <v/>
      </c>
      <c r="O105" s="11">
        <f>$B$3*$B$6*$B$5*COS(F105)</f>
        <v/>
      </c>
      <c r="P105" s="11">
        <f>N105+O105</f>
        <v/>
      </c>
      <c r="Q105" s="12">
        <f>ABS(P105-$P$3)</f>
        <v/>
      </c>
    </row>
    <row r="106">
      <c r="D106" s="13" t="n">
        <v>104</v>
      </c>
      <c r="E106" s="14" t="n">
        <v>1.030736240171551</v>
      </c>
      <c r="F106" s="15" t="n">
        <v>1.542685913515492</v>
      </c>
      <c r="G106" s="16">
        <f>DEGREES(F106)</f>
        <v/>
      </c>
      <c r="H106" s="15" t="n">
        <v>1.229883892085196</v>
      </c>
      <c r="I106" s="16">
        <f>DEGREES(H106)</f>
        <v/>
      </c>
      <c r="J106" s="17" t="n">
        <v>0.6025763029667851</v>
      </c>
      <c r="K106" s="17" t="n">
        <v>0.140552066397021</v>
      </c>
      <c r="L106" s="18">
        <f>$B$5*$B$3*$B$6*SIN(F106)</f>
        <v/>
      </c>
      <c r="M106" s="18">
        <f>$B$9*K106*(SIN(F106))^2 + $B$8*($B$10+K106*COS(F106))*COS(F106)</f>
        <v/>
      </c>
      <c r="N106" s="18">
        <f>0.5*$B$9*(J106^2 + (K106*SIN(F106))^2) + 0.5*$B$8*($B$10 + K106*COS(F106))^2</f>
        <v/>
      </c>
      <c r="O106" s="18">
        <f>$B$3*$B$6*$B$5*COS(F106)</f>
        <v/>
      </c>
      <c r="P106" s="18">
        <f>N106+O106</f>
        <v/>
      </c>
      <c r="Q106" s="19">
        <f>ABS(P106-$P$3)</f>
        <v/>
      </c>
    </row>
    <row r="107">
      <c r="D107" s="6" t="n">
        <v>105</v>
      </c>
      <c r="E107" s="7" t="n">
        <v>1.040743388134382</v>
      </c>
      <c r="F107" s="8" t="n">
        <v>1.548411593691663</v>
      </c>
      <c r="G107" s="9">
        <f>DEGREES(F107)</f>
        <v/>
      </c>
      <c r="H107" s="8" t="n">
        <v>1.231144622061276</v>
      </c>
      <c r="I107" s="9">
        <f>DEGREES(H107)</f>
        <v/>
      </c>
      <c r="J107" s="10" t="n">
        <v>0.5414422861515952</v>
      </c>
      <c r="K107" s="10" t="n">
        <v>0.1119236655161669</v>
      </c>
      <c r="L107" s="11">
        <f>$B$5*$B$3*$B$6*SIN(F107)</f>
        <v/>
      </c>
      <c r="M107" s="11">
        <f>$B$9*K107*(SIN(F107))^2 + $B$8*($B$10+K107*COS(F107))*COS(F107)</f>
        <v/>
      </c>
      <c r="N107" s="11">
        <f>0.5*$B$9*(J107^2 + (K107*SIN(F107))^2) + 0.5*$B$8*($B$10 + K107*COS(F107))^2</f>
        <v/>
      </c>
      <c r="O107" s="11">
        <f>$B$3*$B$6*$B$5*COS(F107)</f>
        <v/>
      </c>
      <c r="P107" s="11">
        <f>N107+O107</f>
        <v/>
      </c>
      <c r="Q107" s="12">
        <f>ABS(P107-$P$3)</f>
        <v/>
      </c>
    </row>
    <row r="108">
      <c r="D108" s="13" t="n">
        <v>106</v>
      </c>
      <c r="E108" s="14" t="n">
        <v>1.050750536097212</v>
      </c>
      <c r="F108" s="15" t="n">
        <v>1.553516828525423</v>
      </c>
      <c r="G108" s="16">
        <f>DEGREES(F108)</f>
        <v/>
      </c>
      <c r="H108" s="15" t="n">
        <v>1.232134314678557</v>
      </c>
      <c r="I108" s="16">
        <f>DEGREES(H108)</f>
        <v/>
      </c>
      <c r="J108" s="17" t="n">
        <v>0.4786083230220204</v>
      </c>
      <c r="K108" s="17" t="n">
        <v>0.0863974913473653</v>
      </c>
      <c r="L108" s="18">
        <f>$B$5*$B$3*$B$6*SIN(F108)</f>
        <v/>
      </c>
      <c r="M108" s="18">
        <f>$B$9*K108*(SIN(F108))^2 + $B$8*($B$10+K108*COS(F108))*COS(F108)</f>
        <v/>
      </c>
      <c r="N108" s="18">
        <f>0.5*$B$9*(J108^2 + (K108*SIN(F108))^2) + 0.5*$B$8*($B$10 + K108*COS(F108))^2</f>
        <v/>
      </c>
      <c r="O108" s="18">
        <f>$B$3*$B$6*$B$5*COS(F108)</f>
        <v/>
      </c>
      <c r="P108" s="18">
        <f>N108+O108</f>
        <v/>
      </c>
      <c r="Q108" s="19">
        <f>ABS(P108-$P$3)</f>
        <v/>
      </c>
    </row>
    <row r="109">
      <c r="D109" s="6" t="n">
        <v>107</v>
      </c>
      <c r="E109" s="7" t="n">
        <v>1.060757684060043</v>
      </c>
      <c r="F109" s="8" t="n">
        <v>1.557985589299841</v>
      </c>
      <c r="G109" s="9">
        <f>DEGREES(F109)</f>
        <v/>
      </c>
      <c r="H109" s="8" t="n">
        <v>1.232884423615197</v>
      </c>
      <c r="I109" s="9">
        <f>DEGREES(H109)</f>
        <v/>
      </c>
      <c r="J109" s="10" t="n">
        <v>0.4142716910474687</v>
      </c>
      <c r="K109" s="10" t="n">
        <v>0.06405368747527729</v>
      </c>
      <c r="L109" s="11">
        <f>$B$5*$B$3*$B$6*SIN(F109)</f>
        <v/>
      </c>
      <c r="M109" s="11">
        <f>$B$9*K109*(SIN(F109))^2 + $B$8*($B$10+K109*COS(F109))*COS(F109)</f>
        <v/>
      </c>
      <c r="N109" s="11">
        <f>0.5*$B$9*(J109^2 + (K109*SIN(F109))^2) + 0.5*$B$8*($B$10 + K109*COS(F109))^2</f>
        <v/>
      </c>
      <c r="O109" s="11">
        <f>$B$3*$B$6*$B$5*COS(F109)</f>
        <v/>
      </c>
      <c r="P109" s="11">
        <f>N109+O109</f>
        <v/>
      </c>
      <c r="Q109" s="12">
        <f>ABS(P109-$P$3)</f>
        <v/>
      </c>
    </row>
    <row r="110">
      <c r="D110" s="13" t="n">
        <v>108</v>
      </c>
      <c r="E110" s="14" t="n">
        <v>1.070764832022874</v>
      </c>
      <c r="F110" s="15" t="n">
        <v>1.561803845612041</v>
      </c>
      <c r="G110" s="16">
        <f>DEGREES(F110)</f>
        <v/>
      </c>
      <c r="H110" s="15" t="n">
        <v>1.233427154761373</v>
      </c>
      <c r="I110" s="16">
        <f>DEGREES(H110)</f>
        <v/>
      </c>
      <c r="J110" s="17" t="n">
        <v>0.3486343855711211</v>
      </c>
      <c r="K110" s="17" t="n">
        <v>0.04496240591427769</v>
      </c>
      <c r="L110" s="18">
        <f>$B$5*$B$3*$B$6*SIN(F110)</f>
        <v/>
      </c>
      <c r="M110" s="18">
        <f>$B$9*K110*(SIN(F110))^2 + $B$8*($B$10+K110*COS(F110))*COS(F110)</f>
        <v/>
      </c>
      <c r="N110" s="18">
        <f>0.5*$B$9*(J110^2 + (K110*SIN(F110))^2) + 0.5*$B$8*($B$10 + K110*COS(F110))^2</f>
        <v/>
      </c>
      <c r="O110" s="18">
        <f>$B$3*$B$6*$B$5*COS(F110)</f>
        <v/>
      </c>
      <c r="P110" s="18">
        <f>N110+O110</f>
        <v/>
      </c>
      <c r="Q110" s="19">
        <f>ABS(P110-$P$3)</f>
        <v/>
      </c>
    </row>
    <row r="111">
      <c r="D111" s="6" t="n">
        <v>109</v>
      </c>
      <c r="E111" s="7" t="n">
        <v>1.080771979985704</v>
      </c>
      <c r="F111" s="8" t="n">
        <v>1.564959609423942</v>
      </c>
      <c r="G111" s="9">
        <f>DEGREES(F111)</f>
        <v/>
      </c>
      <c r="H111" s="8" t="n">
        <v>1.233795365103636</v>
      </c>
      <c r="I111" s="9">
        <f>DEGREES(H111)</f>
        <v/>
      </c>
      <c r="J111" s="10" t="n">
        <v>0.2819024856126336</v>
      </c>
      <c r="K111" s="10" t="n">
        <v>0.02918358685477385</v>
      </c>
      <c r="L111" s="11">
        <f>$B$5*$B$3*$B$6*SIN(F111)</f>
        <v/>
      </c>
      <c r="M111" s="11">
        <f>$B$9*K111*(SIN(F111))^2 + $B$8*($B$10+K111*COS(F111))*COS(F111)</f>
        <v/>
      </c>
      <c r="N111" s="11">
        <f>0.5*$B$9*(J111^2 + (K111*SIN(F111))^2) + 0.5*$B$8*($B$10 + K111*COS(F111))^2</f>
        <v/>
      </c>
      <c r="O111" s="11">
        <f>$B$3*$B$6*$B$5*COS(F111)</f>
        <v/>
      </c>
      <c r="P111" s="11">
        <f>N111+O111</f>
        <v/>
      </c>
      <c r="Q111" s="12">
        <f>ABS(P111-$P$3)</f>
        <v/>
      </c>
    </row>
    <row r="112">
      <c r="D112" s="13" t="n">
        <v>110</v>
      </c>
      <c r="E112" s="14" t="n">
        <v>1.090779127948535</v>
      </c>
      <c r="F112" s="15" t="n">
        <v>1.567442972700655</v>
      </c>
      <c r="G112" s="16">
        <f>DEGREES(F112)</f>
        <v/>
      </c>
      <c r="H112" s="15" t="n">
        <v>1.23402245956505</v>
      </c>
      <c r="I112" s="16">
        <f>DEGREES(H112)</f>
        <v/>
      </c>
      <c r="J112" s="17" t="n">
        <v>0.2142855068494608</v>
      </c>
      <c r="K112" s="17" t="n">
        <v>0.01676677047120601</v>
      </c>
      <c r="L112" s="18">
        <f>$B$5*$B$3*$B$6*SIN(F112)</f>
        <v/>
      </c>
      <c r="M112" s="18">
        <f>$B$9*K112*(SIN(F112))^2 + $B$8*($B$10+K112*COS(F112))*COS(F112)</f>
        <v/>
      </c>
      <c r="N112" s="18">
        <f>0.5*$B$9*(J112^2 + (K112*SIN(F112))^2) + 0.5*$B$8*($B$10 + K112*COS(F112))^2</f>
        <v/>
      </c>
      <c r="O112" s="18">
        <f>$B$3*$B$6*$B$5*COS(F112)</f>
        <v/>
      </c>
      <c r="P112" s="18">
        <f>N112+O112</f>
        <v/>
      </c>
      <c r="Q112" s="19">
        <f>ABS(P112-$P$3)</f>
        <v/>
      </c>
    </row>
    <row r="113">
      <c r="D113" s="6" t="n">
        <v>111</v>
      </c>
      <c r="E113" s="7" t="n">
        <v>1.100786275911365</v>
      </c>
      <c r="F113" s="8" t="n">
        <v>1.569246138518377</v>
      </c>
      <c r="G113" s="9">
        <f>DEGREES(F113)</f>
        <v/>
      </c>
      <c r="H113" s="8" t="n">
        <v>1.234142286124989</v>
      </c>
      <c r="I113" s="9">
        <f>DEGREES(H113)</f>
        <v/>
      </c>
      <c r="J113" s="10" t="n">
        <v>0.1459957438082389</v>
      </c>
      <c r="K113" s="10" t="n">
        <v>0.007750941382596022</v>
      </c>
      <c r="L113" s="11">
        <f>$B$5*$B$3*$B$6*SIN(F113)</f>
        <v/>
      </c>
      <c r="M113" s="11">
        <f>$B$9*K113*(SIN(F113))^2 + $B$8*($B$10+K113*COS(F113))*COS(F113)</f>
        <v/>
      </c>
      <c r="N113" s="11">
        <f>0.5*$B$9*(J113^2 + (K113*SIN(F113))^2) + 0.5*$B$8*($B$10 + K113*COS(F113))^2</f>
        <v/>
      </c>
      <c r="O113" s="11">
        <f>$B$3*$B$6*$B$5*COS(F113)</f>
        <v/>
      </c>
      <c r="P113" s="11">
        <f>N113+O113</f>
        <v/>
      </c>
      <c r="Q113" s="12">
        <f>ABS(P113-$P$3)</f>
        <v/>
      </c>
    </row>
    <row r="114">
      <c r="D114" s="13" t="n">
        <v>112</v>
      </c>
      <c r="E114" s="14" t="n">
        <v>1.110793423874196</v>
      </c>
      <c r="F114" s="15" t="n">
        <v>1.570363445544101</v>
      </c>
      <c r="G114" s="16">
        <f>DEGREES(F114)</f>
        <v/>
      </c>
      <c r="H114" s="15" t="n">
        <v>1.234189029547889</v>
      </c>
      <c r="I114" s="16">
        <f>DEGREES(H114)</f>
        <v/>
      </c>
      <c r="J114" s="17" t="n">
        <v>0.07724760333150776</v>
      </c>
      <c r="K114" s="17" t="n">
        <v>0.002164406253979401</v>
      </c>
      <c r="L114" s="18">
        <f>$B$5*$B$3*$B$6*SIN(F114)</f>
        <v/>
      </c>
      <c r="M114" s="18">
        <f>$B$9*K114*(SIN(F114))^2 + $B$8*($B$10+K114*COS(F114))*COS(F114)</f>
        <v/>
      </c>
      <c r="N114" s="18">
        <f>0.5*$B$9*(J114^2 + (K114*SIN(F114))^2) + 0.5*$B$8*($B$10 + K114*COS(F114))^2</f>
        <v/>
      </c>
      <c r="O114" s="18">
        <f>$B$3*$B$6*$B$5*COS(F114)</f>
        <v/>
      </c>
      <c r="P114" s="18">
        <f>N114+O114</f>
        <v/>
      </c>
      <c r="Q114" s="19">
        <f>ABS(P114-$P$3)</f>
        <v/>
      </c>
    </row>
    <row r="115">
      <c r="D115" s="6" t="n">
        <v>113</v>
      </c>
      <c r="E115" s="7" t="n">
        <v>1.120800571837027</v>
      </c>
      <c r="F115" s="8" t="n">
        <v>1.570791385810293</v>
      </c>
      <c r="G115" s="9">
        <f>DEGREES(F115)</f>
        <v/>
      </c>
      <c r="H115" s="8" t="n">
        <v>1.234197104054608</v>
      </c>
      <c r="I115" s="9">
        <f>DEGREES(H115)</f>
        <v/>
      </c>
      <c r="J115" s="10" t="n">
        <v>0.008256931412483459</v>
      </c>
      <c r="K115" s="10" t="n">
        <v>2.470492301731575e-05</v>
      </c>
      <c r="L115" s="11">
        <f>$B$5*$B$3*$B$6*SIN(F115)</f>
        <v/>
      </c>
      <c r="M115" s="11">
        <f>$B$9*K115*(SIN(F115))^2 + $B$8*($B$10+K115*COS(F115))*COS(F115)</f>
        <v/>
      </c>
      <c r="N115" s="11">
        <f>0.5*$B$9*(J115^2 + (K115*SIN(F115))^2) + 0.5*$B$8*($B$10 + K115*COS(F115))^2</f>
        <v/>
      </c>
      <c r="O115" s="11">
        <f>$B$3*$B$6*$B$5*COS(F115)</f>
        <v/>
      </c>
      <c r="P115" s="11">
        <f>N115+O115</f>
        <v/>
      </c>
      <c r="Q115" s="12">
        <f>ABS(P115-$P$3)</f>
        <v/>
      </c>
    </row>
    <row r="116">
      <c r="D116" s="13" t="n">
        <v>114</v>
      </c>
      <c r="E116" s="14" t="n">
        <v>1.130807719799857</v>
      </c>
      <c r="F116" s="15" t="n">
        <v>1.570528615728733</v>
      </c>
      <c r="G116" s="16">
        <f>DEGREES(F116)</f>
        <v/>
      </c>
      <c r="H116" s="15" t="n">
        <v>1.234201045273367</v>
      </c>
      <c r="I116" s="16">
        <f>DEGREES(H116)</f>
        <v/>
      </c>
      <c r="J116" s="17" t="n">
        <v>-0.06075966448861831</v>
      </c>
      <c r="K116" s="17" t="n">
        <v>0.001338555330817393</v>
      </c>
      <c r="L116" s="18">
        <f>$B$5*$B$3*$B$6*SIN(F116)</f>
        <v/>
      </c>
      <c r="M116" s="18">
        <f>$B$9*K116*(SIN(F116))^2 + $B$8*($B$10+K116*COS(F116))*COS(F116)</f>
        <v/>
      </c>
      <c r="N116" s="18">
        <f>0.5*$B$9*(J116^2 + (K116*SIN(F116))^2) + 0.5*$B$8*($B$10 + K116*COS(F116))^2</f>
        <v/>
      </c>
      <c r="O116" s="18">
        <f>$B$3*$B$6*$B$5*COS(F116)</f>
        <v/>
      </c>
      <c r="P116" s="18">
        <f>N116+O116</f>
        <v/>
      </c>
      <c r="Q116" s="19">
        <f>ABS(P116-$P$3)</f>
        <v/>
      </c>
    </row>
    <row r="117">
      <c r="D117" s="6" t="n">
        <v>115</v>
      </c>
      <c r="E117" s="7" t="n">
        <v>1.140814867762688</v>
      </c>
      <c r="F117" s="8" t="n">
        <v>1.569575960308924</v>
      </c>
      <c r="G117" s="9">
        <f>DEGREES(F117)</f>
        <v/>
      </c>
      <c r="H117" s="8" t="n">
        <v>1.234235401809521</v>
      </c>
      <c r="I117" s="9">
        <f>DEGREES(H117)</f>
        <v/>
      </c>
      <c r="J117" s="10" t="n">
        <v>-0.1295854955190176</v>
      </c>
      <c r="K117" s="10" t="n">
        <v>0.006101832429862064</v>
      </c>
      <c r="L117" s="11">
        <f>$B$5*$B$3*$B$6*SIN(F117)</f>
        <v/>
      </c>
      <c r="M117" s="11">
        <f>$B$9*K117*(SIN(F117))^2 + $B$8*($B$10+K117*COS(F117))*COS(F117)</f>
        <v/>
      </c>
      <c r="N117" s="11">
        <f>0.5*$B$9*(J117^2 + (K117*SIN(F117))^2) + 0.5*$B$8*($B$10 + K117*COS(F117))^2</f>
        <v/>
      </c>
      <c r="O117" s="11">
        <f>$B$3*$B$6*$B$5*COS(F117)</f>
        <v/>
      </c>
      <c r="P117" s="11">
        <f>N117+O117</f>
        <v/>
      </c>
      <c r="Q117" s="12">
        <f>ABS(P117-$P$3)</f>
        <v/>
      </c>
    </row>
    <row r="118">
      <c r="D118" s="13" t="n">
        <v>116</v>
      </c>
      <c r="E118" s="14" t="n">
        <v>1.150822015725518</v>
      </c>
      <c r="F118" s="15" t="n">
        <v>1.567936410567843</v>
      </c>
      <c r="G118" s="16">
        <f>DEGREES(F118)</f>
        <v/>
      </c>
      <c r="H118" s="15" t="n">
        <v>1.234334626774578</v>
      </c>
      <c r="I118" s="16">
        <f>DEGREES(H118)</f>
        <v/>
      </c>
      <c r="J118" s="17" t="n">
        <v>-0.1980044717633404</v>
      </c>
      <c r="K118" s="17" t="n">
        <v>0.01429958113526775</v>
      </c>
      <c r="L118" s="18">
        <f>$B$5*$B$3*$B$6*SIN(F118)</f>
        <v/>
      </c>
      <c r="M118" s="18">
        <f>$B$9*K118*(SIN(F118))^2 + $B$8*($B$10+K118*COS(F118))*COS(F118)</f>
        <v/>
      </c>
      <c r="N118" s="18">
        <f>0.5*$B$9*(J118^2 + (K118*SIN(F118))^2) + 0.5*$B$8*($B$10 + K118*COS(F118))^2</f>
        <v/>
      </c>
      <c r="O118" s="18">
        <f>$B$3*$B$6*$B$5*COS(F118)</f>
        <v/>
      </c>
      <c r="P118" s="18">
        <f>N118+O118</f>
        <v/>
      </c>
      <c r="Q118" s="19">
        <f>ABS(P118-$P$3)</f>
        <v/>
      </c>
    </row>
    <row r="119">
      <c r="D119" s="6" t="n">
        <v>117</v>
      </c>
      <c r="E119" s="7" t="n">
        <v>1.160829163688349</v>
      </c>
      <c r="F119" s="8" t="n">
        <v>1.565615114139154</v>
      </c>
      <c r="G119" s="9">
        <f>DEGREES(F119)</f>
        <v/>
      </c>
      <c r="H119" s="8" t="n">
        <v>1.234532969615039</v>
      </c>
      <c r="I119" s="9">
        <f>DEGREES(H119)</f>
        <v/>
      </c>
      <c r="J119" s="10" t="n">
        <v>-0.2658017806931343</v>
      </c>
      <c r="K119" s="10" t="n">
        <v>0.02590606327871203</v>
      </c>
      <c r="L119" s="11">
        <f>$B$5*$B$3*$B$6*SIN(F119)</f>
        <v/>
      </c>
      <c r="M119" s="11">
        <f>$B$9*K119*(SIN(F119))^2 + $B$8*($B$10+K119*COS(F119))*COS(F119)</f>
        <v/>
      </c>
      <c r="N119" s="11">
        <f>0.5*$B$9*(J119^2 + (K119*SIN(F119))^2) + 0.5*$B$8*($B$10 + K119*COS(F119))^2</f>
        <v/>
      </c>
      <c r="O119" s="11">
        <f>$B$3*$B$6*$B$5*COS(F119)</f>
        <v/>
      </c>
      <c r="P119" s="11">
        <f>N119+O119</f>
        <v/>
      </c>
      <c r="Q119" s="12">
        <f>ABS(P119-$P$3)</f>
        <v/>
      </c>
    </row>
    <row r="120">
      <c r="D120" s="13" t="n">
        <v>118</v>
      </c>
      <c r="E120" s="14" t="n">
        <v>1.17083631165118</v>
      </c>
      <c r="F120" s="15" t="n">
        <v>1.562619359111375</v>
      </c>
      <c r="G120" s="16">
        <f>DEGREES(F120)</f>
        <v/>
      </c>
      <c r="H120" s="15" t="n">
        <v>1.234864368580677</v>
      </c>
      <c r="I120" s="16">
        <f>DEGREES(H120)</f>
        <v/>
      </c>
      <c r="J120" s="17" t="n">
        <v>-0.3327645616058085</v>
      </c>
      <c r="K120" s="17" t="n">
        <v>0.04088483841760748</v>
      </c>
      <c r="L120" s="18">
        <f>$B$5*$B$3*$B$6*SIN(F120)</f>
        <v/>
      </c>
      <c r="M120" s="18">
        <f>$B$9*K120*(SIN(F120))^2 + $B$8*($B$10+K120*COS(F120))*COS(F120)</f>
        <v/>
      </c>
      <c r="N120" s="18">
        <f>0.5*$B$9*(J120^2 + (K120*SIN(F120))^2) + 0.5*$B$8*($B$10 + K120*COS(F120))^2</f>
        <v/>
      </c>
      <c r="O120" s="18">
        <f>$B$3*$B$6*$B$5*COS(F120)</f>
        <v/>
      </c>
      <c r="P120" s="18">
        <f>N120+O120</f>
        <v/>
      </c>
      <c r="Q120" s="19">
        <f>ABS(P120-$P$3)</f>
        <v/>
      </c>
    </row>
    <row r="121">
      <c r="D121" s="6" t="n">
        <v>119</v>
      </c>
      <c r="E121" s="7" t="n">
        <v>1.18084345961401</v>
      </c>
      <c r="F121" s="8" t="n">
        <v>1.558958551145734</v>
      </c>
      <c r="G121" s="9">
        <f>DEGREES(F121)</f>
        <v/>
      </c>
      <c r="H121" s="8" t="n">
        <v>1.235362344169876</v>
      </c>
      <c r="I121" s="9">
        <f>DEGREES(H121)</f>
        <v/>
      </c>
      <c r="J121" s="10" t="n">
        <v>-0.3986825739355195</v>
      </c>
      <c r="K121" s="10" t="n">
        <v>0.05918887824581232</v>
      </c>
      <c r="L121" s="11">
        <f>$B$5*$B$3*$B$6*SIN(F121)</f>
        <v/>
      </c>
      <c r="M121" s="11">
        <f>$B$9*K121*(SIN(F121))^2 + $B$8*($B$10+K121*COS(F121))*COS(F121)</f>
        <v/>
      </c>
      <c r="N121" s="11">
        <f>0.5*$B$9*(J121^2 + (K121*SIN(F121))^2) + 0.5*$B$8*($B$10 + K121*COS(F121))^2</f>
        <v/>
      </c>
      <c r="O121" s="11">
        <f>$B$3*$B$6*$B$5*COS(F121)</f>
        <v/>
      </c>
      <c r="P121" s="11">
        <f>N121+O121</f>
        <v/>
      </c>
      <c r="Q121" s="12">
        <f>ABS(P121-$P$3)</f>
        <v/>
      </c>
    </row>
    <row r="122">
      <c r="D122" s="13" t="n">
        <v>120</v>
      </c>
      <c r="E122" s="14" t="n">
        <v>1.190850607576841</v>
      </c>
      <c r="F122" s="15" t="n">
        <v>1.554644183945564</v>
      </c>
      <c r="G122" s="16">
        <f>DEGREES(F122)</f>
        <v/>
      </c>
      <c r="H122" s="15" t="n">
        <v>1.236059893886551</v>
      </c>
      <c r="I122" s="16">
        <f>DEGREES(H122)</f>
        <v/>
      </c>
      <c r="J122" s="17" t="n">
        <v>-0.4633488573376887</v>
      </c>
      <c r="K122" s="17" t="n">
        <v>0.08076071424666242</v>
      </c>
      <c r="L122" s="18">
        <f>$B$5*$B$3*$B$6*SIN(F122)</f>
        <v/>
      </c>
      <c r="M122" s="18">
        <f>$B$9*K122*(SIN(F122))^2 + $B$8*($B$10+K122*COS(F122))*COS(F122)</f>
        <v/>
      </c>
      <c r="N122" s="18">
        <f>0.5*$B$9*(J122^2 + (K122*SIN(F122))^2) + 0.5*$B$8*($B$10 + K122*COS(F122))^2</f>
        <v/>
      </c>
      <c r="O122" s="18">
        <f>$B$3*$B$6*$B$5*COS(F122)</f>
        <v/>
      </c>
      <c r="P122" s="18">
        <f>N122+O122</f>
        <v/>
      </c>
      <c r="Q122" s="19">
        <f>ABS(P122-$P$3)</f>
        <v/>
      </c>
    </row>
    <row r="123">
      <c r="D123" s="6" t="n">
        <v>121</v>
      </c>
      <c r="E123" s="7" t="n">
        <v>1.200857755539671</v>
      </c>
      <c r="F123" s="8" t="n">
        <v>1.549689803169947</v>
      </c>
      <c r="G123" s="9">
        <f>DEGREES(F123)</f>
        <v/>
      </c>
      <c r="H123" s="8" t="n">
        <v>1.23698938863912</v>
      </c>
      <c r="I123" s="9">
        <f>DEGREES(H123)</f>
        <v/>
      </c>
      <c r="J123" s="10" t="n">
        <v>-0.5265603814747428</v>
      </c>
      <c r="K123" s="10" t="n">
        <v>0.1055326181247482</v>
      </c>
      <c r="L123" s="11">
        <f>$B$5*$B$3*$B$6*SIN(F123)</f>
        <v/>
      </c>
      <c r="M123" s="11">
        <f>$B$9*K123*(SIN(F123))^2 + $B$8*($B$10+K123*COS(F123))*COS(F123)</f>
        <v/>
      </c>
      <c r="N123" s="11">
        <f>0.5*$B$9*(J123^2 + (K123*SIN(F123))^2) + 0.5*$B$8*($B$10 + K123*COS(F123))^2</f>
        <v/>
      </c>
      <c r="O123" s="11">
        <f>$B$3*$B$6*$B$5*COS(F123)</f>
        <v/>
      </c>
      <c r="P123" s="11">
        <f>N123+O123</f>
        <v/>
      </c>
      <c r="Q123" s="12">
        <f>ABS(P123-$P$3)</f>
        <v/>
      </c>
    </row>
    <row r="124">
      <c r="D124" s="13" t="n">
        <v>122</v>
      </c>
      <c r="E124" s="14" t="n">
        <v>1.210864903502502</v>
      </c>
      <c r="F124" s="15" t="n">
        <v>1.54411096390491</v>
      </c>
      <c r="G124" s="16">
        <f>DEGREES(F124)</f>
        <v/>
      </c>
      <c r="H124" s="15" t="n">
        <v>1.238182471106746</v>
      </c>
      <c r="I124" s="16">
        <f>DEGREES(H124)</f>
        <v/>
      </c>
      <c r="J124" s="17" t="n">
        <v>-0.5881186834629495</v>
      </c>
      <c r="K124" s="17" t="n">
        <v>0.1334268144499353</v>
      </c>
      <c r="L124" s="18">
        <f>$B$5*$B$3*$B$6*SIN(F124)</f>
        <v/>
      </c>
      <c r="M124" s="18">
        <f>$B$9*K124*(SIN(F124))^2 + $B$8*($B$10+K124*COS(F124))*COS(F124)</f>
        <v/>
      </c>
      <c r="N124" s="18">
        <f>0.5*$B$9*(J124^2 + (K124*SIN(F124))^2) + 0.5*$B$8*($B$10 + K124*COS(F124))^2</f>
        <v/>
      </c>
      <c r="O124" s="18">
        <f>$B$3*$B$6*$B$5*COS(F124)</f>
        <v/>
      </c>
      <c r="P124" s="18">
        <f>N124+O124</f>
        <v/>
      </c>
      <c r="Q124" s="19">
        <f>ABS(P124-$P$3)</f>
        <v/>
      </c>
    </row>
    <row r="125">
      <c r="D125" s="6" t="n">
        <v>123</v>
      </c>
      <c r="E125" s="7" t="n">
        <v>1.220872051465332</v>
      </c>
      <c r="F125" s="8" t="n">
        <v>1.537925181825695</v>
      </c>
      <c r="G125" s="9">
        <f>DEGREES(F125)</f>
        <v/>
      </c>
      <c r="H125" s="8" t="n">
        <v>1.239669956392</v>
      </c>
      <c r="I125" s="9">
        <f>DEGREES(H125)</f>
        <v/>
      </c>
      <c r="J125" s="10" t="n">
        <v>-0.6478304909789963</v>
      </c>
      <c r="K125" s="10" t="n">
        <v>0.1643557248460087</v>
      </c>
      <c r="L125" s="11">
        <f>$B$5*$B$3*$B$6*SIN(F125)</f>
        <v/>
      </c>
      <c r="M125" s="11">
        <f>$B$9*K125*(SIN(F125))^2 + $B$8*($B$10+K125*COS(F125))*COS(F125)</f>
        <v/>
      </c>
      <c r="N125" s="11">
        <f>0.5*$B$9*(J125^2 + (K125*SIN(F125))^2) + 0.5*$B$8*($B$10 + K125*COS(F125))^2</f>
        <v/>
      </c>
      <c r="O125" s="11">
        <f>$B$3*$B$6*$B$5*COS(F125)</f>
        <v/>
      </c>
      <c r="P125" s="11">
        <f>N125+O125</f>
        <v/>
      </c>
      <c r="Q125" s="12">
        <f>ABS(P125-$P$3)</f>
        <v/>
      </c>
    </row>
    <row r="126">
      <c r="D126" s="13" t="n">
        <v>124</v>
      </c>
      <c r="E126" s="14" t="n">
        <v>1.230879199428163</v>
      </c>
      <c r="F126" s="15" t="n">
        <v>1.531151878203445</v>
      </c>
      <c r="G126" s="16">
        <f>DEGREES(F126)</f>
        <v/>
      </c>
      <c r="H126" s="15" t="n">
        <v>1.241481735271816</v>
      </c>
      <c r="I126" s="16">
        <f>DEGREES(H126)</f>
        <v/>
      </c>
      <c r="J126" s="17" t="n">
        <v>-0.7055083290699524</v>
      </c>
      <c r="K126" s="17" t="n">
        <v>0.1982222429572587</v>
      </c>
      <c r="L126" s="18">
        <f>$B$5*$B$3*$B$6*SIN(F126)</f>
        <v/>
      </c>
      <c r="M126" s="18">
        <f>$B$9*K126*(SIN(F126))^2 + $B$8*($B$10+K126*COS(F126))*COS(F126)</f>
        <v/>
      </c>
      <c r="N126" s="18">
        <f>0.5*$B$9*(J126^2 + (K126*SIN(F126))^2) + 0.5*$B$8*($B$10 + K126*COS(F126))^2</f>
        <v/>
      </c>
      <c r="O126" s="18">
        <f>$B$3*$B$6*$B$5*COS(F126)</f>
        <v/>
      </c>
      <c r="P126" s="18">
        <f>N126+O126</f>
        <v/>
      </c>
      <c r="Q126" s="19">
        <f>ABS(P126-$P$3)</f>
        <v/>
      </c>
    </row>
    <row r="127">
      <c r="D127" s="6" t="n">
        <v>125</v>
      </c>
      <c r="E127" s="7" t="n">
        <v>1.240886347390994</v>
      </c>
      <c r="F127" s="8" t="n">
        <v>1.523812318928954</v>
      </c>
      <c r="G127" s="9">
        <f>DEGREES(F127)</f>
        <v/>
      </c>
      <c r="H127" s="8" t="n">
        <v>1.243646680350528</v>
      </c>
      <c r="I127" s="9">
        <f>DEGREES(H127)</f>
        <v/>
      </c>
      <c r="J127" s="10" t="n">
        <v>-0.7609711087614359</v>
      </c>
      <c r="K127" s="10" t="n">
        <v>0.234920039329711</v>
      </c>
      <c r="L127" s="11">
        <f>$B$5*$B$3*$B$6*SIN(F127)</f>
        <v/>
      </c>
      <c r="M127" s="11">
        <f>$B$9*K127*(SIN(F127))^2 + $B$8*($B$10+K127*COS(F127))*COS(F127)</f>
        <v/>
      </c>
      <c r="N127" s="11">
        <f>0.5*$B$9*(J127^2 + (K127*SIN(F127))^2) + 0.5*$B$8*($B$10 + K127*COS(F127))^2</f>
        <v/>
      </c>
      <c r="O127" s="11">
        <f>$B$3*$B$6*$B$5*COS(F127)</f>
        <v/>
      </c>
      <c r="P127" s="11">
        <f>N127+O127</f>
        <v/>
      </c>
      <c r="Q127" s="12">
        <f>ABS(P127-$P$3)</f>
        <v/>
      </c>
    </row>
    <row r="128">
      <c r="D128" s="13" t="n">
        <v>126</v>
      </c>
      <c r="E128" s="14" t="n">
        <v>1.250893495353824</v>
      </c>
      <c r="F128" s="15" t="n">
        <v>1.51592954774494</v>
      </c>
      <c r="G128" s="16">
        <f>DEGREES(F128)</f>
        <v/>
      </c>
      <c r="H128" s="15" t="n">
        <v>1.246192555409619</v>
      </c>
      <c r="I128" s="16">
        <f>DEGREES(H128)</f>
        <v/>
      </c>
      <c r="J128" s="17" t="n">
        <v>-0.8140446956159769</v>
      </c>
      <c r="K128" s="17" t="n">
        <v>0.2743338952497836</v>
      </c>
      <c r="L128" s="18">
        <f>$B$5*$B$3*$B$6*SIN(F128)</f>
        <v/>
      </c>
      <c r="M128" s="18">
        <f>$B$9*K128*(SIN(F128))^2 + $B$8*($B$10+K128*COS(F128))*COS(F128)</f>
        <v/>
      </c>
      <c r="N128" s="18">
        <f>0.5*$B$9*(J128^2 + (K128*SIN(F128))^2) + 0.5*$B$8*($B$10 + K128*COS(F128))^2</f>
        <v/>
      </c>
      <c r="O128" s="18">
        <f>$B$3*$B$6*$B$5*COS(F128)</f>
        <v/>
      </c>
      <c r="P128" s="18">
        <f>N128+O128</f>
        <v/>
      </c>
      <c r="Q128" s="19">
        <f>ABS(P128-$P$3)</f>
        <v/>
      </c>
    </row>
    <row r="129">
      <c r="D129" s="6" t="n">
        <v>127</v>
      </c>
      <c r="E129" s="7" t="n">
        <v>1.260900643316655</v>
      </c>
      <c r="F129" s="8" t="n">
        <v>1.507528313896453</v>
      </c>
      <c r="G129" s="9">
        <f>DEGREES(F129)</f>
        <v/>
      </c>
      <c r="H129" s="8" t="n">
        <v>1.249145928238808</v>
      </c>
      <c r="I129" s="9">
        <f>DEGREES(H129)</f>
        <v/>
      </c>
      <c r="J129" s="10" t="n">
        <v>-0.8645624564564648</v>
      </c>
      <c r="K129" s="10" t="n">
        <v>0.3163400644922186</v>
      </c>
      <c r="L129" s="11">
        <f>$B$5*$B$3*$B$6*SIN(F129)</f>
        <v/>
      </c>
      <c r="M129" s="11">
        <f>$B$9*K129*(SIN(F129))^2 + $B$8*($B$10+K129*COS(F129))*COS(F129)</f>
        <v/>
      </c>
      <c r="N129" s="11">
        <f>0.5*$B$9*(J129^2 + (K129*SIN(F129))^2) + 0.5*$B$8*($B$10 + K129*COS(F129))^2</f>
        <v/>
      </c>
      <c r="O129" s="11">
        <f>$B$3*$B$6*$B$5*COS(F129)</f>
        <v/>
      </c>
      <c r="P129" s="11">
        <f>N129+O129</f>
        <v/>
      </c>
      <c r="Q129" s="12">
        <f>ABS(P129-$P$3)</f>
        <v/>
      </c>
    </row>
    <row r="130">
      <c r="D130" s="13" t="n">
        <v>128</v>
      </c>
      <c r="E130" s="14" t="n">
        <v>1.270907791279485</v>
      </c>
      <c r="F130" s="15" t="n">
        <v>1.498634994426591</v>
      </c>
      <c r="G130" s="16">
        <f>DEGREES(F130)</f>
        <v/>
      </c>
      <c r="H130" s="15" t="n">
        <v>1.25253208722214</v>
      </c>
      <c r="I130" s="16">
        <f>DEGREES(H130)</f>
        <v/>
      </c>
      <c r="J130" s="17" t="n">
        <v>-0.9123657825381672</v>
      </c>
      <c r="K130" s="17" t="n">
        <v>0.3608066618415261</v>
      </c>
      <c r="L130" s="18">
        <f>$B$5*$B$3*$B$6*SIN(F130)</f>
        <v/>
      </c>
      <c r="M130" s="18">
        <f>$B$9*K130*(SIN(F130))^2 + $B$8*($B$10+K130*COS(F130))*COS(F130)</f>
        <v/>
      </c>
      <c r="N130" s="18">
        <f>0.5*$B$9*(J130^2 + (K130*SIN(F130))^2) + 0.5*$B$8*($B$10 + K130*COS(F130))^2</f>
        <v/>
      </c>
      <c r="O130" s="18">
        <f>$B$3*$B$6*$B$5*COS(F130)</f>
        <v/>
      </c>
      <c r="P130" s="18">
        <f>N130+O130</f>
        <v/>
      </c>
      <c r="Q130" s="19">
        <f>ABS(P130-$P$3)</f>
        <v/>
      </c>
    </row>
    <row r="131">
      <c r="D131" s="6" t="n">
        <v>129</v>
      </c>
      <c r="E131" s="7" t="n">
        <v>1.280914939242316</v>
      </c>
      <c r="F131" s="8" t="n">
        <v>1.489277511361474</v>
      </c>
      <c r="G131" s="9">
        <f>DEGREES(F131)</f>
        <v/>
      </c>
      <c r="H131" s="8" t="n">
        <v>1.256374961940984</v>
      </c>
      <c r="I131" s="9">
        <f>DEGREES(H131)</f>
        <v/>
      </c>
      <c r="J131" s="10" t="n">
        <v>-0.9573045875267365</v>
      </c>
      <c r="K131" s="10" t="n">
        <v>0.4075940771671122</v>
      </c>
      <c r="L131" s="11">
        <f>$B$5*$B$3*$B$6*SIN(F131)</f>
        <v/>
      </c>
      <c r="M131" s="11">
        <f>$B$9*K131*(SIN(F131))^2 + $B$8*($B$10+K131*COS(F131))*COS(F131)</f>
        <v/>
      </c>
      <c r="N131" s="11">
        <f>0.5*$B$9*(J131^2 + (K131*SIN(F131))^2) + 0.5*$B$8*($B$10 + K131*COS(F131))^2</f>
        <v/>
      </c>
      <c r="O131" s="11">
        <f>$B$3*$B$6*$B$5*COS(F131)</f>
        <v/>
      </c>
      <c r="P131" s="11">
        <f>N131+O131</f>
        <v/>
      </c>
      <c r="Q131" s="12">
        <f>ABS(P131-$P$3)</f>
        <v/>
      </c>
    </row>
    <row r="132">
      <c r="D132" s="13" t="n">
        <v>130</v>
      </c>
      <c r="E132" s="14" t="n">
        <v>1.290922087205147</v>
      </c>
      <c r="F132" s="15" t="n">
        <v>1.479485244044487</v>
      </c>
      <c r="G132" s="16">
        <f>DEGREES(F132)</f>
        <v/>
      </c>
      <c r="H132" s="15" t="n">
        <v>1.260697048043211</v>
      </c>
      <c r="I132" s="16">
        <f>DEGREES(H132)</f>
        <v/>
      </c>
      <c r="J132" s="17" t="n">
        <v>-0.9992377787187283</v>
      </c>
      <c r="K132" s="17" t="n">
        <v>0.4565554137520492</v>
      </c>
      <c r="L132" s="18">
        <f>$B$5*$B$3*$B$6*SIN(F132)</f>
        <v/>
      </c>
      <c r="M132" s="18">
        <f>$B$9*K132*(SIN(F132))^2 + $B$8*($B$10+K132*COS(F132))*COS(F132)</f>
        <v/>
      </c>
      <c r="N132" s="18">
        <f>0.5*$B$9*(J132^2 + (K132*SIN(F132))^2) + 0.5*$B$8*($B$10 + K132*COS(F132))^2</f>
        <v/>
      </c>
      <c r="O132" s="18">
        <f>$B$3*$B$6*$B$5*COS(F132)</f>
        <v/>
      </c>
      <c r="P132" s="18">
        <f>N132+O132</f>
        <v/>
      </c>
      <c r="Q132" s="19">
        <f>ABS(P132-$P$3)</f>
        <v/>
      </c>
    </row>
    <row r="133">
      <c r="D133" s="6" t="n">
        <v>131</v>
      </c>
      <c r="E133" s="7" t="n">
        <v>1.300929235167977</v>
      </c>
      <c r="F133" s="8" t="n">
        <v>1.469288936895045</v>
      </c>
      <c r="G133" s="9">
        <f>DEGREES(F133)</f>
        <v/>
      </c>
      <c r="H133" s="8" t="n">
        <v>1.265519336614441</v>
      </c>
      <c r="I133" s="9">
        <f>DEGREES(H133)</f>
        <v/>
      </c>
      <c r="J133" s="10" t="n">
        <v>-1.038033700025137</v>
      </c>
      <c r="K133" s="10" t="n">
        <v>0.5075369494992584</v>
      </c>
      <c r="L133" s="11">
        <f>$B$5*$B$3*$B$6*SIN(F133)</f>
        <v/>
      </c>
      <c r="M133" s="11">
        <f>$B$9*K133*(SIN(F133))^2 + $B$8*($B$10+K133*COS(F133))*COS(F133)</f>
        <v/>
      </c>
      <c r="N133" s="11">
        <f>0.5*$B$9*(J133^2 + (K133*SIN(F133))^2) + 0.5*$B$8*($B$10 + K133*COS(F133))^2</f>
        <v/>
      </c>
      <c r="O133" s="11">
        <f>$B$3*$B$6*$B$5*COS(F133)</f>
        <v/>
      </c>
      <c r="P133" s="11">
        <f>N133+O133</f>
        <v/>
      </c>
      <c r="Q133" s="12">
        <f>ABS(P133-$P$3)</f>
        <v/>
      </c>
    </row>
    <row r="134">
      <c r="D134" s="13" t="n">
        <v>132</v>
      </c>
      <c r="E134" s="14" t="n">
        <v>1.310936383130808</v>
      </c>
      <c r="F134" s="15" t="n">
        <v>1.458720602881479</v>
      </c>
      <c r="G134" s="16">
        <f>DEGREES(F134)</f>
        <v/>
      </c>
      <c r="H134" s="15" t="n">
        <v>1.270861248273106</v>
      </c>
      <c r="I134" s="16">
        <f>DEGREES(H134)</f>
        <v/>
      </c>
      <c r="J134" s="17" t="n">
        <v>-1.073570545327148</v>
      </c>
      <c r="K134" s="17" t="n">
        <v>0.5603786195670888</v>
      </c>
      <c r="L134" s="18">
        <f>$B$5*$B$3*$B$6*SIN(F134)</f>
        <v/>
      </c>
      <c r="M134" s="18">
        <f>$B$9*K134*(SIN(F134))^2 + $B$8*($B$10+K134*COS(F134))*COS(F134)</f>
        <v/>
      </c>
      <c r="N134" s="18">
        <f>0.5*$B$9*(J134^2 + (K134*SIN(F134))^2) + 0.5*$B$8*($B$10 + K134*COS(F134))^2</f>
        <v/>
      </c>
      <c r="O134" s="18">
        <f>$B$3*$B$6*$B$5*COS(F134)</f>
        <v/>
      </c>
      <c r="P134" s="18">
        <f>N134+O134</f>
        <v/>
      </c>
      <c r="Q134" s="19">
        <f>ABS(P134-$P$3)</f>
        <v/>
      </c>
    </row>
    <row r="135">
      <c r="D135" s="6" t="n">
        <v>133</v>
      </c>
      <c r="E135" s="7" t="n">
        <v>1.320943531093638</v>
      </c>
      <c r="F135" s="8" t="n">
        <v>1.4478134230111</v>
      </c>
      <c r="G135" s="9">
        <f>DEGREES(F135)</f>
        <v/>
      </c>
      <c r="H135" s="8" t="n">
        <v>1.276740572196257</v>
      </c>
      <c r="I135" s="9">
        <f>DEGREES(H135)</f>
        <v/>
      </c>
      <c r="J135" s="10" t="n">
        <v>-1.105736740906304</v>
      </c>
      <c r="K135" s="10" t="n">
        <v>0.6149145189189842</v>
      </c>
      <c r="L135" s="11">
        <f>$B$5*$B$3*$B$6*SIN(F135)</f>
        <v/>
      </c>
      <c r="M135" s="11">
        <f>$B$9*K135*(SIN(F135))^2 + $B$8*($B$10+K135*COS(F135))*COS(F135)</f>
        <v/>
      </c>
      <c r="N135" s="11">
        <f>0.5*$B$9*(J135^2 + (K135*SIN(F135))^2) + 0.5*$B$8*($B$10 + K135*COS(F135))^2</f>
        <v/>
      </c>
      <c r="O135" s="11">
        <f>$B$3*$B$6*$B$5*COS(F135)</f>
        <v/>
      </c>
      <c r="P135" s="11">
        <f>N135+O135</f>
        <v/>
      </c>
      <c r="Q135" s="12">
        <f>ABS(P135-$P$3)</f>
        <v/>
      </c>
    </row>
    <row r="136">
      <c r="D136" s="13" t="n">
        <v>134</v>
      </c>
      <c r="E136" s="14" t="n">
        <v>1.330950679056469</v>
      </c>
      <c r="F136" s="15" t="n">
        <v>1.43660164215302</v>
      </c>
      <c r="G136" s="16">
        <f>DEGREES(F136)</f>
        <v/>
      </c>
      <c r="H136" s="15" t="n">
        <v>1.28317341026754</v>
      </c>
      <c r="I136" s="16">
        <f>DEGREES(H136)</f>
        <v/>
      </c>
      <c r="J136" s="17" t="n">
        <v>-1.13443129574838</v>
      </c>
      <c r="K136" s="17" t="n">
        <v>0.6709734232093842</v>
      </c>
      <c r="L136" s="18">
        <f>$B$5*$B$3*$B$6*SIN(F136)</f>
        <v/>
      </c>
      <c r="M136" s="18">
        <f>$B$9*K136*(SIN(F136))^2 + $B$8*($B$10+K136*COS(F136))*COS(F136)</f>
        <v/>
      </c>
      <c r="N136" s="18">
        <f>0.5*$B$9*(J136^2 + (K136*SIN(F136))^2) + 0.5*$B$8*($B$10 + K136*COS(F136))^2</f>
        <v/>
      </c>
      <c r="O136" s="18">
        <f>$B$3*$B$6*$B$5*COS(F136)</f>
        <v/>
      </c>
      <c r="P136" s="18">
        <f>N136+O136</f>
        <v/>
      </c>
      <c r="Q136" s="19">
        <f>ABS(P136-$P$3)</f>
        <v/>
      </c>
    </row>
    <row r="137">
      <c r="D137" s="6" t="n">
        <v>135</v>
      </c>
      <c r="E137" s="7" t="n">
        <v>1.3409578270193</v>
      </c>
      <c r="F137" s="8" t="n">
        <v>1.425120461520802</v>
      </c>
      <c r="G137" s="9">
        <f>DEGREES(F137)</f>
        <v/>
      </c>
      <c r="H137" s="8" t="n">
        <v>1.290174126522706</v>
      </c>
      <c r="I137" s="9">
        <f>DEGREES(H137)</f>
        <v/>
      </c>
      <c r="J137" s="10" t="n">
        <v>-1.159564118621138</v>
      </c>
      <c r="K137" s="10" t="n">
        <v>0.7283793263704715</v>
      </c>
      <c r="L137" s="11">
        <f>$B$5*$B$3*$B$6*SIN(F137)</f>
        <v/>
      </c>
      <c r="M137" s="11">
        <f>$B$9*K137*(SIN(F137))^2 + $B$8*($B$10+K137*COS(F137))*COS(F137)</f>
        <v/>
      </c>
      <c r="N137" s="11">
        <f>0.5*$B$9*(J137^2 + (K137*SIN(F137))^2) + 0.5*$B$8*($B$10 + K137*COS(F137))^2</f>
        <v/>
      </c>
      <c r="O137" s="11">
        <f>$B$3*$B$6*$B$5*COS(F137)</f>
        <v/>
      </c>
      <c r="P137" s="11">
        <f>N137+O137</f>
        <v/>
      </c>
      <c r="Q137" s="12">
        <f>ABS(P137-$P$3)</f>
        <v/>
      </c>
    </row>
    <row r="138">
      <c r="D138" s="13" t="n">
        <v>136</v>
      </c>
      <c r="E138" s="14" t="n">
        <v>1.35096497498213</v>
      </c>
      <c r="F138" s="15" t="n">
        <v>1.413405928152516</v>
      </c>
      <c r="G138" s="16">
        <f>DEGREES(F138)</f>
        <v/>
      </c>
      <c r="H138" s="15" t="n">
        <v>1.297755302051385</v>
      </c>
      <c r="I138" s="16">
        <f>DEGREES(H138)</f>
        <v/>
      </c>
      <c r="J138" s="17" t="n">
        <v>-1.181056300930426</v>
      </c>
      <c r="K138" s="17" t="n">
        <v>0.7869519932119025</v>
      </c>
      <c r="L138" s="18">
        <f>$B$5*$B$3*$B$6*SIN(F138)</f>
        <v/>
      </c>
      <c r="M138" s="18">
        <f>$B$9*K138*(SIN(F138))^2 + $B$8*($B$10+K138*COS(F138))*COS(F138)</f>
        <v/>
      </c>
      <c r="N138" s="18">
        <f>0.5*$B$9*(J138^2 + (K138*SIN(F138))^2) + 0.5*$B$8*($B$10 + K138*COS(F138))^2</f>
        <v/>
      </c>
      <c r="O138" s="18">
        <f>$B$3*$B$6*$B$5*COS(F138)</f>
        <v/>
      </c>
      <c r="P138" s="18">
        <f>N138+O138</f>
        <v/>
      </c>
      <c r="Q138" s="19">
        <f>ABS(P138-$P$3)</f>
        <v/>
      </c>
    </row>
    <row r="139">
      <c r="D139" s="6" t="n">
        <v>137</v>
      </c>
      <c r="E139" s="7" t="n">
        <v>1.360972122944961</v>
      </c>
      <c r="F139" s="8" t="n">
        <v>1.401494821735181</v>
      </c>
      <c r="G139" s="9">
        <f>DEGREES(F139)</f>
        <v/>
      </c>
      <c r="H139" s="8" t="n">
        <v>1.305927695496698</v>
      </c>
      <c r="I139" s="9">
        <f>DEGREES(H139)</f>
        <v/>
      </c>
      <c r="J139" s="10" t="n">
        <v>-1.198840364466585</v>
      </c>
      <c r="K139" s="10" t="n">
        <v>0.8465075252985783</v>
      </c>
      <c r="L139" s="11">
        <f>$B$5*$B$3*$B$6*SIN(F139)</f>
        <v/>
      </c>
      <c r="M139" s="11">
        <f>$B$9*K139*(SIN(F139))^2 + $B$8*($B$10+K139*COS(F139))*COS(F139)</f>
        <v/>
      </c>
      <c r="N139" s="11">
        <f>0.5*$B$9*(J139^2 + (K139*SIN(F139))^2) + 0.5*$B$8*($B$10 + K139*COS(F139))^2</f>
        <v/>
      </c>
      <c r="O139" s="11">
        <f>$B$3*$B$6*$B$5*COS(F139)</f>
        <v/>
      </c>
      <c r="P139" s="11">
        <f>N139+O139</f>
        <v/>
      </c>
      <c r="Q139" s="12">
        <f>ABS(P139-$P$3)</f>
        <v/>
      </c>
    </row>
    <row r="140">
      <c r="D140" s="13" t="n">
        <v>138</v>
      </c>
      <c r="E140" s="14" t="n">
        <v>1.370979270907791</v>
      </c>
      <c r="F140" s="15" t="n">
        <v>1.389424539128946</v>
      </c>
      <c r="G140" s="16">
        <f>DEGREES(F140)</f>
        <v/>
      </c>
      <c r="H140" s="15" t="n">
        <v>1.314700209276747</v>
      </c>
      <c r="I140" s="16">
        <f>DEGREES(H140)</f>
        <v/>
      </c>
      <c r="J140" s="17" t="n">
        <v>-1.212860473263276</v>
      </c>
      <c r="K140" s="17" t="n">
        <v>0.9068589383297511</v>
      </c>
      <c r="L140" s="18">
        <f>$B$5*$B$3*$B$6*SIN(F140)</f>
        <v/>
      </c>
      <c r="M140" s="18">
        <f>$B$9*K140*(SIN(F140))^2 + $B$8*($B$10+K140*COS(F140))*COS(F140)</f>
        <v/>
      </c>
      <c r="N140" s="18">
        <f>0.5*$B$9*(J140^2 + (K140*SIN(F140))^2) + 0.5*$B$8*($B$10 + K140*COS(F140))^2</f>
        <v/>
      </c>
      <c r="O140" s="18">
        <f>$B$3*$B$6*$B$5*COS(F140)</f>
        <v/>
      </c>
      <c r="P140" s="18">
        <f>N140+O140</f>
        <v/>
      </c>
      <c r="Q140" s="19">
        <f>ABS(P140-$P$3)</f>
        <v/>
      </c>
    </row>
    <row r="141">
      <c r="D141" s="6" t="n">
        <v>139</v>
      </c>
      <c r="E141" s="7" t="n">
        <v>1.380986418870622</v>
      </c>
      <c r="F141" s="8" t="n">
        <v>1.377232976953554</v>
      </c>
      <c r="G141" s="9">
        <f>DEGREES(F141)</f>
        <v/>
      </c>
      <c r="H141" s="8" t="n">
        <v>1.324079861634023</v>
      </c>
      <c r="I141" s="9">
        <f>DEGREES(H141)</f>
        <v/>
      </c>
      <c r="J141" s="10" t="n">
        <v>-1.223072608903605</v>
      </c>
      <c r="K141" s="10" t="n">
        <v>0.9678167492067136</v>
      </c>
      <c r="L141" s="11">
        <f>$B$5*$B$3*$B$6*SIN(F141)</f>
        <v/>
      </c>
      <c r="M141" s="11">
        <f>$B$9*K141*(SIN(F141))^2 + $B$8*($B$10+K141*COS(F141))*COS(F141)</f>
        <v/>
      </c>
      <c r="N141" s="11">
        <f>0.5*$B$9*(J141^2 + (K141*SIN(F141))^2) + 0.5*$B$8*($B$10 + K141*COS(F141))^2</f>
        <v/>
      </c>
      <c r="O141" s="11">
        <f>$B$3*$B$6*$B$5*COS(F141)</f>
        <v/>
      </c>
      <c r="P141" s="11">
        <f>N141+O141</f>
        <v/>
      </c>
      <c r="Q141" s="12">
        <f>ABS(P141-$P$3)</f>
        <v/>
      </c>
    </row>
    <row r="142">
      <c r="D142" s="13" t="n">
        <v>140</v>
      </c>
      <c r="E142" s="14" t="n">
        <v>1.390993566833453</v>
      </c>
      <c r="F142" s="15" t="n">
        <v>1.364958412605721</v>
      </c>
      <c r="G142" s="16">
        <f>DEGREES(F142)</f>
        <v/>
      </c>
      <c r="H142" s="15" t="n">
        <v>1.334071764600485</v>
      </c>
      <c r="I142" s="16">
        <f>DEGREES(H142)</f>
        <v/>
      </c>
      <c r="J142" s="17" t="n">
        <v>-1.229444708723116</v>
      </c>
      <c r="K142" s="17" t="n">
        <v>1.02918957094588</v>
      </c>
      <c r="L142" s="18">
        <f>$B$5*$B$3*$B$6*SIN(F142)</f>
        <v/>
      </c>
      <c r="M142" s="18">
        <f>$B$9*K142*(SIN(F142))^2 + $B$8*($B$10+K142*COS(F142))*COS(F142)</f>
        <v/>
      </c>
      <c r="N142" s="18">
        <f>0.5*$B$9*(J142^2 + (K142*SIN(F142))^2) + 0.5*$B$8*($B$10 + K142*COS(F142))^2</f>
        <v/>
      </c>
      <c r="O142" s="18">
        <f>$B$3*$B$6*$B$5*COS(F142)</f>
        <v/>
      </c>
      <c r="P142" s="18">
        <f>N142+O142</f>
        <v/>
      </c>
      <c r="Q142" s="19">
        <f>ABS(P142-$P$3)</f>
        <v/>
      </c>
    </row>
    <row r="143">
      <c r="D143" s="6" t="n">
        <v>141</v>
      </c>
      <c r="E143" s="7" t="n">
        <v>1.401000714796283</v>
      </c>
      <c r="F143" s="8" t="n">
        <v>1.352639384081014</v>
      </c>
      <c r="G143" s="9">
        <f>DEGREES(F143)</f>
        <v/>
      </c>
      <c r="H143" s="8" t="n">
        <v>1.344679107947507</v>
      </c>
      <c r="I143" s="9">
        <f>DEGREES(H143)</f>
        <v/>
      </c>
      <c r="J143" s="10" t="n">
        <v>-1.23195676647575</v>
      </c>
      <c r="K143" s="10" t="n">
        <v>1.090784713569412</v>
      </c>
      <c r="L143" s="11">
        <f>$B$5*$B$3*$B$6*SIN(F143)</f>
        <v/>
      </c>
      <c r="M143" s="11">
        <f>$B$9*K143*(SIN(F143))^2 + $B$8*($B$10+K143*COS(F143))*COS(F143)</f>
        <v/>
      </c>
      <c r="N143" s="11">
        <f>0.5*$B$9*(J143^2 + (K143*SIN(F143))^2) + 0.5*$B$8*($B$10 + K143*COS(F143))^2</f>
        <v/>
      </c>
      <c r="O143" s="11">
        <f>$B$3*$B$6*$B$5*COS(F143)</f>
        <v/>
      </c>
      <c r="P143" s="11">
        <f>N143+O143</f>
        <v/>
      </c>
      <c r="Q143" s="12">
        <f>ABS(P143-$P$3)</f>
        <v/>
      </c>
    </row>
    <row r="144">
      <c r="D144" s="13" t="n">
        <v>142</v>
      </c>
      <c r="E144" s="14" t="n">
        <v>1.411007862759114</v>
      </c>
      <c r="F144" s="15" t="n">
        <v>1.340314568977533</v>
      </c>
      <c r="G144" s="16">
        <f>DEGREES(F144)</f>
        <v/>
      </c>
      <c r="H144" s="15" t="n">
        <v>1.355903149171072</v>
      </c>
      <c r="I144" s="16">
        <f>DEGREES(H144)</f>
        <v/>
      </c>
      <c r="J144" s="17" t="n">
        <v>-1.230600895146718</v>
      </c>
      <c r="K144" s="17" t="n">
        <v>1.152408789086818</v>
      </c>
      <c r="L144" s="18">
        <f>$B$5*$B$3*$B$6*SIN(F144)</f>
        <v/>
      </c>
      <c r="M144" s="18">
        <f>$B$9*K144*(SIN(F144))^2 + $B$8*($B$10+K144*COS(F144))*COS(F144)</f>
        <v/>
      </c>
      <c r="N144" s="18">
        <f>0.5*$B$9*(J144^2 + (K144*SIN(F144))^2) + 0.5*$B$8*($B$10 + K144*COS(F144))^2</f>
        <v/>
      </c>
      <c r="O144" s="18">
        <f>$B$3*$B$6*$B$5*COS(F144)</f>
        <v/>
      </c>
      <c r="P144" s="18">
        <f>N144+O144</f>
        <v/>
      </c>
      <c r="Q144" s="19">
        <f>ABS(P144-$P$3)</f>
        <v/>
      </c>
    </row>
    <row r="145">
      <c r="D145" s="6" t="n">
        <v>143</v>
      </c>
      <c r="E145" s="7" t="n">
        <v>1.421015010721944</v>
      </c>
      <c r="F145" s="8" t="n">
        <v>1.328022663061283</v>
      </c>
      <c r="G145" s="9">
        <f>DEGREES(F145)</f>
        <v/>
      </c>
      <c r="H145" s="8" t="n">
        <v>1.36774320954365</v>
      </c>
      <c r="I145" s="9">
        <f>DEGREES(H145)</f>
        <v/>
      </c>
      <c r="J145" s="10" t="n">
        <v>-1.22538135171507</v>
      </c>
      <c r="K145" s="10" t="n">
        <v>1.213868318668067</v>
      </c>
      <c r="L145" s="11">
        <f>$B$5*$B$3*$B$6*SIN(F145)</f>
        <v/>
      </c>
      <c r="M145" s="11">
        <f>$B$9*K145*(SIN(F145))^2 + $B$8*($B$10+K145*COS(F145))*COS(F145)</f>
        <v/>
      </c>
      <c r="N145" s="11">
        <f>0.5*$B$9*(J145^2 + (K145*SIN(F145))^2) + 0.5*$B$8*($B$10 + K145*COS(F145))^2</f>
        <v/>
      </c>
      <c r="O145" s="11">
        <f>$B$3*$B$6*$B$5*COS(F145)</f>
        <v/>
      </c>
      <c r="P145" s="11">
        <f>N145+O145</f>
        <v/>
      </c>
      <c r="Q145" s="12">
        <f>ABS(P145-$P$3)</f>
        <v/>
      </c>
    </row>
    <row r="146">
      <c r="D146" s="13" t="n">
        <v>144</v>
      </c>
      <c r="E146" s="14" t="n">
        <v>1.431022158684775</v>
      </c>
      <c r="F146" s="15" t="n">
        <v>1.315802258774513</v>
      </c>
      <c r="G146" s="16">
        <f>DEGREES(F146)</f>
        <v/>
      </c>
      <c r="H146" s="15" t="n">
        <v>1.380196676245183</v>
      </c>
      <c r="I146" s="16">
        <f>DEGREES(H146)</f>
        <v/>
      </c>
      <c r="J146" s="17" t="n">
        <v>-1.216314523788213</v>
      </c>
      <c r="K146" s="17" t="n">
        <v>1.274970340101918</v>
      </c>
      <c r="L146" s="18">
        <f>$B$5*$B$3*$B$6*SIN(F146)</f>
        <v/>
      </c>
      <c r="M146" s="18">
        <f>$B$9*K146*(SIN(F146))^2 + $B$8*($B$10+K146*COS(F146))*COS(F146)</f>
        <v/>
      </c>
      <c r="N146" s="18">
        <f>0.5*$B$9*(J146^2 + (K146*SIN(F146))^2) + 0.5*$B$8*($B$10 + K146*COS(F146))^2</f>
        <v/>
      </c>
      <c r="O146" s="18">
        <f>$B$3*$B$6*$B$5*COS(F146)</f>
        <v/>
      </c>
      <c r="P146" s="18">
        <f>N146+O146</f>
        <v/>
      </c>
      <c r="Q146" s="19">
        <f>ABS(P146-$P$3)</f>
        <v/>
      </c>
    </row>
    <row r="147">
      <c r="D147" s="6" t="n">
        <v>145</v>
      </c>
      <c r="E147" s="7" t="n">
        <v>1.441029306647605</v>
      </c>
      <c r="F147" s="8" t="n">
        <v>1.30369172406845</v>
      </c>
      <c r="G147" s="9">
        <f>DEGREES(F147)</f>
        <v/>
      </c>
      <c r="H147" s="8" t="n">
        <v>1.393259010566456</v>
      </c>
      <c r="I147" s="9">
        <f>DEGREES(H147)</f>
        <v/>
      </c>
      <c r="J147" s="10" t="n">
        <v>-1.203428878150348</v>
      </c>
      <c r="K147" s="10" t="n">
        <v>1.335523013632235</v>
      </c>
      <c r="L147" s="11">
        <f>$B$5*$B$3*$B$6*SIN(F147)</f>
        <v/>
      </c>
      <c r="M147" s="11">
        <f>$B$9*K147*(SIN(F147))^2 + $B$8*($B$10+K147*COS(F147))*COS(F147)</f>
        <v/>
      </c>
      <c r="N147" s="11">
        <f>0.5*$B$9*(J147^2 + (K147*SIN(F147))^2) + 0.5*$B$8*($B$10 + K147*COS(F147))^2</f>
        <v/>
      </c>
      <c r="O147" s="11">
        <f>$B$3*$B$6*$B$5*COS(F147)</f>
        <v/>
      </c>
      <c r="P147" s="11">
        <f>N147+O147</f>
        <v/>
      </c>
      <c r="Q147" s="12">
        <f>ABS(P147-$P$3)</f>
        <v/>
      </c>
    </row>
    <row r="148">
      <c r="D148" s="13" t="n">
        <v>146</v>
      </c>
      <c r="E148" s="14" t="n">
        <v>1.451036454610436</v>
      </c>
      <c r="F148" s="15" t="n">
        <v>1.291729081940863</v>
      </c>
      <c r="G148" s="16">
        <f>DEGREES(F148)</f>
        <v/>
      </c>
      <c r="H148" s="15" t="n">
        <v>1.406923762159114</v>
      </c>
      <c r="I148" s="16">
        <f>DEGREES(H148)</f>
        <v/>
      </c>
      <c r="J148" s="17" t="n">
        <v>-1.186764871386362</v>
      </c>
      <c r="K148" s="17" t="n">
        <v>1.395336224270169</v>
      </c>
      <c r="L148" s="18">
        <f>$B$5*$B$3*$B$6*SIN(F148)</f>
        <v/>
      </c>
      <c r="M148" s="18">
        <f>$B$9*K148*(SIN(F148))^2 + $B$8*($B$10+K148*COS(F148))*COS(F148)</f>
        <v/>
      </c>
      <c r="N148" s="18">
        <f>0.5*$B$9*(J148^2 + (K148*SIN(F148))^2) + 0.5*$B$8*($B$10 + K148*COS(F148))^2</f>
        <v/>
      </c>
      <c r="O148" s="18">
        <f>$B$3*$B$6*$B$5*COS(F148)</f>
        <v/>
      </c>
      <c r="P148" s="18">
        <f>N148+O148</f>
        <v/>
      </c>
      <c r="Q148" s="19">
        <f>ABS(P148-$P$3)</f>
        <v/>
      </c>
    </row>
    <row r="149">
      <c r="D149" s="6" t="n">
        <v>147</v>
      </c>
      <c r="E149" s="7" t="n">
        <v>1.461043602573267</v>
      </c>
      <c r="F149" s="8" t="n">
        <v>1.279951891056666</v>
      </c>
      <c r="G149" s="9">
        <f>DEGREES(F149)</f>
        <v/>
      </c>
      <c r="H149" s="8" t="n">
        <v>1.42118258928758</v>
      </c>
      <c r="I149" s="9">
        <f>DEGREES(H149)</f>
        <v/>
      </c>
      <c r="J149" s="10" t="n">
        <v>-1.166374822861784</v>
      </c>
      <c r="K149" s="10" t="n">
        <v>1.454222178691155</v>
      </c>
      <c r="L149" s="11">
        <f>$B$5*$B$3*$B$6*SIN(F149)</f>
        <v/>
      </c>
      <c r="M149" s="11">
        <f>$B$9*K149*(SIN(F149))^2 + $B$8*($B$10+K149*COS(F149))*COS(F149)</f>
        <v/>
      </c>
      <c r="N149" s="11">
        <f>0.5*$B$9*(J149^2 + (K149*SIN(F149))^2) + 0.5*$B$8*($B$10 + K149*COS(F149))^2</f>
        <v/>
      </c>
      <c r="O149" s="11">
        <f>$B$3*$B$6*$B$5*COS(F149)</f>
        <v/>
      </c>
      <c r="P149" s="11">
        <f>N149+O149</f>
        <v/>
      </c>
      <c r="Q149" s="12">
        <f>ABS(P149-$P$3)</f>
        <v/>
      </c>
    </row>
    <row r="150">
      <c r="D150" s="13" t="n">
        <v>148</v>
      </c>
      <c r="E150" s="14" t="n">
        <v>1.471050750536097</v>
      </c>
      <c r="F150" s="15" t="n">
        <v>1.268397127826362</v>
      </c>
      <c r="G150" s="16">
        <f>DEGREES(F150)</f>
        <v/>
      </c>
      <c r="H150" s="15" t="n">
        <v>1.436025285019298</v>
      </c>
      <c r="I150" s="16">
        <f>DEGREES(H150)</f>
        <v/>
      </c>
      <c r="J150" s="17" t="n">
        <v>-1.142322750457603</v>
      </c>
      <c r="K150" s="17" t="n">
        <v>1.511995994842672</v>
      </c>
      <c r="L150" s="18">
        <f>$B$5*$B$3*$B$6*SIN(F150)</f>
        <v/>
      </c>
      <c r="M150" s="18">
        <f>$B$9*K150*(SIN(F150))^2 + $B$8*($B$10+K150*COS(F150))*COS(F150)</f>
        <v/>
      </c>
      <c r="N150" s="18">
        <f>0.5*$B$9*(J150^2 + (K150*SIN(F150))^2) + 0.5*$B$8*($B$10 + K150*COS(F150))^2</f>
        <v/>
      </c>
      <c r="O150" s="18">
        <f>$B$3*$B$6*$B$5*COS(F150)</f>
        <v/>
      </c>
      <c r="P150" s="18">
        <f>N150+O150</f>
        <v/>
      </c>
      <c r="Q150" s="19">
        <f>ABS(P150-$P$3)</f>
        <v/>
      </c>
    </row>
    <row r="151">
      <c r="D151" s="6" t="n">
        <v>149</v>
      </c>
      <c r="E151" s="7" t="n">
        <v>1.481057898498928</v>
      </c>
      <c r="F151" s="8" t="n">
        <v>1.257101070312582</v>
      </c>
      <c r="G151" s="9">
        <f>DEGREES(F151)</f>
        <v/>
      </c>
      <c r="H151" s="8" t="n">
        <v>1.451439809271061</v>
      </c>
      <c r="I151" s="9">
        <f>DEGREES(H151)</f>
        <v/>
      </c>
      <c r="J151" s="10" t="n">
        <v>-1.114684169575709</v>
      </c>
      <c r="K151" s="10" t="n">
        <v>1.568476282411574</v>
      </c>
      <c r="L151" s="11">
        <f>$B$5*$B$3*$B$6*SIN(F151)</f>
        <v/>
      </c>
      <c r="M151" s="11">
        <f>$B$9*K151*(SIN(F151))^2 + $B$8*($B$10+K151*COS(F151))*COS(F151)</f>
        <v/>
      </c>
      <c r="N151" s="11">
        <f>0.5*$B$9*(J151^2 + (K151*SIN(F151))^2) + 0.5*$B$8*($B$10 + K151*COS(F151))^2</f>
        <v/>
      </c>
      <c r="O151" s="11">
        <f>$B$3*$B$6*$B$5*COS(F151)</f>
        <v/>
      </c>
      <c r="P151" s="11">
        <f>N151+O151</f>
        <v/>
      </c>
      <c r="Q151" s="12">
        <f>ABS(P151-$P$3)</f>
        <v/>
      </c>
    </row>
    <row r="152">
      <c r="D152" s="13" t="n">
        <v>150</v>
      </c>
      <c r="E152" s="14" t="n">
        <v>1.491065046461759</v>
      </c>
      <c r="F152" s="15" t="n">
        <v>1.246099184329186</v>
      </c>
      <c r="G152" s="16">
        <f>DEGREES(F152)</f>
        <v/>
      </c>
      <c r="H152" s="15" t="n">
        <v>1.46741232661081</v>
      </c>
      <c r="I152" s="16">
        <f>DEGREES(H152)</f>
        <v/>
      </c>
      <c r="J152" s="17" t="n">
        <v>-1.083545856045964</v>
      </c>
      <c r="K152" s="17" t="n">
        <v>1.623485712328553</v>
      </c>
      <c r="L152" s="18">
        <f>$B$5*$B$3*$B$6*SIN(F152)</f>
        <v/>
      </c>
      <c r="M152" s="18">
        <f>$B$9*K152*(SIN(F152))^2 + $B$8*($B$10+K152*COS(F152))*COS(F152)</f>
        <v/>
      </c>
      <c r="N152" s="18">
        <f>0.5*$B$9*(J152^2 + (K152*SIN(F152))^2) + 0.5*$B$8*($B$10 + K152*COS(F152))^2</f>
        <v/>
      </c>
      <c r="O152" s="18">
        <f>$B$3*$B$6*$B$5*COS(F152)</f>
        <v/>
      </c>
      <c r="P152" s="18">
        <f>N152+O152</f>
        <v/>
      </c>
      <c r="Q152" s="19">
        <f>ABS(P152-$P$3)</f>
        <v/>
      </c>
    </row>
    <row r="153">
      <c r="D153" s="6" t="n">
        <v>151</v>
      </c>
      <c r="E153" s="7" t="n">
        <v>1.501072194424589</v>
      </c>
      <c r="F153" s="8" t="n">
        <v>1.235426012090567</v>
      </c>
      <c r="G153" s="9">
        <f>DEGREES(F153)</f>
        <v/>
      </c>
      <c r="H153" s="8" t="n">
        <v>1.483927249696233</v>
      </c>
      <c r="I153" s="9">
        <f>DEGREES(H153)</f>
        <v/>
      </c>
      <c r="J153" s="10" t="n">
        <v>-1.049005573679353</v>
      </c>
      <c r="K153" s="10" t="n">
        <v>1.676851573521649</v>
      </c>
      <c r="L153" s="11">
        <f>$B$5*$B$3*$B$6*SIN(F153)</f>
        <v/>
      </c>
      <c r="M153" s="11">
        <f>$B$9*K153*(SIN(F153))^2 + $B$8*($B$10+K153*COS(F153))*COS(F153)</f>
        <v/>
      </c>
      <c r="N153" s="11">
        <f>0.5*$B$9*(J153^2 + (K153*SIN(F153))^2) + 0.5*$B$8*($B$10 + K153*COS(F153))^2</f>
        <v/>
      </c>
      <c r="O153" s="11">
        <f>$B$3*$B$6*$B$5*COS(F153)</f>
        <v/>
      </c>
      <c r="P153" s="11">
        <f>N153+O153</f>
        <v/>
      </c>
      <c r="Q153" s="12">
        <f>ABS(P153-$P$3)</f>
        <v/>
      </c>
    </row>
    <row r="154">
      <c r="D154" s="13" t="n">
        <v>152</v>
      </c>
      <c r="E154" s="14" t="n">
        <v>1.51107934238742</v>
      </c>
      <c r="F154" s="15" t="n">
        <v>1.225115063760731</v>
      </c>
      <c r="G154" s="16">
        <f>DEGREES(F154)</f>
        <v/>
      </c>
      <c r="H154" s="15" t="n">
        <v>1.500967288213765</v>
      </c>
      <c r="I154" s="16">
        <f>DEGREES(H154)</f>
        <v/>
      </c>
      <c r="J154" s="17" t="n">
        <v>-1.011171767322552</v>
      </c>
      <c r="K154" s="17" t="n">
        <v>1.728406315170827</v>
      </c>
      <c r="L154" s="18">
        <f>$B$5*$B$3*$B$6*SIN(F154)</f>
        <v/>
      </c>
      <c r="M154" s="18">
        <f>$B$9*K154*(SIN(F154))^2 + $B$8*($B$10+K154*COS(F154))*COS(F154)</f>
        <v/>
      </c>
      <c r="N154" s="18">
        <f>0.5*$B$9*(J154^2 + (K154*SIN(F154))^2) + 0.5*$B$8*($B$10 + K154*COS(F154))^2</f>
        <v/>
      </c>
      <c r="O154" s="18">
        <f>$B$3*$B$6*$B$5*COS(F154)</f>
        <v/>
      </c>
      <c r="P154" s="18">
        <f>N154+O154</f>
        <v/>
      </c>
      <c r="Q154" s="19">
        <f>ABS(P154-$P$3)</f>
        <v/>
      </c>
    </row>
    <row r="155">
      <c r="D155" s="6" t="n">
        <v>153</v>
      </c>
      <c r="E155" s="7" t="n">
        <v>1.52108649035025</v>
      </c>
      <c r="F155" s="8" t="n">
        <v>1.215198712242682</v>
      </c>
      <c r="G155" s="9">
        <f>DEGREES(F155)</f>
        <v/>
      </c>
      <c r="H155" s="8" t="n">
        <v>1.518513503164347</v>
      </c>
      <c r="I155" s="9">
        <f>DEGREES(H155)</f>
        <v/>
      </c>
      <c r="J155" s="10" t="n">
        <v>-0.9701632223776633</v>
      </c>
      <c r="K155" s="10" t="n">
        <v>1.777988072761072</v>
      </c>
      <c r="L155" s="11">
        <f>$B$5*$B$3*$B$6*SIN(F155)</f>
        <v/>
      </c>
      <c r="M155" s="11">
        <f>$B$9*K155*(SIN(F155))^2 + $B$8*($B$10+K155*COS(F155))*COS(F155)</f>
        <v/>
      </c>
      <c r="N155" s="11">
        <f>0.5*$B$9*(J155^2 + (K155*SIN(F155))^2) + 0.5*$B$8*($B$10 + K155*COS(F155))^2</f>
        <v/>
      </c>
      <c r="O155" s="11">
        <f>$B$3*$B$6*$B$5*COS(F155)</f>
        <v/>
      </c>
      <c r="P155" s="11">
        <f>N155+O155</f>
        <v/>
      </c>
      <c r="Q155" s="12">
        <f>ABS(P155-$P$3)</f>
        <v/>
      </c>
    </row>
    <row r="156">
      <c r="D156" s="13" t="n">
        <v>154</v>
      </c>
      <c r="E156" s="14" t="n">
        <v>1.531093638313081</v>
      </c>
      <c r="F156" s="15" t="n">
        <v>1.205708091538412</v>
      </c>
      <c r="G156" s="16">
        <f>DEGREES(F156)</f>
        <v/>
      </c>
      <c r="H156" s="15" t="n">
        <v>1.536545366325499</v>
      </c>
      <c r="I156" s="16">
        <f>DEGREES(H156)</f>
        <v/>
      </c>
      <c r="J156" s="17" t="n">
        <v>-0.9261086918560808</v>
      </c>
      <c r="K156" s="17" t="n">
        <v>1.825441176282426</v>
      </c>
      <c r="L156" s="18">
        <f>$B$5*$B$3*$B$6*SIN(F156)</f>
        <v/>
      </c>
      <c r="M156" s="18">
        <f>$B$9*K156*(SIN(F156))^2 + $B$8*($B$10+K156*COS(F156))*COS(F156)</f>
        <v/>
      </c>
      <c r="N156" s="18">
        <f>0.5*$B$9*(J156^2 + (K156*SIN(F156))^2) + 0.5*$B$8*($B$10 + K156*COS(F156))^2</f>
        <v/>
      </c>
      <c r="O156" s="18">
        <f>$B$3*$B$6*$B$5*COS(F156)</f>
        <v/>
      </c>
      <c r="P156" s="18">
        <f>N156+O156</f>
        <v/>
      </c>
      <c r="Q156" s="19">
        <f>ABS(P156-$P$3)</f>
        <v/>
      </c>
    </row>
    <row r="157">
      <c r="D157" s="6" t="n">
        <v>155</v>
      </c>
      <c r="E157" s="7" t="n">
        <v>1.541100786275911</v>
      </c>
      <c r="F157" s="8" t="n">
        <v>1.196672998998624</v>
      </c>
      <c r="G157" s="9">
        <f>DEGREES(F157)</f>
        <v/>
      </c>
      <c r="H157" s="8" t="n">
        <v>1.555040824703021</v>
      </c>
      <c r="I157" s="9">
        <f>DEGREES(H157)</f>
        <v/>
      </c>
      <c r="J157" s="10" t="n">
        <v>-0.8791464921374187</v>
      </c>
      <c r="K157" s="10" t="n">
        <v>1.870616638981361</v>
      </c>
      <c r="L157" s="11">
        <f>$B$5*$B$3*$B$6*SIN(F157)</f>
        <v/>
      </c>
      <c r="M157" s="11">
        <f>$B$9*K157*(SIN(F157))^2 + $B$8*($B$10+K157*COS(F157))*COS(F157)</f>
        <v/>
      </c>
      <c r="N157" s="11">
        <f>0.5*$B$9*(J157^2 + (K157*SIN(F157))^2) + 0.5*$B$8*($B$10 + K157*COS(F157))^2</f>
        <v/>
      </c>
      <c r="O157" s="11">
        <f>$B$3*$B$6*$B$5*COS(F157)</f>
        <v/>
      </c>
      <c r="P157" s="11">
        <f>N157+O157</f>
        <v/>
      </c>
      <c r="Q157" s="12">
        <f>ABS(P157-$P$3)</f>
        <v/>
      </c>
    </row>
    <row r="158">
      <c r="D158" s="13" t="n">
        <v>156</v>
      </c>
      <c r="E158" s="14" t="n">
        <v>1.551107934238742</v>
      </c>
      <c r="F158" s="15" t="n">
        <v>1.188121801769102</v>
      </c>
      <c r="G158" s="16">
        <f>DEGREES(F158)</f>
        <v/>
      </c>
      <c r="H158" s="15" t="n">
        <v>1.573976369769967</v>
      </c>
      <c r="I158" s="16">
        <f>DEGREES(H158)</f>
        <v/>
      </c>
      <c r="J158" s="17" t="n">
        <v>-0.8294240687026999</v>
      </c>
      <c r="K158" s="17" t="n">
        <v>1.913372625128974</v>
      </c>
      <c r="L158" s="18">
        <f>$B$5*$B$3*$B$6*SIN(F158)</f>
        <v/>
      </c>
      <c r="M158" s="18">
        <f>$B$9*K158*(SIN(F158))^2 + $B$8*($B$10+K158*COS(F158))*COS(F158)</f>
        <v/>
      </c>
      <c r="N158" s="18">
        <f>0.5*$B$9*(J158^2 + (K158*SIN(F158))^2) + 0.5*$B$8*($B$10 + K158*COS(F158))^2</f>
        <v/>
      </c>
      <c r="O158" s="18">
        <f>$B$3*$B$6*$B$5*COS(F158)</f>
        <v/>
      </c>
      <c r="P158" s="18">
        <f>N158+O158</f>
        <v/>
      </c>
      <c r="Q158" s="19">
        <f>ABS(P158-$P$3)</f>
        <v/>
      </c>
    </row>
    <row r="159">
      <c r="D159" s="6" t="n">
        <v>157</v>
      </c>
      <c r="E159" s="7" t="n">
        <v>1.561115082201573</v>
      </c>
      <c r="F159" s="8" t="n">
        <v>1.180081347727421</v>
      </c>
      <c r="G159" s="9">
        <f>DEGREES(F159)</f>
        <v/>
      </c>
      <c r="H159" s="8" t="n">
        <v>1.593327111275488</v>
      </c>
      <c r="I159" s="9">
        <f>DEGREES(H159)</f>
        <v/>
      </c>
      <c r="J159" s="10" t="n">
        <v>-0.7770975332052306</v>
      </c>
      <c r="K159" s="10" t="n">
        <v>1.953574895337376</v>
      </c>
      <c r="L159" s="11">
        <f>$B$5*$B$3*$B$6*SIN(F159)</f>
        <v/>
      </c>
      <c r="M159" s="11">
        <f>$B$9*K159*(SIN(F159))^2 + $B$8*($B$10+K159*COS(F159))*COS(F159)</f>
        <v/>
      </c>
      <c r="N159" s="11">
        <f>0.5*$B$9*(J159^2 + (K159*SIN(F159))^2) + 0.5*$B$8*($B$10 + K159*COS(F159))^2</f>
        <v/>
      </c>
      <c r="O159" s="11">
        <f>$B$3*$B$6*$B$5*COS(F159)</f>
        <v/>
      </c>
      <c r="P159" s="11">
        <f>N159+O159</f>
        <v/>
      </c>
      <c r="Q159" s="12">
        <f>ABS(P159-$P$3)</f>
        <v/>
      </c>
    </row>
    <row r="160">
      <c r="D160" s="13" t="n">
        <v>158</v>
      </c>
      <c r="E160" s="14" t="n">
        <v>1.571122230164403</v>
      </c>
      <c r="F160" s="15" t="n">
        <v>1.172576881189669</v>
      </c>
      <c r="G160" s="16">
        <f>DEGREES(F160)</f>
        <v/>
      </c>
      <c r="H160" s="15" t="n">
        <v>1.613066855391843</v>
      </c>
      <c r="I160" s="16">
        <f>DEGREES(H160)</f>
        <v/>
      </c>
      <c r="J160" s="17" t="n">
        <v>-0.7223311733326124</v>
      </c>
      <c r="K160" s="17" t="n">
        <v>1.991097228026136</v>
      </c>
      <c r="L160" s="18">
        <f>$B$5*$B$3*$B$6*SIN(F160)</f>
        <v/>
      </c>
      <c r="M160" s="18">
        <f>$B$9*K160*(SIN(F160))^2 + $B$8*($B$10+K160*COS(F160))*COS(F160)</f>
        <v/>
      </c>
      <c r="N160" s="18">
        <f>0.5*$B$9*(J160^2 + (K160*SIN(F160))^2) + 0.5*$B$8*($B$10 + K160*COS(F160))^2</f>
        <v/>
      </c>
      <c r="O160" s="18">
        <f>$B$3*$B$6*$B$5*COS(F160)</f>
        <v/>
      </c>
      <c r="P160" s="18">
        <f>N160+O160</f>
        <v/>
      </c>
      <c r="Q160" s="19">
        <f>ABS(P160-$P$3)</f>
        <v/>
      </c>
    </row>
    <row r="161">
      <c r="D161" s="6" t="n">
        <v>159</v>
      </c>
      <c r="E161" s="7" t="n">
        <v>1.581129378127234</v>
      </c>
      <c r="F161" s="8" t="n">
        <v>1.165631963651796</v>
      </c>
      <c r="G161" s="9">
        <f>DEGREES(F161)</f>
        <v/>
      </c>
      <c r="H161" s="8" t="n">
        <v>1.633168186954183</v>
      </c>
      <c r="I161" s="9">
        <f>DEGREES(H161)</f>
        <v/>
      </c>
      <c r="J161" s="10" t="n">
        <v>-0.6652969369987793</v>
      </c>
      <c r="K161" s="10" t="n">
        <v>2.025821815715505</v>
      </c>
      <c r="L161" s="11">
        <f>$B$5*$B$3*$B$6*SIN(F161)</f>
        <v/>
      </c>
      <c r="M161" s="11">
        <f>$B$9*K161*(SIN(F161))^2 + $B$8*($B$10+K161*COS(F161))*COS(F161)</f>
        <v/>
      </c>
      <c r="N161" s="11">
        <f>0.5*$B$9*(J161^2 + (K161*SIN(F161))^2) + 0.5*$B$8*($B$10 + K161*COS(F161))^2</f>
        <v/>
      </c>
      <c r="O161" s="11">
        <f>$B$3*$B$6*$B$5*COS(F161)</f>
        <v/>
      </c>
      <c r="P161" s="11">
        <f>N161+O161</f>
        <v/>
      </c>
      <c r="Q161" s="12">
        <f>ABS(P161-$P$3)</f>
        <v/>
      </c>
    </row>
    <row r="162">
      <c r="D162" s="13" t="n">
        <v>160</v>
      </c>
      <c r="E162" s="14" t="n">
        <v>1.591136526090065</v>
      </c>
      <c r="F162" s="15" t="n">
        <v>1.159268399814456</v>
      </c>
      <c r="G162" s="16">
        <f>DEGREES(F162)</f>
        <v/>
      </c>
      <c r="H162" s="15" t="n">
        <v>1.653602555534932</v>
      </c>
      <c r="I162" s="16">
        <f>DEGREES(H162)</f>
        <v/>
      </c>
      <c r="J162" s="17" t="n">
        <v>-0.6061738924854784</v>
      </c>
      <c r="K162" s="17" t="n">
        <v>2.057639634902201</v>
      </c>
      <c r="L162" s="18">
        <f>$B$5*$B$3*$B$6*SIN(F162)</f>
        <v/>
      </c>
      <c r="M162" s="18">
        <f>$B$9*K162*(SIN(F162))^2 + $B$8*($B$10+K162*COS(F162))*COS(F162)</f>
        <v/>
      </c>
      <c r="N162" s="18">
        <f>0.5*$B$9*(J162^2 + (K162*SIN(F162))^2) + 0.5*$B$8*($B$10 + K162*COS(F162))^2</f>
        <v/>
      </c>
      <c r="O162" s="18">
        <f>$B$3*$B$6*$B$5*COS(F162)</f>
        <v/>
      </c>
      <c r="P162" s="18">
        <f>N162+O162</f>
        <v/>
      </c>
      <c r="Q162" s="19">
        <f>ABS(P162-$P$3)</f>
        <v/>
      </c>
    </row>
    <row r="163">
      <c r="D163" s="6" t="n">
        <v>161</v>
      </c>
      <c r="E163" s="7" t="n">
        <v>1.601143674052895</v>
      </c>
      <c r="F163" s="8" t="n">
        <v>1.153506169123603</v>
      </c>
      <c r="G163" s="9">
        <f>DEGREES(F163)</f>
        <v/>
      </c>
      <c r="H163" s="8" t="n">
        <v>1.67434036508251</v>
      </c>
      <c r="I163" s="9">
        <f>DEGREES(H163)</f>
        <v/>
      </c>
      <c r="J163" s="10" t="n">
        <v>-0.5451476662282323</v>
      </c>
      <c r="K163" s="10" t="n">
        <v>2.08645078835647</v>
      </c>
      <c r="L163" s="11">
        <f>$B$5*$B$3*$B$6*SIN(F163)</f>
        <v/>
      </c>
      <c r="M163" s="11">
        <f>$B$9*K163*(SIN(F163))^2 + $B$8*($B$10+K163*COS(F163))*COS(F163)</f>
        <v/>
      </c>
      <c r="N163" s="11">
        <f>0.5*$B$9*(J163^2 + (K163*SIN(F163))^2) + 0.5*$B$8*($B$10 + K163*COS(F163))^2</f>
        <v/>
      </c>
      <c r="O163" s="11">
        <f>$B$3*$B$6*$B$5*COS(F163)</f>
        <v/>
      </c>
      <c r="P163" s="11">
        <f>N163+O163</f>
        <v/>
      </c>
      <c r="Q163" s="12">
        <f>ABS(P163-$P$3)</f>
        <v/>
      </c>
    </row>
    <row r="164">
      <c r="D164" s="13" t="n">
        <v>162</v>
      </c>
      <c r="E164" s="14" t="n">
        <v>1.611150822015726</v>
      </c>
      <c r="F164" s="15" t="n">
        <v>1.148363363041752</v>
      </c>
      <c r="G164" s="16">
        <f>DEGREES(F164)</f>
        <v/>
      </c>
      <c r="H164" s="15" t="n">
        <v>1.695351066842958</v>
      </c>
      <c r="I164" s="16">
        <f>DEGREES(H164)</f>
        <v/>
      </c>
      <c r="J164" s="17" t="n">
        <v>-0.4824098600118608</v>
      </c>
      <c r="K164" s="17" t="n">
        <v>2.112164818765723</v>
      </c>
      <c r="L164" s="18">
        <f>$B$5*$B$3*$B$6*SIN(F164)</f>
        <v/>
      </c>
      <c r="M164" s="18">
        <f>$B$9*K164*(SIN(F164))^2 + $B$8*($B$10+K164*COS(F164))*COS(F164)</f>
        <v/>
      </c>
      <c r="N164" s="18">
        <f>0.5*$B$9*(J164^2 + (K164*SIN(F164))^2) + 0.5*$B$8*($B$10 + K164*COS(F164))^2</f>
        <v/>
      </c>
      <c r="O164" s="18">
        <f>$B$3*$B$6*$B$5*COS(F164)</f>
        <v/>
      </c>
      <c r="P164" s="18">
        <f>N164+O164</f>
        <v/>
      </c>
      <c r="Q164" s="19">
        <f>ABS(P164-$P$3)</f>
        <v/>
      </c>
    </row>
    <row r="165">
      <c r="D165" s="6" t="n">
        <v>163</v>
      </c>
      <c r="E165" s="7" t="n">
        <v>1.621157969978556</v>
      </c>
      <c r="F165" s="8" t="n">
        <v>1.143856128246894</v>
      </c>
      <c r="G165" s="9">
        <f>DEGREES(F165)</f>
        <v/>
      </c>
      <c r="H165" s="8" t="n">
        <v>1.716603255272734</v>
      </c>
      <c r="I165" s="9">
        <f>DEGREES(H165)</f>
        <v/>
      </c>
      <c r="J165" s="10" t="n">
        <v>-0.4181574494054667</v>
      </c>
      <c r="K165" s="10" t="n">
        <v>2.134700992740011</v>
      </c>
      <c r="L165" s="11">
        <f>$B$5*$B$3*$B$6*SIN(F165)</f>
        <v/>
      </c>
      <c r="M165" s="11">
        <f>$B$9*K165*(SIN(F165))^2 + $B$8*($B$10+K165*COS(F165))*COS(F165)</f>
        <v/>
      </c>
      <c r="N165" s="11">
        <f>0.5*$B$9*(J165^2 + (K165*SIN(F165))^2) + 0.5*$B$8*($B$10 + K165*COS(F165))^2</f>
        <v/>
      </c>
      <c r="O165" s="11">
        <f>$B$3*$B$6*$B$5*COS(F165)</f>
        <v/>
      </c>
      <c r="P165" s="11">
        <f>N165+O165</f>
        <v/>
      </c>
      <c r="Q165" s="12">
        <f>ABS(P165-$P$3)</f>
        <v/>
      </c>
    </row>
    <row r="166">
      <c r="D166" s="13" t="n">
        <v>164</v>
      </c>
      <c r="E166" s="14" t="n">
        <v>1.631165117941387</v>
      </c>
      <c r="F166" s="15" t="n">
        <v>1.139998615937363</v>
      </c>
      <c r="G166" s="16">
        <f>DEGREES(F166)</f>
        <v/>
      </c>
      <c r="H166" s="15" t="n">
        <v>1.738064766641533</v>
      </c>
      <c r="I166" s="16">
        <f>DEGREES(H166)</f>
        <v/>
      </c>
      <c r="J166" s="17" t="n">
        <v>-0.3525921653255214</v>
      </c>
      <c r="K166" s="17" t="n">
        <v>2.153988554287666</v>
      </c>
      <c r="L166" s="18">
        <f>$B$5*$B$3*$B$6*SIN(F166)</f>
        <v/>
      </c>
      <c r="M166" s="18">
        <f>$B$9*K166*(SIN(F166))^2 + $B$8*($B$10+K166*COS(F166))*COS(F166)</f>
        <v/>
      </c>
      <c r="N166" s="18">
        <f>0.5*$B$9*(J166^2 + (K166*SIN(F166))^2) + 0.5*$B$8*($B$10 + K166*COS(F166))^2</f>
        <v/>
      </c>
      <c r="O166" s="18">
        <f>$B$3*$B$6*$B$5*COS(F166)</f>
        <v/>
      </c>
      <c r="P166" s="18">
        <f>N166+O166</f>
        <v/>
      </c>
      <c r="Q166" s="19">
        <f>ABS(P166-$P$3)</f>
        <v/>
      </c>
    </row>
    <row r="167">
      <c r="D167" s="6" t="n">
        <v>165</v>
      </c>
      <c r="E167" s="7" t="n">
        <v>1.641172265904217</v>
      </c>
      <c r="F167" s="8" t="n">
        <v>1.136802937401843</v>
      </c>
      <c r="G167" s="9">
        <f>DEGREES(F167)</f>
        <v/>
      </c>
      <c r="H167" s="8" t="n">
        <v>1.759702780015564</v>
      </c>
      <c r="I167" s="9">
        <f>DEGREES(H167)</f>
        <v/>
      </c>
      <c r="J167" s="10" t="n">
        <v>-0.2859198606687631</v>
      </c>
      <c r="K167" s="10" t="n">
        <v>2.169966946965269</v>
      </c>
      <c r="L167" s="11">
        <f>$B$5*$B$3*$B$6*SIN(F167)</f>
        <v/>
      </c>
      <c r="M167" s="11">
        <f>$B$9*K167*(SIN(F167))^2 + $B$8*($B$10+K167*COS(F167))*COS(F167)</f>
        <v/>
      </c>
      <c r="N167" s="11">
        <f>0.5*$B$9*(J167^2 + (K167*SIN(F167))^2) + 0.5*$B$8*($B$10 + K167*COS(F167))^2</f>
        <v/>
      </c>
      <c r="O167" s="11">
        <f>$B$3*$B$6*$B$5*COS(F167)</f>
        <v/>
      </c>
      <c r="P167" s="11">
        <f>N167+O167</f>
        <v/>
      </c>
      <c r="Q167" s="12">
        <f>ABS(P167-$P$3)</f>
        <v/>
      </c>
    </row>
    <row r="168">
      <c r="D168" s="13" t="n">
        <v>166</v>
      </c>
      <c r="E168" s="14" t="n">
        <v>1.651179413867048</v>
      </c>
      <c r="F168" s="15" t="n">
        <v>1.134279125994002</v>
      </c>
      <c r="G168" s="16">
        <f>DEGREES(F168)</f>
        <v/>
      </c>
      <c r="H168" s="15" t="n">
        <v>1.781483920304217</v>
      </c>
      <c r="I168" s="16">
        <f>DEGREES(H168)</f>
        <v/>
      </c>
      <c r="J168" s="17" t="n">
        <v>-0.2183498640034876</v>
      </c>
      <c r="K168" s="17" t="n">
        <v>2.182586004004473</v>
      </c>
      <c r="L168" s="18">
        <f>$B$5*$B$3*$B$6*SIN(F168)</f>
        <v/>
      </c>
      <c r="M168" s="18">
        <f>$B$9*K168*(SIN(F168))^2 + $B$8*($B$10+K168*COS(F168))*COS(F168)</f>
        <v/>
      </c>
      <c r="N168" s="18">
        <f>0.5*$B$9*(J168^2 + (K168*SIN(F168))^2) + 0.5*$B$8*($B$10 + K168*COS(F168))^2</f>
        <v/>
      </c>
      <c r="O168" s="18">
        <f>$B$3*$B$6*$B$5*COS(F168)</f>
        <v/>
      </c>
      <c r="P168" s="18">
        <f>N168+O168</f>
        <v/>
      </c>
      <c r="Q168" s="19">
        <f>ABS(P168-$P$3)</f>
        <v/>
      </c>
    </row>
    <row r="169">
      <c r="D169" s="6" t="n">
        <v>167</v>
      </c>
      <c r="E169" s="7" t="n">
        <v>1.661186561829879</v>
      </c>
      <c r="F169" s="8" t="n">
        <v>1.132435105631146</v>
      </c>
      <c r="G169" s="9">
        <f>DEGREES(F169)</f>
        <v/>
      </c>
      <c r="H169" s="8" t="n">
        <v>1.803374363046609</v>
      </c>
      <c r="I169" s="9">
        <f>DEGREES(H169)</f>
        <v/>
      </c>
      <c r="J169" s="10" t="n">
        <v>-0.1500943223483679</v>
      </c>
      <c r="K169" s="10" t="n">
        <v>2.191806105818754</v>
      </c>
      <c r="L169" s="11">
        <f>$B$5*$B$3*$B$6*SIN(F169)</f>
        <v/>
      </c>
      <c r="M169" s="11">
        <f>$B$9*K169*(SIN(F169))^2 + $B$8*($B$10+K169*COS(F169))*COS(F169)</f>
        <v/>
      </c>
      <c r="N169" s="11">
        <f>0.5*$B$9*(J169^2 + (K169*SIN(F169))^2) + 0.5*$B$8*($B$10 + K169*COS(F169))^2</f>
        <v/>
      </c>
      <c r="O169" s="11">
        <f>$B$3*$B$6*$B$5*COS(F169)</f>
        <v/>
      </c>
      <c r="P169" s="11">
        <f>N169+O169</f>
        <v/>
      </c>
      <c r="Q169" s="12">
        <f>ABS(P169-$P$3)</f>
        <v/>
      </c>
    </row>
    <row r="170">
      <c r="D170" s="13" t="n">
        <v>168</v>
      </c>
      <c r="E170" s="14" t="n">
        <v>1.671193709792709</v>
      </c>
      <c r="F170" s="15" t="n">
        <v>1.131276665915785</v>
      </c>
      <c r="G170" s="16">
        <f>DEGREES(F170)</f>
        <v/>
      </c>
      <c r="H170" s="15" t="n">
        <v>1.825339940608981</v>
      </c>
      <c r="I170" s="16">
        <f>DEGREES(H170)</f>
        <v/>
      </c>
      <c r="J170" s="17" t="n">
        <v>-0.08136753510233388</v>
      </c>
      <c r="K170" s="17" t="n">
        <v>2.197598304395555</v>
      </c>
      <c r="L170" s="18">
        <f>$B$5*$B$3*$B$6*SIN(F170)</f>
        <v/>
      </c>
      <c r="M170" s="18">
        <f>$B$9*K170*(SIN(F170))^2 + $B$8*($B$10+K170*COS(F170))*COS(F170)</f>
        <v/>
      </c>
      <c r="N170" s="18">
        <f>0.5*$B$9*(J170^2 + (K170*SIN(F170))^2) + 0.5*$B$8*($B$10 + K170*COS(F170))^2</f>
        <v/>
      </c>
      <c r="O170" s="18">
        <f>$B$3*$B$6*$B$5*COS(F170)</f>
        <v/>
      </c>
      <c r="P170" s="18">
        <f>N170+O170</f>
        <v/>
      </c>
      <c r="Q170" s="19">
        <f>ABS(P170-$P$3)</f>
        <v/>
      </c>
    </row>
    <row r="171">
      <c r="D171" s="6" t="n">
        <v>169</v>
      </c>
      <c r="E171" s="7" t="n">
        <v>1.68120085775554</v>
      </c>
      <c r="F171" s="8" t="n">
        <v>1.130807443958237</v>
      </c>
      <c r="G171" s="9">
        <f>DEGREES(F171)</f>
        <v/>
      </c>
      <c r="H171" s="8" t="n">
        <v>1.847346249459562</v>
      </c>
      <c r="I171" s="9">
        <f>DEGREES(H171)</f>
        <v/>
      </c>
      <c r="J171" s="10" t="n">
        <v>-0.01238528121664755</v>
      </c>
      <c r="K171" s="10" t="n">
        <v>2.199944414183297</v>
      </c>
      <c r="L171" s="11">
        <f>$B$5*$B$3*$B$6*SIN(F171)</f>
        <v/>
      </c>
      <c r="M171" s="11">
        <f>$B$9*K171*(SIN(F171))^2 + $B$8*($B$10+K171*COS(F171))*COS(F171)</f>
        <v/>
      </c>
      <c r="N171" s="11">
        <f>0.5*$B$9*(J171^2 + (K171*SIN(F171))^2) + 0.5*$B$8*($B$10 + K171*COS(F171))^2</f>
        <v/>
      </c>
      <c r="O171" s="11">
        <f>$B$3*$B$6*$B$5*COS(F171)</f>
        <v/>
      </c>
      <c r="P171" s="11">
        <f>N171+O171</f>
        <v/>
      </c>
      <c r="Q171" s="12">
        <f>ABS(P171-$P$3)</f>
        <v/>
      </c>
    </row>
    <row r="172">
      <c r="D172" s="13" t="n">
        <v>170</v>
      </c>
      <c r="E172" s="14" t="n">
        <v>1.69120800571837</v>
      </c>
      <c r="F172" s="15" t="n">
        <v>1.131028912957321</v>
      </c>
      <c r="G172" s="16">
        <f>DEGREES(F172)</f>
        <v/>
      </c>
      <c r="H172" s="15" t="n">
        <v>1.869358758184063</v>
      </c>
      <c r="I172" s="16">
        <f>DEGREES(H172)</f>
        <v/>
      </c>
      <c r="J172" s="17" t="n">
        <v>0.05663585827826315</v>
      </c>
      <c r="K172" s="17" t="n">
        <v>2.198837069187876</v>
      </c>
      <c r="L172" s="18">
        <f>$B$5*$B$3*$B$6*SIN(F172)</f>
        <v/>
      </c>
      <c r="M172" s="18">
        <f>$B$9*K172*(SIN(F172))^2 + $B$8*($B$10+K172*COS(F172))*COS(F172)</f>
        <v/>
      </c>
      <c r="N172" s="18">
        <f>0.5*$B$9*(J172^2 + (K172*SIN(F172))^2) + 0.5*$B$8*($B$10 + K172*COS(F172))^2</f>
        <v/>
      </c>
      <c r="O172" s="18">
        <f>$B$3*$B$6*$B$5*COS(F172)</f>
        <v/>
      </c>
      <c r="P172" s="18">
        <f>N172+O172</f>
        <v/>
      </c>
      <c r="Q172" s="19">
        <f>ABS(P172-$P$3)</f>
        <v/>
      </c>
    </row>
    <row r="173">
      <c r="D173" s="6" t="n">
        <v>171</v>
      </c>
      <c r="E173" s="7" t="n">
        <v>1.701215153681201</v>
      </c>
      <c r="F173" s="8" t="n">
        <v>1.131940377575015</v>
      </c>
      <c r="G173" s="9">
        <f>DEGREES(F173)</f>
        <v/>
      </c>
      <c r="H173" s="8" t="n">
        <v>1.891342915902679</v>
      </c>
      <c r="I173" s="9">
        <f>DEGREES(H173)</f>
        <v/>
      </c>
      <c r="J173" s="10" t="n">
        <v>0.1254791802642616</v>
      </c>
      <c r="K173" s="10" t="n">
        <v>2.194279746099406</v>
      </c>
      <c r="L173" s="11">
        <f>$B$5*$B$3*$B$6*SIN(F173)</f>
        <v/>
      </c>
      <c r="M173" s="11">
        <f>$B$9*K173*(SIN(F173))^2 + $B$8*($B$10+K173*COS(F173))*COS(F173)</f>
        <v/>
      </c>
      <c r="N173" s="11">
        <f>0.5*$B$9*(J173^2 + (K173*SIN(F173))^2) + 0.5*$B$8*($B$10 + K173*COS(F173))^2</f>
        <v/>
      </c>
      <c r="O173" s="11">
        <f>$B$3*$B$6*$B$5*COS(F173)</f>
        <v/>
      </c>
      <c r="P173" s="11">
        <f>N173+O173</f>
        <v/>
      </c>
      <c r="Q173" s="12">
        <f>ABS(P173-$P$3)</f>
        <v/>
      </c>
    </row>
    <row r="174">
      <c r="D174" s="13" t="n">
        <v>172</v>
      </c>
      <c r="E174" s="14" t="n">
        <v>1.711222301644032</v>
      </c>
      <c r="F174" s="15" t="n">
        <v>1.13353897611958</v>
      </c>
      <c r="G174" s="16">
        <f>DEGREES(F174)</f>
        <v/>
      </c>
      <c r="H174" s="15" t="n">
        <v>1.91326426074821</v>
      </c>
      <c r="I174" s="16">
        <f>DEGREES(H174)</f>
        <v/>
      </c>
      <c r="J174" s="17" t="n">
        <v>0.193928539910272</v>
      </c>
      <c r="K174" s="17" t="n">
        <v>2.186286753376584</v>
      </c>
      <c r="L174" s="18">
        <f>$B$5*$B$3*$B$6*SIN(F174)</f>
        <v/>
      </c>
      <c r="M174" s="18">
        <f>$B$9*K174*(SIN(F174))^2 + $B$8*($B$10+K174*COS(F174))*COS(F174)</f>
        <v/>
      </c>
      <c r="N174" s="18">
        <f>0.5*$B$9*(J174^2 + (K174*SIN(F174))^2) + 0.5*$B$8*($B$10 + K174*COS(F174))^2</f>
        <v/>
      </c>
      <c r="O174" s="18">
        <f>$B$3*$B$6*$B$5*COS(F174)</f>
        <v/>
      </c>
      <c r="P174" s="18">
        <f>N174+O174</f>
        <v/>
      </c>
      <c r="Q174" s="19">
        <f>ABS(P174-$P$3)</f>
        <v/>
      </c>
    </row>
    <row r="175">
      <c r="D175" s="6" t="n">
        <v>173</v>
      </c>
      <c r="E175" s="7" t="n">
        <v>1.721229449606862</v>
      </c>
      <c r="F175" s="8" t="n">
        <v>1.135819689530307</v>
      </c>
      <c r="G175" s="9">
        <f>DEGREES(F175)</f>
        <v/>
      </c>
      <c r="H175" s="8" t="n">
        <v>1.935088528064709</v>
      </c>
      <c r="I175" s="9">
        <f>DEGREES(H175)</f>
        <v/>
      </c>
      <c r="J175" s="10" t="n">
        <v>0.2617690292941932</v>
      </c>
      <c r="K175" s="10" t="n">
        <v>2.174883186322949</v>
      </c>
      <c r="L175" s="11">
        <f>$B$5*$B$3*$B$6*SIN(F175)</f>
        <v/>
      </c>
      <c r="M175" s="11">
        <f>$B$9*K175*(SIN(F175))^2 + $B$8*($B$10+K175*COS(F175))*COS(F175)</f>
        <v/>
      </c>
      <c r="N175" s="11">
        <f>0.5*$B$9*(J175^2 + (K175*SIN(F175))^2) + 0.5*$B$8*($B$10 + K175*COS(F175))^2</f>
        <v/>
      </c>
      <c r="O175" s="11">
        <f>$B$3*$B$6*$B$5*COS(F175)</f>
        <v/>
      </c>
      <c r="P175" s="11">
        <f>N175+O175</f>
        <v/>
      </c>
      <c r="Q175" s="12">
        <f>ABS(P175-$P$3)</f>
        <v/>
      </c>
    </row>
    <row r="176">
      <c r="D176" s="13" t="n">
        <v>174</v>
      </c>
      <c r="E176" s="14" t="n">
        <v>1.731236597569693</v>
      </c>
      <c r="F176" s="15" t="n">
        <v>1.138775357135679</v>
      </c>
      <c r="G176" s="16">
        <f>DEGREES(F176)</f>
        <v/>
      </c>
      <c r="H176" s="15" t="n">
        <v>1.956781757986957</v>
      </c>
      <c r="I176" s="16">
        <f>DEGREES(H176)</f>
        <v/>
      </c>
      <c r="J176" s="17" t="n">
        <v>0.3287876521413687</v>
      </c>
      <c r="K176" s="17" t="n">
        <v>2.160104848296089</v>
      </c>
      <c r="L176" s="18">
        <f>$B$5*$B$3*$B$6*SIN(F176)</f>
        <v/>
      </c>
      <c r="M176" s="18">
        <f>$B$9*K176*(SIN(F176))^2 + $B$8*($B$10+K176*COS(F176))*COS(F176)</f>
        <v/>
      </c>
      <c r="N176" s="18">
        <f>0.5*$B$9*(J176^2 + (K176*SIN(F176))^2) + 0.5*$B$8*($B$10 + K176*COS(F176))^2</f>
        <v/>
      </c>
      <c r="O176" s="18">
        <f>$B$3*$B$6*$B$5*COS(F176)</f>
        <v/>
      </c>
      <c r="P176" s="18">
        <f>N176+O176</f>
        <v/>
      </c>
      <c r="Q176" s="19">
        <f>ABS(P176-$P$3)</f>
        <v/>
      </c>
    </row>
    <row r="177">
      <c r="D177" s="6" t="n">
        <v>175</v>
      </c>
      <c r="E177" s="7" t="n">
        <v>1.741243745532523</v>
      </c>
      <c r="F177" s="8" t="n">
        <v>1.142396699135465</v>
      </c>
      <c r="G177" s="9">
        <f>DEGREES(F177)</f>
        <v/>
      </c>
      <c r="H177" s="8" t="n">
        <v>1.978310402062991</v>
      </c>
      <c r="I177" s="9">
        <f>DEGREES(H177)</f>
        <v/>
      </c>
      <c r="J177" s="10" t="n">
        <v>0.394773992561095</v>
      </c>
      <c r="K177" s="10" t="n">
        <v>2.141998138297158</v>
      </c>
      <c r="L177" s="11">
        <f>$B$5*$B$3*$B$6*SIN(F177)</f>
        <v/>
      </c>
      <c r="M177" s="11">
        <f>$B$9*K177*(SIN(F177))^2 + $B$8*($B$10+K177*COS(F177))*COS(F177)</f>
        <v/>
      </c>
      <c r="N177" s="11">
        <f>0.5*$B$9*(J177^2 + (K177*SIN(F177))^2) + 0.5*$B$8*($B$10 + K177*COS(F177))^2</f>
        <v/>
      </c>
      <c r="O177" s="11">
        <f>$B$3*$B$6*$B$5*COS(F177)</f>
        <v/>
      </c>
      <c r="P177" s="11">
        <f>N177+O177</f>
        <v/>
      </c>
      <c r="Q177" s="12">
        <f>ABS(P177-$P$3)</f>
        <v/>
      </c>
    </row>
    <row r="178">
      <c r="D178" s="13" t="n">
        <v>176</v>
      </c>
      <c r="E178" s="14" t="n">
        <v>1.751250893495354</v>
      </c>
      <c r="F178" s="15" t="n">
        <v>1.146672345736165</v>
      </c>
      <c r="G178" s="16">
        <f>DEGREES(F178)</f>
        <v/>
      </c>
      <c r="H178" s="15" t="n">
        <v>1.999641428584943</v>
      </c>
      <c r="I178" s="16">
        <f>DEGREES(H178)</f>
        <v/>
      </c>
      <c r="J178" s="17" t="n">
        <v>0.459520875681615</v>
      </c>
      <c r="K178" s="17" t="n">
        <v>2.120619905293657</v>
      </c>
      <c r="L178" s="18">
        <f>$B$5*$B$3*$B$6*SIN(F178)</f>
        <v/>
      </c>
      <c r="M178" s="18">
        <f>$B$9*K178*(SIN(F178))^2 + $B$8*($B$10+K178*COS(F178))*COS(F178)</f>
        <v/>
      </c>
      <c r="N178" s="18">
        <f>0.5*$B$9*(J178^2 + (K178*SIN(F178))^2) + 0.5*$B$8*($B$10 + K178*COS(F178))^2</f>
        <v/>
      </c>
      <c r="O178" s="18">
        <f>$B$3*$B$6*$B$5*COS(F178)</f>
        <v/>
      </c>
      <c r="P178" s="18">
        <f>N178+O178</f>
        <v/>
      </c>
      <c r="Q178" s="19">
        <f>ABS(P178-$P$3)</f>
        <v/>
      </c>
    </row>
    <row r="179">
      <c r="D179" s="6" t="n">
        <v>177</v>
      </c>
      <c r="E179" s="7" t="n">
        <v>1.761258041458185</v>
      </c>
      <c r="F179" s="8" t="n">
        <v>1.151588872848331</v>
      </c>
      <c r="G179" s="9">
        <f>DEGREES(F179)</f>
        <v/>
      </c>
      <c r="H179" s="8" t="n">
        <v>2.020742426297467</v>
      </c>
      <c r="I179" s="9">
        <f>DEGREES(H179)</f>
        <v/>
      </c>
      <c r="J179" s="10" t="n">
        <v>0.5228250181094067</v>
      </c>
      <c r="K179" s="10" t="n">
        <v>2.096037269732828</v>
      </c>
      <c r="L179" s="11">
        <f>$B$5*$B$3*$B$6*SIN(F179)</f>
        <v/>
      </c>
      <c r="M179" s="11">
        <f>$B$9*K179*(SIN(F179))^2 + $B$8*($B$10+K179*COS(F179))*COS(F179)</f>
        <v/>
      </c>
      <c r="N179" s="11">
        <f>0.5*$B$9*(J179^2 + (K179*SIN(F179))^2) + 0.5*$B$8*($B$10 + K179*COS(F179))^2</f>
        <v/>
      </c>
      <c r="O179" s="11">
        <f>$B$3*$B$6*$B$5*COS(F179)</f>
        <v/>
      </c>
      <c r="P179" s="11">
        <f>N179+O179</f>
        <v/>
      </c>
      <c r="Q179" s="12">
        <f>ABS(P179-$P$3)</f>
        <v/>
      </c>
    </row>
    <row r="180">
      <c r="D180" s="13" t="n">
        <v>178</v>
      </c>
      <c r="E180" s="14" t="n">
        <v>1.771265189421015</v>
      </c>
      <c r="F180" s="15" t="n">
        <v>1.157130844233682</v>
      </c>
      <c r="G180" s="16">
        <f>DEGREES(F180)</f>
        <v/>
      </c>
      <c r="H180" s="15" t="n">
        <v>2.04158170615816</v>
      </c>
      <c r="I180" s="16">
        <f>DEGREES(H180)</f>
        <v/>
      </c>
      <c r="J180" s="17" t="n">
        <v>0.5844876661705108</v>
      </c>
      <c r="K180" s="17" t="n">
        <v>2.068327412806072</v>
      </c>
      <c r="L180" s="18">
        <f>$B$5*$B$3*$B$6*SIN(F180)</f>
        <v/>
      </c>
      <c r="M180" s="18">
        <f>$B$9*K180*(SIN(F180))^2 + $B$8*($B$10+K180*COS(F180))*COS(F180)</f>
        <v/>
      </c>
      <c r="N180" s="18">
        <f>0.5*$B$9*(J180^2 + (K180*SIN(F180))^2) + 0.5*$B$8*($B$10 + K180*COS(F180))^2</f>
        <v/>
      </c>
      <c r="O180" s="18">
        <f>$B$3*$B$6*$B$5*COS(F180)</f>
        <v/>
      </c>
      <c r="P180" s="18">
        <f>N180+O180</f>
        <v/>
      </c>
      <c r="Q180" s="19">
        <f>ABS(P180-$P$3)</f>
        <v/>
      </c>
    </row>
    <row r="181">
      <c r="D181" s="6" t="n">
        <v>179</v>
      </c>
      <c r="E181" s="7" t="n">
        <v>1.781272337383846</v>
      </c>
      <c r="F181" s="8" t="n">
        <v>1.163280859969694</v>
      </c>
      <c r="G181" s="9">
        <f>DEGREES(F181)</f>
        <v/>
      </c>
      <c r="H181" s="8" t="n">
        <v>2.062128400830476</v>
      </c>
      <c r="I181" s="9">
        <f>DEGREES(H181)</f>
        <v/>
      </c>
      <c r="J181" s="10" t="n">
        <v>0.6443152199301154</v>
      </c>
      <c r="K181" s="10" t="n">
        <v>2.037577334126014</v>
      </c>
      <c r="L181" s="11">
        <f>$B$5*$B$3*$B$6*SIN(F181)</f>
        <v/>
      </c>
      <c r="M181" s="11">
        <f>$B$9*K181*(SIN(F181))^2 + $B$8*($B$10+K181*COS(F181))*COS(F181)</f>
        <v/>
      </c>
      <c r="N181" s="11">
        <f>0.5*$B$9*(J181^2 + (K181*SIN(F181))^2) + 0.5*$B$8*($B$10 + K181*COS(F181))^2</f>
        <v/>
      </c>
      <c r="O181" s="11">
        <f>$B$3*$B$6*$B$5*COS(F181)</f>
        <v/>
      </c>
      <c r="P181" s="11">
        <f>N181+O181</f>
        <v/>
      </c>
      <c r="Q181" s="12">
        <f>ABS(P181-$P$3)</f>
        <v/>
      </c>
    </row>
    <row r="182">
      <c r="D182" s="13" t="n">
        <v>180</v>
      </c>
      <c r="E182" s="14" t="n">
        <v>1.791279485346676</v>
      </c>
      <c r="F182" s="15" t="n">
        <v>1.170019611079488</v>
      </c>
      <c r="G182" s="16">
        <f>DEGREES(F182)</f>
        <v/>
      </c>
      <c r="H182" s="15" t="n">
        <v>2.08235256159676</v>
      </c>
      <c r="I182" s="16">
        <f>DEGREES(H182)</f>
        <v/>
      </c>
      <c r="J182" s="17" t="n">
        <v>0.7021198410310853</v>
      </c>
      <c r="K182" s="17" t="n">
        <v>2.003883578577042</v>
      </c>
      <c r="L182" s="18">
        <f>$B$5*$B$3*$B$6*SIN(F182)</f>
        <v/>
      </c>
      <c r="M182" s="18">
        <f>$B$9*K182*(SIN(F182))^2 + $B$8*($B$10+K182*COS(F182))*COS(F182)</f>
        <v/>
      </c>
      <c r="N182" s="18">
        <f>0.5*$B$9*(J182^2 + (K182*SIN(F182))^2) + 0.5*$B$8*($B$10 + K182*COS(F182))^2</f>
        <v/>
      </c>
      <c r="O182" s="18">
        <f>$B$3*$B$6*$B$5*COS(F182)</f>
        <v/>
      </c>
      <c r="P182" s="18">
        <f>N182+O182</f>
        <v/>
      </c>
      <c r="Q182" s="19">
        <f>ABS(P182-$P$3)</f>
        <v/>
      </c>
    </row>
    <row r="183">
      <c r="D183" s="6" t="n">
        <v>181</v>
      </c>
      <c r="E183" s="7" t="n">
        <v>1.801286633309507</v>
      </c>
      <c r="F183" s="8" t="n">
        <v>1.177325940155516</v>
      </c>
      <c r="G183" s="9">
        <f>DEGREES(F183)</f>
        <v/>
      </c>
      <c r="H183" s="8" t="n">
        <v>2.102225252387129</v>
      </c>
      <c r="I183" s="9">
        <f>DEGREES(H183)</f>
        <v/>
      </c>
      <c r="J183" s="10" t="n">
        <v>0.7577200424431199</v>
      </c>
      <c r="K183" s="10" t="n">
        <v>1.967351933196904</v>
      </c>
      <c r="L183" s="11">
        <f>$B$5*$B$3*$B$6*SIN(F183)</f>
        <v/>
      </c>
      <c r="M183" s="11">
        <f>$B$9*K183*(SIN(F183))^2 + $B$8*($B$10+K183*COS(F183))*COS(F183)</f>
        <v/>
      </c>
      <c r="N183" s="11">
        <f>0.5*$B$9*(J183^2 + (K183*SIN(F183))^2) + 0.5*$B$8*($B$10 + K183*COS(F183))^2</f>
        <v/>
      </c>
      <c r="O183" s="11">
        <f>$B$3*$B$6*$B$5*COS(F183)</f>
        <v/>
      </c>
      <c r="P183" s="11">
        <f>N183+O183</f>
        <v/>
      </c>
      <c r="Q183" s="12">
        <f>ABS(P183-$P$3)</f>
        <v/>
      </c>
    </row>
    <row r="184">
      <c r="D184" s="13" t="n">
        <v>182</v>
      </c>
      <c r="E184" s="14" t="n">
        <v>1.811293781272338</v>
      </c>
      <c r="F184" s="15" t="n">
        <v>1.185176907786685</v>
      </c>
      <c r="G184" s="16">
        <f>DEGREES(F184)</f>
        <v/>
      </c>
      <c r="H184" s="15" t="n">
        <v>2.121718640628981</v>
      </c>
      <c r="I184" s="16">
        <f>DEGREES(H184)</f>
        <v/>
      </c>
      <c r="J184" s="17" t="n">
        <v>0.8109412582708542</v>
      </c>
      <c r="K184" s="17" t="n">
        <v>1.928097095041057</v>
      </c>
      <c r="L184" s="18">
        <f>$B$5*$B$3*$B$6*SIN(F184)</f>
        <v/>
      </c>
      <c r="M184" s="18">
        <f>$B$9*K184*(SIN(F184))^2 + $B$8*($B$10+K184*COS(F184))*COS(F184)</f>
        <v/>
      </c>
      <c r="N184" s="18">
        <f>0.5*$B$9*(J184^2 + (K184*SIN(F184))^2) + 0.5*$B$8*($B$10 + K184*COS(F184))^2</f>
        <v/>
      </c>
      <c r="O184" s="18">
        <f>$B$3*$B$6*$B$5*COS(F184)</f>
        <v/>
      </c>
      <c r="P184" s="18">
        <f>N184+O184</f>
        <v/>
      </c>
      <c r="Q184" s="19">
        <f>ABS(P184-$P$3)</f>
        <v/>
      </c>
    </row>
    <row r="185">
      <c r="D185" s="6" t="n">
        <v>183</v>
      </c>
      <c r="E185" s="7" t="n">
        <v>1.821300929235168</v>
      </c>
      <c r="F185" s="8" t="n">
        <v>1.193547864580382</v>
      </c>
      <c r="G185" s="9">
        <f>DEGREES(F185)</f>
        <v/>
      </c>
      <c r="H185" s="8" t="n">
        <v>2.140806084631891</v>
      </c>
      <c r="I185" s="9">
        <f>DEGREES(H185)</f>
        <v/>
      </c>
      <c r="J185" s="10" t="n">
        <v>0.861616391831949</v>
      </c>
      <c r="K185" s="10" t="n">
        <v>1.886242311072571</v>
      </c>
      <c r="L185" s="11">
        <f>$B$5*$B$3*$B$6*SIN(F185)</f>
        <v/>
      </c>
      <c r="M185" s="11">
        <f>$B$9*K185*(SIN(F185))^2 + $B$8*($B$10+K185*COS(F185))*COS(F185)</f>
        <v/>
      </c>
      <c r="N185" s="11">
        <f>0.5*$B$9*(J185^2 + (K185*SIN(F185))^2) + 0.5*$B$8*($B$10 + K185*COS(F185))^2</f>
        <v/>
      </c>
      <c r="O185" s="11">
        <f>$B$3*$B$6*$B$5*COS(F185)</f>
        <v/>
      </c>
      <c r="P185" s="11">
        <f>N185+O185</f>
        <v/>
      </c>
      <c r="Q185" s="12">
        <f>ABS(P185-$P$3)</f>
        <v/>
      </c>
    </row>
    <row r="186">
      <c r="D186" s="13" t="n">
        <v>184</v>
      </c>
      <c r="E186" s="14" t="n">
        <v>1.831308077197999</v>
      </c>
      <c r="F186" s="15" t="n">
        <v>1.202412528553258</v>
      </c>
      <c r="G186" s="16">
        <f>DEGREES(F186)</f>
        <v/>
      </c>
      <c r="H186" s="15" t="n">
        <v>2.159462217233546</v>
      </c>
      <c r="I186" s="16">
        <f>DEGREES(H186)</f>
        <v/>
      </c>
      <c r="J186" s="17" t="n">
        <v>0.9095863402843664</v>
      </c>
      <c r="K186" s="17" t="n">
        <v>1.841918991208191</v>
      </c>
      <c r="L186" s="18">
        <f>$B$5*$B$3*$B$6*SIN(F186)</f>
        <v/>
      </c>
      <c r="M186" s="18">
        <f>$B$9*K186*(SIN(F186))^2 + $B$8*($B$10+K186*COS(F186))*COS(F186)</f>
        <v/>
      </c>
      <c r="N186" s="18">
        <f>0.5*$B$9*(J186^2 + (K186*SIN(F186))^2) + 0.5*$B$8*($B$10 + K186*COS(F186))^2</f>
        <v/>
      </c>
      <c r="O186" s="18">
        <f>$B$3*$B$6*$B$5*COS(F186)</f>
        <v/>
      </c>
      <c r="P186" s="18">
        <f>N186+O186</f>
        <v/>
      </c>
      <c r="Q186" s="19">
        <f>ABS(P186-$P$3)</f>
        <v/>
      </c>
    </row>
    <row r="187">
      <c r="D187" s="6" t="n">
        <v>185</v>
      </c>
      <c r="E187" s="7" t="n">
        <v>1.841315225160829</v>
      </c>
      <c r="F187" s="8" t="n">
        <v>1.211743067647798</v>
      </c>
      <c r="G187" s="9">
        <f>DEGREES(F187)</f>
        <v/>
      </c>
      <c r="H187" s="8" t="n">
        <v>2.177663025444079</v>
      </c>
      <c r="I187" s="9">
        <f>DEGREES(H187)</f>
        <v/>
      </c>
      <c r="J187" s="10" t="n">
        <v>0.9547004941556667</v>
      </c>
      <c r="K187" s="10" t="n">
        <v>1.795266295735491</v>
      </c>
      <c r="L187" s="11">
        <f>$B$5*$B$3*$B$6*SIN(F187)</f>
        <v/>
      </c>
      <c r="M187" s="11">
        <f>$B$9*K187*(SIN(F187))^2 + $B$8*($B$10+K187*COS(F187))*COS(F187)</f>
        <v/>
      </c>
      <c r="N187" s="11">
        <f>0.5*$B$9*(J187^2 + (K187*SIN(F187))^2) + 0.5*$B$8*($B$10 + K187*COS(F187))^2</f>
        <v/>
      </c>
      <c r="O187" s="11">
        <f>$B$3*$B$6*$B$5*COS(F187)</f>
        <v/>
      </c>
      <c r="P187" s="11">
        <f>N187+O187</f>
        <v/>
      </c>
      <c r="Q187" s="12">
        <f>ABS(P187-$P$3)</f>
        <v/>
      </c>
    </row>
    <row r="188">
      <c r="D188" s="13" t="n">
        <v>186</v>
      </c>
      <c r="E188" s="14" t="n">
        <v>1.85132237312366</v>
      </c>
      <c r="F188" s="15" t="n">
        <v>1.221510187115604</v>
      </c>
      <c r="G188" s="16">
        <f>DEGREES(F188)</f>
        <v/>
      </c>
      <c r="H188" s="15" t="n">
        <v>2.195385925838769</v>
      </c>
      <c r="I188" s="16">
        <f>DEGREES(H188)</f>
        <v/>
      </c>
      <c r="J188" s="17" t="n">
        <v>0.9968172102060042</v>
      </c>
      <c r="K188" s="17" t="n">
        <v>1.746430698396461</v>
      </c>
      <c r="L188" s="18">
        <f>$B$5*$B$3*$B$6*SIN(F188)</f>
        <v/>
      </c>
      <c r="M188" s="18">
        <f>$B$9*K188*(SIN(F188))^2 + $B$8*($B$10+K188*COS(F188))*COS(F188)</f>
        <v/>
      </c>
      <c r="N188" s="18">
        <f>0.5*$B$9*(J188^2 + (K188*SIN(F188))^2) + 0.5*$B$8*($B$10 + K188*COS(F188))^2</f>
        <v/>
      </c>
      <c r="O188" s="18">
        <f>$B$3*$B$6*$B$5*COS(F188)</f>
        <v/>
      </c>
      <c r="P188" s="18">
        <f>N188+O188</f>
        <v/>
      </c>
      <c r="Q188" s="19">
        <f>ABS(P188-$P$3)</f>
        <v/>
      </c>
    </row>
    <row r="189">
      <c r="D189" s="6" t="n">
        <v>187</v>
      </c>
      <c r="E189" s="7" t="n">
        <v>1.86132952108649</v>
      </c>
      <c r="F189" s="8" t="n">
        <v>1.231683221493032</v>
      </c>
      <c r="G189" s="9">
        <f>DEGREES(F189)</f>
        <v/>
      </c>
      <c r="H189" s="8" t="n">
        <v>2.212609835462385</v>
      </c>
      <c r="I189" s="9">
        <f>DEGREES(H189)</f>
        <v/>
      </c>
      <c r="J189" s="10" t="n">
        <v>1.035804256140164</v>
      </c>
      <c r="K189" s="10" t="n">
        <v>1.695565526509323</v>
      </c>
      <c r="L189" s="11">
        <f>$B$5*$B$3*$B$6*SIN(F189)</f>
        <v/>
      </c>
      <c r="M189" s="11">
        <f>$B$9*K189*(SIN(F189))^2 + $B$8*($B$10+K189*COS(F189))*COS(F189)</f>
        <v/>
      </c>
      <c r="N189" s="11">
        <f>0.5*$B$9*(J189^2 + (K189*SIN(F189))^2) + 0.5*$B$8*($B$10 + K189*COS(F189))^2</f>
        <v/>
      </c>
      <c r="O189" s="11">
        <f>$B$3*$B$6*$B$5*COS(F189)</f>
        <v/>
      </c>
      <c r="P189" s="11">
        <f>N189+O189</f>
        <v/>
      </c>
      <c r="Q189" s="12">
        <f>ABS(P189-$P$3)</f>
        <v/>
      </c>
    </row>
    <row r="190">
      <c r="D190" s="13" t="n">
        <v>188</v>
      </c>
      <c r="E190" s="14" t="n">
        <v>1.871336669049321</v>
      </c>
      <c r="F190" s="15" t="n">
        <v>1.242230230880413</v>
      </c>
      <c r="G190" s="16">
        <f>DEGREES(F190)</f>
        <v/>
      </c>
      <c r="H190" s="15" t="n">
        <v>2.229315238022559</v>
      </c>
      <c r="I190" s="16">
        <f>DEGREES(H190)</f>
        <v/>
      </c>
      <c r="J190" s="17" t="n">
        <v>1.071539225772412</v>
      </c>
      <c r="K190" s="17" t="n">
        <v>1.642830479572419</v>
      </c>
      <c r="L190" s="18">
        <f>$B$5*$B$3*$B$6*SIN(F190)</f>
        <v/>
      </c>
      <c r="M190" s="18">
        <f>$B$9*K190*(SIN(F190))^2 + $B$8*($B$10+K190*COS(F190))*COS(F190)</f>
        <v/>
      </c>
      <c r="N190" s="18">
        <f>0.5*$B$9*(J190^2 + (K190*SIN(F190))^2) + 0.5*$B$8*($B$10 + K190*COS(F190))^2</f>
        <v/>
      </c>
      <c r="O190" s="18">
        <f>$B$3*$B$6*$B$5*COS(F190)</f>
        <v/>
      </c>
      <c r="P190" s="18">
        <f>N190+O190</f>
        <v/>
      </c>
      <c r="Q190" s="19">
        <f>ABS(P190-$P$3)</f>
        <v/>
      </c>
    </row>
    <row r="191">
      <c r="D191" s="6" t="n">
        <v>189</v>
      </c>
      <c r="E191" s="7" t="n">
        <v>1.881343817012152</v>
      </c>
      <c r="F191" s="8" t="n">
        <v>1.253118101222575</v>
      </c>
      <c r="G191" s="9">
        <f>DEGREES(F191)</f>
        <v/>
      </c>
      <c r="H191" s="8" t="n">
        <v>2.245484245164365</v>
      </c>
      <c r="I191" s="9">
        <f>DEGREES(H191)</f>
        <v/>
      </c>
      <c r="J191" s="10" t="n">
        <v>1.103909923340659</v>
      </c>
      <c r="K191" s="10" t="n">
        <v>1.588391127861607</v>
      </c>
      <c r="L191" s="11">
        <f>$B$5*$B$3*$B$6*SIN(F191)</f>
        <v/>
      </c>
      <c r="M191" s="11">
        <f>$B$9*K191*(SIN(F191))^2 + $B$8*($B$10+K191*COS(F191))*COS(F191)</f>
        <v/>
      </c>
      <c r="N191" s="11">
        <f>0.5*$B$9*(J191^2 + (K191*SIN(F191))^2) + 0.5*$B$8*($B$10 + K191*COS(F191))^2</f>
        <v/>
      </c>
      <c r="O191" s="11">
        <f>$B$3*$B$6*$B$5*COS(F191)</f>
        <v/>
      </c>
      <c r="P191" s="11">
        <f>N191+O191</f>
        <v/>
      </c>
      <c r="Q191" s="12">
        <f>ABS(P191-$P$3)</f>
        <v/>
      </c>
    </row>
    <row r="192">
      <c r="D192" s="13" t="n">
        <v>190</v>
      </c>
      <c r="E192" s="14" t="n">
        <v>1.891350964974982</v>
      </c>
      <c r="F192" s="15" t="n">
        <v>1.264312648275818</v>
      </c>
      <c r="G192" s="16">
        <f>DEGREES(F192)</f>
        <v/>
      </c>
      <c r="H192" s="15" t="n">
        <v>2.261100652633729</v>
      </c>
      <c r="I192" s="16">
        <f>DEGREES(H192)</f>
        <v/>
      </c>
      <c r="J192" s="17" t="n">
        <v>1.132814715763351</v>
      </c>
      <c r="K192" s="17" t="n">
        <v>1.532418392595392</v>
      </c>
      <c r="L192" s="18">
        <f>$B$5*$B$3*$B$6*SIN(F192)</f>
        <v/>
      </c>
      <c r="M192" s="18">
        <f>$B$9*K192*(SIN(F192))^2 + $B$8*($B$10+K192*COS(F192))*COS(F192)</f>
        <v/>
      </c>
      <c r="N192" s="18">
        <f>0.5*$B$9*(J192^2 + (K192*SIN(F192))^2) + 0.5*$B$8*($B$10 + K192*COS(F192))^2</f>
        <v/>
      </c>
      <c r="O192" s="18">
        <f>$B$3*$B$6*$B$5*COS(F192)</f>
        <v/>
      </c>
      <c r="P192" s="18">
        <f>N192+O192</f>
        <v/>
      </c>
      <c r="Q192" s="19">
        <f>ABS(P192-$P$3)</f>
        <v/>
      </c>
    </row>
    <row r="193">
      <c r="D193" s="6" t="n">
        <v>191</v>
      </c>
      <c r="E193" s="7" t="n">
        <v>1.901358112937813</v>
      </c>
      <c r="F193" s="8" t="n">
        <v>1.275778724934918</v>
      </c>
      <c r="G193" s="9">
        <f>DEGREES(F193)</f>
        <v/>
      </c>
      <c r="H193" s="8" t="n">
        <v>2.276149991153325</v>
      </c>
      <c r="I193" s="9">
        <f>DEGREES(H193)</f>
        <v/>
      </c>
      <c r="J193" s="10" t="n">
        <v>1.158162851733095</v>
      </c>
      <c r="K193" s="10" t="n">
        <v>1.475088009299893</v>
      </c>
      <c r="L193" s="11">
        <f>$B$5*$B$3*$B$6*SIN(F193)</f>
        <v/>
      </c>
      <c r="M193" s="11">
        <f>$B$9*K193*(SIN(F193))^2 + $B$8*($B$10+K193*COS(F193))*COS(F193)</f>
        <v/>
      </c>
      <c r="N193" s="11">
        <f>0.5*$B$9*(J193^2 + (K193*SIN(F193))^2) + 0.5*$B$8*($B$10 + K193*COS(F193))^2</f>
        <v/>
      </c>
      <c r="O193" s="11">
        <f>$B$3*$B$6*$B$5*COS(F193)</f>
        <v/>
      </c>
      <c r="P193" s="11">
        <f>N193+O193</f>
        <v/>
      </c>
      <c r="Q193" s="12">
        <f>ABS(P193-$P$3)</f>
        <v/>
      </c>
    </row>
    <row r="194">
      <c r="D194" s="13" t="n">
        <v>192</v>
      </c>
      <c r="E194" s="14" t="n">
        <v>1.911365260900644</v>
      </c>
      <c r="F194" s="15" t="n">
        <v>1.287480331583192</v>
      </c>
      <c r="G194" s="16">
        <f>DEGREES(F194)</f>
        <v/>
      </c>
      <c r="H194" s="15" t="n">
        <v>2.290619571851227</v>
      </c>
      <c r="I194" s="16">
        <f>DEGREES(H194)</f>
        <v/>
      </c>
      <c r="J194" s="17" t="n">
        <v>1.179874746645177</v>
      </c>
      <c r="K194" s="17" t="n">
        <v>1.416579976058523</v>
      </c>
      <c r="L194" s="18">
        <f>$B$5*$B$3*$B$6*SIN(F194)</f>
        <v/>
      </c>
      <c r="M194" s="18">
        <f>$B$9*K194*(SIN(F194))^2 + $B$8*($B$10+K194*COS(F194))*COS(F194)</f>
        <v/>
      </c>
      <c r="N194" s="18">
        <f>0.5*$B$9*(J194^2 + (K194*SIN(F194))^2) + 0.5*$B$8*($B$10 + K194*COS(F194))^2</f>
        <v/>
      </c>
      <c r="O194" s="18">
        <f>$B$3*$B$6*$B$5*COS(F194)</f>
        <v/>
      </c>
      <c r="P194" s="18">
        <f>N194+O194</f>
        <v/>
      </c>
      <c r="Q194" s="19">
        <f>ABS(P194-$P$3)</f>
        <v/>
      </c>
    </row>
    <row r="195">
      <c r="D195" s="6" t="n">
        <v>193</v>
      </c>
      <c r="E195" s="7" t="n">
        <v>1.921372408863474</v>
      </c>
      <c r="F195" s="8" t="n">
        <v>1.299380729119164</v>
      </c>
      <c r="G195" s="9">
        <f>DEGREES(F195)</f>
        <v/>
      </c>
      <c r="H195" s="8" t="n">
        <v>2.304498526099695</v>
      </c>
      <c r="I195" s="9">
        <f>DEGREES(H195)</f>
        <v/>
      </c>
      <c r="J195" s="10" t="n">
        <v>1.197882232466404</v>
      </c>
      <c r="K195" s="10" t="n">
        <v>1.357077988378662</v>
      </c>
      <c r="L195" s="11">
        <f>$B$5*$B$3*$B$6*SIN(F195)</f>
        <v/>
      </c>
      <c r="M195" s="11">
        <f>$B$9*K195*(SIN(F195))^2 + $B$8*($B$10+K195*COS(F195))*COS(F195)</f>
        <v/>
      </c>
      <c r="N195" s="11">
        <f>0.5*$B$9*(J195^2 + (K195*SIN(F195))^2) + 0.5*$B$8*($B$10 + K195*COS(F195))^2</f>
        <v/>
      </c>
      <c r="O195" s="11">
        <f>$B$3*$B$6*$B$5*COS(F195)</f>
        <v/>
      </c>
      <c r="P195" s="11">
        <f>N195+O195</f>
        <v/>
      </c>
      <c r="Q195" s="12">
        <f>ABS(P195-$P$3)</f>
        <v/>
      </c>
    </row>
    <row r="196">
      <c r="D196" s="13" t="n">
        <v>194</v>
      </c>
      <c r="E196" s="14" t="n">
        <v>1.931379556826305</v>
      </c>
      <c r="F196" s="15" t="n">
        <v>1.311442554304964</v>
      </c>
      <c r="G196" s="16">
        <f>DEGREES(F196)</f>
        <v/>
      </c>
      <c r="H196" s="15" t="n">
        <v>2.317777839638999</v>
      </c>
      <c r="I196" s="16">
        <f>DEGREES(H196)</f>
        <v/>
      </c>
      <c r="J196" s="17" t="n">
        <v>1.212128771759759</v>
      </c>
      <c r="K196" s="17" t="n">
        <v>1.296768862449662</v>
      </c>
      <c r="L196" s="18">
        <f>$B$5*$B$3*$B$6*SIN(F196)</f>
        <v/>
      </c>
      <c r="M196" s="18">
        <f>$B$9*K196*(SIN(F196))^2 + $B$8*($B$10+K196*COS(F196))*COS(F196)</f>
        <v/>
      </c>
      <c r="N196" s="18">
        <f>0.5*$B$9*(J196^2 + (K196*SIN(F196))^2) + 0.5*$B$8*($B$10 + K196*COS(F196))^2</f>
        <v/>
      </c>
      <c r="O196" s="18">
        <f>$B$3*$B$6*$B$5*COS(F196)</f>
        <v/>
      </c>
      <c r="P196" s="18">
        <f>N196+O196</f>
        <v/>
      </c>
      <c r="Q196" s="19">
        <f>ABS(P196-$P$3)</f>
        <v/>
      </c>
    </row>
    <row r="197">
      <c r="D197" s="6" t="n">
        <v>195</v>
      </c>
      <c r="E197" s="7" t="n">
        <v>1.941386704789135</v>
      </c>
      <c r="F197" s="8" t="n">
        <v>1.3236279370743</v>
      </c>
      <c r="G197" s="9">
        <f>DEGREES(F197)</f>
        <v/>
      </c>
      <c r="H197" s="8" t="n">
        <v>2.330450380879161</v>
      </c>
      <c r="I197" s="9">
        <f>DEGREES(H197)</f>
        <v/>
      </c>
      <c r="J197" s="10" t="n">
        <v>1.222569635192892</v>
      </c>
      <c r="K197" s="10" t="n">
        <v>1.23584194860298</v>
      </c>
      <c r="L197" s="11">
        <f>$B$5*$B$3*$B$6*SIN(F197)</f>
        <v/>
      </c>
      <c r="M197" s="11">
        <f>$B$9*K197*(SIN(F197))^2 + $B$8*($B$10+K197*COS(F197))*COS(F197)</f>
        <v/>
      </c>
      <c r="N197" s="11">
        <f>0.5*$B$9*(J197^2 + (K197*SIN(F197))^2) + 0.5*$B$8*($B$10 + K197*COS(F197))^2</f>
        <v/>
      </c>
      <c r="O197" s="11">
        <f>$B$3*$B$6*$B$5*COS(F197)</f>
        <v/>
      </c>
      <c r="P197" s="11">
        <f>N197+O197</f>
        <v/>
      </c>
      <c r="Q197" s="12">
        <f>ABS(P197-$P$3)</f>
        <v/>
      </c>
    </row>
    <row r="198">
      <c r="D198" s="13" t="n">
        <v>196</v>
      </c>
      <c r="E198" s="14" t="n">
        <v>1.951393852751966</v>
      </c>
      <c r="F198" s="15" t="n">
        <v>1.335898619431708</v>
      </c>
      <c r="G198" s="16">
        <f>DEGREES(F198)</f>
        <v/>
      </c>
      <c r="H198" s="15" t="n">
        <v>2.34251092329074</v>
      </c>
      <c r="I198" s="16">
        <f>DEGREES(H198)</f>
        <v/>
      </c>
      <c r="J198" s="17" t="n">
        <v>1.229172041973157</v>
      </c>
      <c r="K198" s="17" t="n">
        <v>1.174488536815941</v>
      </c>
      <c r="L198" s="18">
        <f>$B$5*$B$3*$B$6*SIN(F198)</f>
        <v/>
      </c>
      <c r="M198" s="18">
        <f>$B$9*K198*(SIN(F198))^2 + $B$8*($B$10+K198*COS(F198))*COS(F198)</f>
        <v/>
      </c>
      <c r="N198" s="18">
        <f>0.5*$B$9*(J198^2 + (K198*SIN(F198))^2) + 0.5*$B$8*($B$10 + K198*COS(F198))^2</f>
        <v/>
      </c>
      <c r="O198" s="18">
        <f>$B$3*$B$6*$B$5*COS(F198)</f>
        <v/>
      </c>
      <c r="P198" s="18">
        <f>N198+O198</f>
        <v/>
      </c>
      <c r="Q198" s="19">
        <f>ABS(P198-$P$3)</f>
        <v/>
      </c>
    </row>
    <row r="199">
      <c r="D199" s="6" t="n">
        <v>197</v>
      </c>
      <c r="E199" s="7" t="n">
        <v>1.961401000714796</v>
      </c>
      <c r="F199" s="8" t="n">
        <v>1.348216075569762</v>
      </c>
      <c r="G199" s="9">
        <f>DEGREES(F199)</f>
        <v/>
      </c>
      <c r="H199" s="8" t="n">
        <v>2.353956161814378</v>
      </c>
      <c r="I199" s="9">
        <f>DEGREES(H199)</f>
        <v/>
      </c>
      <c r="J199" s="10" t="n">
        <v>1.231915262768252</v>
      </c>
      <c r="K199" s="10" t="n">
        <v>1.112901256125674</v>
      </c>
      <c r="L199" s="11">
        <f>$B$5*$B$3*$B$6*SIN(F199)</f>
        <v/>
      </c>
      <c r="M199" s="11">
        <f>$B$9*K199*(SIN(F199))^2 + $B$8*($B$10+K199*COS(F199))*COS(F199)</f>
        <v/>
      </c>
      <c r="N199" s="11">
        <f>0.5*$B$9*(J199^2 + (K199*SIN(F199))^2) + 0.5*$B$8*($B$10 + K199*COS(F199))^2</f>
        <v/>
      </c>
      <c r="O199" s="11">
        <f>$B$3*$B$6*$B$5*COS(F199)</f>
        <v/>
      </c>
      <c r="P199" s="11">
        <f>N199+O199</f>
        <v/>
      </c>
      <c r="Q199" s="12">
        <f>ABS(P199-$P$3)</f>
        <v/>
      </c>
    </row>
    <row r="200">
      <c r="D200" s="13" t="n">
        <v>198</v>
      </c>
      <c r="E200" s="14" t="n">
        <v>1.971408148677627</v>
      </c>
      <c r="F200" s="15" t="n">
        <v>1.360541632827127</v>
      </c>
      <c r="G200" s="16">
        <f>DEGREES(F200)</f>
        <v/>
      </c>
      <c r="H200" s="15" t="n">
        <v>2.364784723237567</v>
      </c>
      <c r="I200" s="16">
        <f>DEGREES(H200)</f>
        <v/>
      </c>
      <c r="J200" s="17" t="n">
        <v>1.230790684789337</v>
      </c>
      <c r="K200" s="17" t="n">
        <v>1.051273469838849</v>
      </c>
      <c r="L200" s="18">
        <f>$B$5*$B$3*$B$6*SIN(F200)</f>
        <v/>
      </c>
      <c r="M200" s="18">
        <f>$B$9*K200*(SIN(F200))^2 + $B$8*($B$10+K200*COS(F200))*COS(F200)</f>
        <v/>
      </c>
      <c r="N200" s="18">
        <f>0.5*$B$9*(J200^2 + (K200*SIN(F200))^2) + 0.5*$B$8*($B$10 + K200*COS(F200))^2</f>
        <v/>
      </c>
      <c r="O200" s="18">
        <f>$B$3*$B$6*$B$5*COS(F200)</f>
        <v/>
      </c>
      <c r="P200" s="18">
        <f>N200+O200</f>
        <v/>
      </c>
      <c r="Q200" s="19">
        <f>ABS(P200-$P$3)</f>
        <v/>
      </c>
    </row>
    <row r="201">
      <c r="D201" s="6" t="n">
        <v>199</v>
      </c>
      <c r="E201" s="7" t="n">
        <v>1.981415296640458</v>
      </c>
      <c r="F201" s="8" t="n">
        <v>1.372836593107684</v>
      </c>
      <c r="G201" s="9">
        <f>DEGREES(F201)</f>
        <v/>
      </c>
      <c r="H201" s="8" t="n">
        <v>2.37499717050608</v>
      </c>
      <c r="I201" s="9">
        <f>DEGREES(H201)</f>
        <v/>
      </c>
      <c r="J201" s="10" t="n">
        <v>1.225801838832286</v>
      </c>
      <c r="K201" s="10" t="n">
        <v>0.989798668436061</v>
      </c>
      <c r="L201" s="11">
        <f>$B$5*$B$3*$B$6*SIN(F201)</f>
        <v/>
      </c>
      <c r="M201" s="11">
        <f>$B$9*K201*(SIN(F201))^2 + $B$8*($B$10+K201*COS(F201))*COS(F201)</f>
        <v/>
      </c>
      <c r="N201" s="11">
        <f>0.5*$B$9*(J201^2 + (K201*SIN(F201))^2) + 0.5*$B$8*($B$10 + K201*COS(F201))^2</f>
        <v/>
      </c>
      <c r="O201" s="11">
        <f>$B$3*$B$6*$B$5*COS(F201)</f>
        <v/>
      </c>
      <c r="P201" s="11">
        <f>N201+O201</f>
        <v/>
      </c>
      <c r="Q201" s="12">
        <f>ABS(P201-$P$3)</f>
        <v/>
      </c>
    </row>
    <row r="202">
      <c r="D202" s="13" t="n">
        <v>200</v>
      </c>
      <c r="E202" s="14" t="n">
        <v>1.991422444603288</v>
      </c>
      <c r="F202" s="15" t="n">
        <v>1.385062354379511</v>
      </c>
      <c r="G202" s="16">
        <f>DEGREES(F202)</f>
        <v/>
      </c>
      <c r="H202" s="15" t="n">
        <v>2.384596000956503</v>
      </c>
      <c r="I202" s="16">
        <f>DEGREES(H202)</f>
        <v/>
      </c>
      <c r="J202" s="17" t="n">
        <v>1.216964388192181</v>
      </c>
      <c r="K202" s="17" t="n">
        <v>0.9286698620769276</v>
      </c>
      <c r="L202" s="18">
        <f>$B$5*$B$3*$B$6*SIN(F202)</f>
        <v/>
      </c>
      <c r="M202" s="18">
        <f>$B$9*K202*(SIN(F202))^2 + $B$8*($B$10+K202*COS(F202))*COS(F202)</f>
        <v/>
      </c>
      <c r="N202" s="18">
        <f>0.5*$B$9*(J202^2 + (K202*SIN(F202))^2) + 0.5*$B$8*($B$10 + K202*COS(F202))^2</f>
        <v/>
      </c>
      <c r="O202" s="18">
        <f>$B$3*$B$6*$B$5*COS(F202)</f>
        <v/>
      </c>
      <c r="P202" s="18">
        <f>N202+O202</f>
        <v/>
      </c>
      <c r="Q202" s="19">
        <f>ABS(P202-$P$3)</f>
        <v/>
      </c>
    </row>
    <row r="203">
      <c r="D203" s="6" t="n">
        <v>201</v>
      </c>
      <c r="E203" s="7" t="n">
        <v>2.001429592566119</v>
      </c>
      <c r="F203" s="8" t="n">
        <v>1.397180531872252</v>
      </c>
      <c r="G203" s="9">
        <f>DEGREES(F203)</f>
        <v/>
      </c>
      <c r="H203" s="8" t="n">
        <v>2.393585638475448</v>
      </c>
      <c r="I203" s="9">
        <f>DEGREES(H203)</f>
        <v/>
      </c>
      <c r="J203" s="10" t="n">
        <v>1.204306079485842</v>
      </c>
      <c r="K203" s="10" t="n">
        <v>0.8680789746132208</v>
      </c>
      <c r="L203" s="11">
        <f>$B$5*$B$3*$B$6*SIN(F203)</f>
        <v/>
      </c>
      <c r="M203" s="11">
        <f>$B$9*K203*(SIN(F203))^2 + $B$8*($B$10+K203*COS(F203))*COS(F203)</f>
        <v/>
      </c>
      <c r="N203" s="11">
        <f>0.5*$B$9*(J203^2 + (K203*SIN(F203))^2) + 0.5*$B$8*($B$10 + K203*COS(F203))^2</f>
        <v/>
      </c>
      <c r="O203" s="11">
        <f>$B$3*$B$6*$B$5*COS(F203)</f>
        <v/>
      </c>
      <c r="P203" s="11">
        <f>N203+O203</f>
        <v/>
      </c>
      <c r="Q203" s="12">
        <f>ABS(P203-$P$3)</f>
        <v/>
      </c>
    </row>
    <row r="204">
      <c r="D204" s="13" t="n">
        <v>202</v>
      </c>
      <c r="E204" s="14" t="n">
        <v>2.011436740528949</v>
      </c>
      <c r="F204" s="15" t="n">
        <v>1.409153078592364</v>
      </c>
      <c r="G204" s="16">
        <f>DEGREES(F204)</f>
        <v/>
      </c>
      <c r="H204" s="15" t="n">
        <v>2.401972419610034</v>
      </c>
      <c r="I204" s="16">
        <f>DEGREES(H204)</f>
        <v/>
      </c>
      <c r="J204" s="17" t="n">
        <v>1.187866655536802</v>
      </c>
      <c r="K204" s="17" t="n">
        <v>0.8082162410126642</v>
      </c>
      <c r="L204" s="18">
        <f>$B$5*$B$3*$B$6*SIN(F204)</f>
        <v/>
      </c>
      <c r="M204" s="18">
        <f>$B$9*K204*(SIN(F204))^2 + $B$8*($B$10+K204*COS(F204))*COS(F204)</f>
        <v/>
      </c>
      <c r="N204" s="18">
        <f>0.5*$B$9*(J204^2 + (K204*SIN(F204))^2) + 0.5*$B$8*($B$10 + K204*COS(F204))^2</f>
        <v/>
      </c>
      <c r="O204" s="18">
        <f>$B$3*$B$6*$B$5*COS(F204)</f>
        <v/>
      </c>
      <c r="P204" s="18">
        <f>N204+O204</f>
        <v/>
      </c>
      <c r="Q204" s="19">
        <f>ABS(P204-$P$3)</f>
        <v/>
      </c>
    </row>
    <row r="205">
      <c r="D205" s="6" t="n">
        <v>203</v>
      </c>
      <c r="E205" s="7" t="n">
        <v>2.02144388849178</v>
      </c>
      <c r="F205" s="8" t="n">
        <v>1.420942404777849</v>
      </c>
      <c r="G205" s="9">
        <f>DEGREES(F205)</f>
        <v/>
      </c>
      <c r="H205" s="8" t="n">
        <v>2.409764573673266</v>
      </c>
      <c r="I205" s="9">
        <f>DEGREES(H205)</f>
        <v/>
      </c>
      <c r="J205" s="10" t="n">
        <v>1.167697730596233</v>
      </c>
      <c r="K205" s="10" t="n">
        <v>0.7492696100852361</v>
      </c>
      <c r="L205" s="11">
        <f>$B$5*$B$3*$B$6*SIN(F205)</f>
        <v/>
      </c>
      <c r="M205" s="11">
        <f>$B$9*K205*(SIN(F205))^2 + $B$8*($B$10+K205*COS(F205))*COS(F205)</f>
        <v/>
      </c>
      <c r="N205" s="11">
        <f>0.5*$B$9*(J205^2 + (K205*SIN(F205))^2) + 0.5*$B$8*($B$10 + K205*COS(F205))^2</f>
        <v/>
      </c>
      <c r="O205" s="11">
        <f>$B$3*$B$6*$B$5*COS(F205)</f>
        <v/>
      </c>
      <c r="P205" s="11">
        <f>N205+O205</f>
        <v/>
      </c>
      <c r="Q205" s="12">
        <f>ABS(P205-$P$3)</f>
        <v/>
      </c>
    </row>
    <row r="206">
      <c r="D206" s="13" t="n">
        <v>204</v>
      </c>
      <c r="E206" s="14" t="n">
        <v>2.031451036454611</v>
      </c>
      <c r="F206" s="15" t="n">
        <v>1.432511495917449</v>
      </c>
      <c r="G206" s="16">
        <f>DEGREES(F206)</f>
        <v/>
      </c>
      <c r="H206" s="15" t="n">
        <v>2.416972196906767</v>
      </c>
      <c r="I206" s="16">
        <f>DEGREES(H206)</f>
        <v/>
      </c>
      <c r="J206" s="17" t="n">
        <v>1.143862628291593</v>
      </c>
      <c r="K206" s="17" t="n">
        <v>0.6914241543872389</v>
      </c>
      <c r="L206" s="18">
        <f>$B$5*$B$3*$B$6*SIN(F206)</f>
        <v/>
      </c>
      <c r="M206" s="18">
        <f>$B$9*K206*(SIN(F206))^2 + $B$8*($B$10+K206*COS(F206))*COS(F206)</f>
        <v/>
      </c>
      <c r="N206" s="18">
        <f>0.5*$B$9*(J206^2 + (K206*SIN(F206))^2) + 0.5*$B$8*($B$10 + K206*COS(F206))^2</f>
        <v/>
      </c>
      <c r="O206" s="18">
        <f>$B$3*$B$6*$B$5*COS(F206)</f>
        <v/>
      </c>
      <c r="P206" s="18">
        <f>N206+O206</f>
        <v/>
      </c>
      <c r="Q206" s="19">
        <f>ABS(P206-$P$3)</f>
        <v/>
      </c>
    </row>
    <row r="207">
      <c r="D207" s="6" t="n">
        <v>205</v>
      </c>
      <c r="E207" s="7" t="n">
        <v>2.041458184417441</v>
      </c>
      <c r="F207" s="8" t="n">
        <v>1.443824028963726</v>
      </c>
      <c r="G207" s="9">
        <f>DEGREES(F207)</f>
        <v/>
      </c>
      <c r="H207" s="8" t="n">
        <v>2.423607220781981</v>
      </c>
      <c r="I207" s="9">
        <f>DEGREES(H207)</f>
        <v/>
      </c>
      <c r="J207" s="10" t="n">
        <v>1.116436182811773</v>
      </c>
      <c r="K207" s="10" t="n">
        <v>0.6348614891558526</v>
      </c>
      <c r="L207" s="11">
        <f>$B$5*$B$3*$B$6*SIN(F207)</f>
        <v/>
      </c>
      <c r="M207" s="11">
        <f>$B$9*K207*(SIN(F207))^2 + $B$8*($B$10+K207*COS(F207))*COS(F207)</f>
        <v/>
      </c>
      <c r="N207" s="11">
        <f>0.5*$B$9*(J207^2 + (K207*SIN(F207))^2) + 0.5*$B$8*($B$10 + K207*COS(F207))^2</f>
        <v/>
      </c>
      <c r="O207" s="11">
        <f>$B$3*$B$6*$B$5*COS(F207)</f>
        <v/>
      </c>
      <c r="P207" s="11">
        <f>N207+O207</f>
        <v/>
      </c>
      <c r="Q207" s="12">
        <f>ABS(P207-$P$3)</f>
        <v/>
      </c>
    </row>
    <row r="208">
      <c r="D208" s="13" t="n">
        <v>206</v>
      </c>
      <c r="E208" s="14" t="n">
        <v>2.051465332380272</v>
      </c>
      <c r="F208" s="15" t="n">
        <v>1.454844486375199</v>
      </c>
      <c r="G208" s="16">
        <f>DEGREES(F208)</f>
        <v/>
      </c>
      <c r="H208" s="15" t="n">
        <v>2.429683374539371</v>
      </c>
      <c r="I208" s="16">
        <f>DEGREES(H208)</f>
        <v/>
      </c>
      <c r="J208" s="17" t="n">
        <v>1.085504503952964</v>
      </c>
      <c r="K208" s="17" t="n">
        <v>0.5797592020984875</v>
      </c>
      <c r="L208" s="18">
        <f>$B$5*$B$3*$B$6*SIN(F208)</f>
        <v/>
      </c>
      <c r="M208" s="18">
        <f>$B$9*K208*(SIN(F208))^2 + $B$8*($B$10+K208*COS(F208))*COS(F208)</f>
        <v/>
      </c>
      <c r="N208" s="18">
        <f>0.5*$B$9*(J208^2 + (K208*SIN(F208))^2) + 0.5*$B$8*($B$10 + K208*COS(F208))^2</f>
        <v/>
      </c>
      <c r="O208" s="18">
        <f>$B$3*$B$6*$B$5*COS(F208)</f>
        <v/>
      </c>
      <c r="P208" s="18">
        <f>N208+O208</f>
        <v/>
      </c>
      <c r="Q208" s="19">
        <f>ABS(P208-$P$3)</f>
        <v/>
      </c>
    </row>
    <row r="209">
      <c r="D209" s="6" t="n">
        <v>207</v>
      </c>
      <c r="E209" s="7" t="n">
        <v>2.061472480343102</v>
      </c>
      <c r="F209" s="8" t="n">
        <v>1.465538267629452</v>
      </c>
      <c r="G209" s="9">
        <f>DEGREES(F209)</f>
        <v/>
      </c>
      <c r="H209" s="8" t="n">
        <v>2.435216142083235</v>
      </c>
      <c r="I209" s="9">
        <f>DEGREES(H209)</f>
        <v/>
      </c>
      <c r="J209" s="10" t="n">
        <v>1.051164706762918</v>
      </c>
      <c r="K209" s="10" t="n">
        <v>0.5262902958272245</v>
      </c>
      <c r="L209" s="11">
        <f>$B$5*$B$3*$B$6*SIN(F209)</f>
        <v/>
      </c>
      <c r="M209" s="11">
        <f>$B$9*K209*(SIN(F209))^2 + $B$8*($B$10+K209*COS(F209))*COS(F209)</f>
        <v/>
      </c>
      <c r="N209" s="11">
        <f>0.5*$B$9*(J209^2 + (K209*SIN(F209))^2) + 0.5*$B$8*($B$10 + K209*COS(F209))^2</f>
        <v/>
      </c>
      <c r="O209" s="11">
        <f>$B$3*$B$6*$B$5*COS(F209)</f>
        <v/>
      </c>
      <c r="P209" s="11">
        <f>N209+O209</f>
        <v/>
      </c>
      <c r="Q209" s="12">
        <f>ABS(P209-$P$3)</f>
        <v/>
      </c>
    </row>
    <row r="210">
      <c r="D210" s="13" t="n">
        <v>208</v>
      </c>
      <c r="E210" s="14" t="n">
        <v>2.071479628305933</v>
      </c>
      <c r="F210" s="15" t="n">
        <v>1.475871797857111</v>
      </c>
      <c r="G210" s="16">
        <f>DEGREES(F210)</f>
        <v/>
      </c>
      <c r="H210" s="15" t="n">
        <v>2.440222713367461</v>
      </c>
      <c r="I210" s="16">
        <f>DEGREES(H210)</f>
        <v/>
      </c>
      <c r="J210" s="17" t="n">
        <v>1.013524606632419</v>
      </c>
      <c r="K210" s="17" t="n">
        <v>0.4746226446889253</v>
      </c>
      <c r="L210" s="18">
        <f>$B$5*$B$3*$B$6*SIN(F210)</f>
        <v/>
      </c>
      <c r="M210" s="18">
        <f>$B$9*K210*(SIN(F210))^2 + $B$8*($B$10+K210*COS(F210))*COS(F210)</f>
        <v/>
      </c>
      <c r="N210" s="18">
        <f>0.5*$B$9*(J210^2 + (K210*SIN(F210))^2) + 0.5*$B$8*($B$10 + K210*COS(F210))^2</f>
        <v/>
      </c>
      <c r="O210" s="18">
        <f>$B$3*$B$6*$B$5*COS(F210)</f>
        <v/>
      </c>
      <c r="P210" s="18">
        <f>N210+O210</f>
        <v/>
      </c>
      <c r="Q210" s="19">
        <f>ABS(P210-$P$3)</f>
        <v/>
      </c>
    </row>
    <row r="211">
      <c r="D211" s="6" t="n">
        <v>209</v>
      </c>
      <c r="E211" s="7" t="n">
        <v>2.081486776268763</v>
      </c>
      <c r="F211" s="8" t="n">
        <v>1.485812633255627</v>
      </c>
      <c r="G211" s="9">
        <f>DEGREES(F211)</f>
        <v/>
      </c>
      <c r="H211" s="8" t="n">
        <v>2.444721930424865</v>
      </c>
      <c r="I211" s="9">
        <f>DEGREES(H211)</f>
        <v/>
      </c>
      <c r="J211" s="10" t="n">
        <v>0.9727023807912994</v>
      </c>
      <c r="K211" s="10" t="n">
        <v>0.4249184676963501</v>
      </c>
      <c r="L211" s="11">
        <f>$B$5*$B$3*$B$6*SIN(F211)</f>
        <v/>
      </c>
      <c r="M211" s="11">
        <f>$B$9*K211*(SIN(F211))^2 + $B$8*($B$10+K211*COS(F211))*COS(F211)</f>
        <v/>
      </c>
      <c r="N211" s="11">
        <f>0.5*$B$9*(J211^2 + (K211*SIN(F211))^2) + 0.5*$B$8*($B$10 + K211*COS(F211))^2</f>
        <v/>
      </c>
      <c r="O211" s="11">
        <f>$B$3*$B$6*$B$5*COS(F211)</f>
        <v/>
      </c>
      <c r="P211" s="11">
        <f>N211+O211</f>
        <v/>
      </c>
      <c r="Q211" s="12">
        <f>ABS(P211-$P$3)</f>
        <v/>
      </c>
    </row>
    <row r="212">
      <c r="D212" s="13" t="n">
        <v>210</v>
      </c>
      <c r="E212" s="14" t="n">
        <v>2.091493924231594</v>
      </c>
      <c r="F212" s="15" t="n">
        <v>1.495329562951872</v>
      </c>
      <c r="G212" s="16">
        <f>DEGREES(F212)</f>
        <v/>
      </c>
      <c r="H212" s="15" t="n">
        <v>2.448734228209561</v>
      </c>
      <c r="I212" s="16">
        <f>DEGREES(H212)</f>
        <v/>
      </c>
      <c r="J212" s="17" t="n">
        <v>0.9288261972717524</v>
      </c>
      <c r="K212" s="17" t="n">
        <v>0.3773338192151207</v>
      </c>
      <c r="L212" s="18">
        <f>$B$5*$B$3*$B$6*SIN(F212)</f>
        <v/>
      </c>
      <c r="M212" s="18">
        <f>$B$9*K212*(SIN(F212))^2 + $B$8*($B$10+K212*COS(F212))*COS(F212)</f>
        <v/>
      </c>
      <c r="N212" s="18">
        <f>0.5*$B$9*(J212^2 + (K212*SIN(F212))^2) + 0.5*$B$8*($B$10 + K212*COS(F212))^2</f>
        <v/>
      </c>
      <c r="O212" s="18">
        <f>$B$3*$B$6*$B$5*COS(F212)</f>
        <v/>
      </c>
      <c r="P212" s="18">
        <f>N212+O212</f>
        <v/>
      </c>
      <c r="Q212" s="19">
        <f>ABS(P212-$P$3)</f>
        <v/>
      </c>
    </row>
    <row r="213">
      <c r="D213" s="6" t="n">
        <v>211</v>
      </c>
      <c r="E213" s="7" t="n">
        <v>2.101501072194425</v>
      </c>
      <c r="F213" s="8" t="n">
        <v>1.504392706993775</v>
      </c>
      <c r="G213" s="9">
        <f>DEGREES(F213)</f>
        <v/>
      </c>
      <c r="H213" s="8" t="n">
        <v>2.452281570438088</v>
      </c>
      <c r="I213" s="9">
        <f>DEGREES(H213)</f>
        <v/>
      </c>
      <c r="J213" s="10" t="n">
        <v>0.88203381250391</v>
      </c>
      <c r="K213" s="10" t="n">
        <v>0.3320180990056103</v>
      </c>
      <c r="L213" s="11">
        <f>$B$5*$B$3*$B$6*SIN(F213)</f>
        <v/>
      </c>
      <c r="M213" s="11">
        <f>$B$9*K213*(SIN(F213))^2 + $B$8*($B$10+K213*COS(F213))*COS(F213)</f>
        <v/>
      </c>
      <c r="N213" s="11">
        <f>0.5*$B$9*(J213^2 + (K213*SIN(F213))^2) + 0.5*$B$8*($B$10 + K213*COS(F213))^2</f>
        <v/>
      </c>
      <c r="O213" s="11">
        <f>$B$3*$B$6*$B$5*COS(F213)</f>
        <v/>
      </c>
      <c r="P213" s="11">
        <f>N213+O213</f>
        <v/>
      </c>
      <c r="Q213" s="12">
        <f>ABS(P213-$P$3)</f>
        <v/>
      </c>
    </row>
    <row r="214">
      <c r="D214" s="13" t="n">
        <v>212</v>
      </c>
      <c r="E214" s="14" t="n">
        <v>2.111508220157255</v>
      </c>
      <c r="F214" s="15" t="n">
        <v>1.512973610163288</v>
      </c>
      <c r="G214" s="16">
        <f>DEGREES(F214)</f>
        <v/>
      </c>
      <c r="H214" s="15" t="n">
        <v>2.455387380630742</v>
      </c>
      <c r="I214" s="16">
        <f>DEGREES(H214)</f>
        <v/>
      </c>
      <c r="J214" s="17" t="n">
        <v>0.8324721388070815</v>
      </c>
      <c r="K214" s="17" t="n">
        <v>0.2891135831580451</v>
      </c>
      <c r="L214" s="18">
        <f>$B$5*$B$3*$B$6*SIN(F214)</f>
        <v/>
      </c>
      <c r="M214" s="18">
        <f>$B$9*K214*(SIN(F214))^2 + $B$8*($B$10+K214*COS(F214))*COS(F214)</f>
        <v/>
      </c>
      <c r="N214" s="18">
        <f>0.5*$B$9*(J214^2 + (K214*SIN(F214))^2) + 0.5*$B$8*($B$10 + K214*COS(F214))^2</f>
        <v/>
      </c>
      <c r="O214" s="18">
        <f>$B$3*$B$6*$B$5*COS(F214)</f>
        <v/>
      </c>
      <c r="P214" s="18">
        <f>N214+O214</f>
        <v/>
      </c>
      <c r="Q214" s="19">
        <f>ABS(P214-$P$3)</f>
        <v/>
      </c>
    </row>
    <row r="215">
      <c r="D215" s="6" t="n">
        <v>213</v>
      </c>
      <c r="E215" s="7" t="n">
        <v>2.121515368120086</v>
      </c>
      <c r="F215" s="8" t="n">
        <v>1.521045331316195</v>
      </c>
      <c r="G215" s="9">
        <f>DEGREES(F215)</f>
        <v/>
      </c>
      <c r="H215" s="8" t="n">
        <v>2.45807646856962</v>
      </c>
      <c r="I215" s="9">
        <f>DEGREES(H215)</f>
        <v/>
      </c>
      <c r="J215" s="10" t="n">
        <v>0.7802967831345571</v>
      </c>
      <c r="K215" s="10" t="n">
        <v>0.2487549773935086</v>
      </c>
      <c r="L215" s="11">
        <f>$B$5*$B$3*$B$6*SIN(F215)</f>
        <v/>
      </c>
      <c r="M215" s="11">
        <f>$B$9*K215*(SIN(F215))^2 + $B$8*($B$10+K215*COS(F215))*COS(F215)</f>
        <v/>
      </c>
      <c r="N215" s="11">
        <f>0.5*$B$9*(J215^2 + (K215*SIN(F215))^2) + 0.5*$B$8*($B$10 + K215*COS(F215))^2</f>
        <v/>
      </c>
      <c r="O215" s="11">
        <f>$B$3*$B$6*$B$5*COS(F215)</f>
        <v/>
      </c>
      <c r="P215" s="11">
        <f>N215+O215</f>
        <v/>
      </c>
      <c r="Q215" s="12">
        <f>ABS(P215-$P$3)</f>
        <v/>
      </c>
    </row>
    <row r="216">
      <c r="D216" s="13" t="n">
        <v>214</v>
      </c>
      <c r="E216" s="14" t="n">
        <v>2.131522516082916</v>
      </c>
      <c r="F216" s="15" t="n">
        <v>1.528582527968216</v>
      </c>
      <c r="G216" s="16">
        <f>DEGREES(F216)</f>
        <v/>
      </c>
      <c r="H216" s="15" t="n">
        <v>2.460374952404258</v>
      </c>
      <c r="I216" s="16">
        <f>DEGREES(H216)</f>
        <v/>
      </c>
      <c r="J216" s="17" t="n">
        <v>0.7256715585202484</v>
      </c>
      <c r="K216" s="17" t="n">
        <v>0.2110689941334015</v>
      </c>
      <c r="L216" s="18">
        <f>$B$5*$B$3*$B$6*SIN(F216)</f>
        <v/>
      </c>
      <c r="M216" s="18">
        <f>$B$9*K216*(SIN(F216))^2 + $B$8*($B$10+K216*COS(F216))*COS(F216)</f>
        <v/>
      </c>
      <c r="N216" s="18">
        <f>0.5*$B$9*(J216^2 + (K216*SIN(F216))^2) + 0.5*$B$8*($B$10 + K216*COS(F216))^2</f>
        <v/>
      </c>
      <c r="O216" s="18">
        <f>$B$3*$B$6*$B$5*COS(F216)</f>
        <v/>
      </c>
      <c r="P216" s="18">
        <f>N216+O216</f>
        <v/>
      </c>
      <c r="Q216" s="19">
        <f>ABS(P216-$P$3)</f>
        <v/>
      </c>
    </row>
    <row r="217">
      <c r="D217" s="6" t="n">
        <v>215</v>
      </c>
      <c r="E217" s="7" t="n">
        <v>2.141529664045747</v>
      </c>
      <c r="F217" s="8" t="n">
        <v>1.535561535861874</v>
      </c>
      <c r="G217" s="9">
        <f>DEGREES(F217)</f>
        <v/>
      </c>
      <c r="H217" s="8" t="n">
        <v>2.462310176649449</v>
      </c>
      <c r="I217" s="9">
        <f>DEGREES(H217)</f>
        <v/>
      </c>
      <c r="J217" s="10" t="n">
        <v>0.6687679697609266</v>
      </c>
      <c r="K217" s="10" t="n">
        <v>0.1761739546651107</v>
      </c>
      <c r="L217" s="11">
        <f>$B$5*$B$3*$B$6*SIN(F217)</f>
        <v/>
      </c>
      <c r="M217" s="11">
        <f>$B$9*K217*(SIN(F217))^2 + $B$8*($B$10+K217*COS(F217))*COS(F217)</f>
        <v/>
      </c>
      <c r="N217" s="11">
        <f>0.5*$B$9*(J217^2 + (K217*SIN(F217))^2) + 0.5*$B$8*($B$10 + K217*COS(F217))^2</f>
        <v/>
      </c>
      <c r="O217" s="11">
        <f>$B$3*$B$6*$B$5*COS(F217)</f>
        <v/>
      </c>
      <c r="P217" s="11">
        <f>N217+O217</f>
        <v/>
      </c>
      <c r="Q217" s="12">
        <f>ABS(P217-$P$3)</f>
        <v/>
      </c>
    </row>
    <row r="218">
      <c r="D218" s="13" t="n">
        <v>216</v>
      </c>
      <c r="E218" s="14" t="n">
        <v>2.151536812008578</v>
      </c>
      <c r="F218" s="15" t="n">
        <v>1.541960443264283</v>
      </c>
      <c r="G218" s="16">
        <f>DEGREES(F218)</f>
        <v/>
      </c>
      <c r="H218" s="15" t="n">
        <v>2.463910626332681</v>
      </c>
      <c r="I218" s="16">
        <f>DEGREES(H218)</f>
        <v/>
      </c>
      <c r="J218" s="17" t="n">
        <v>0.609764674948995</v>
      </c>
      <c r="K218" s="17" t="n">
        <v>0.1441794176530664</v>
      </c>
      <c r="L218" s="18">
        <f>$B$5*$B$3*$B$6*SIN(F218)</f>
        <v/>
      </c>
      <c r="M218" s="18">
        <f>$B$9*K218*(SIN(F218))^2 + $B$8*($B$10+K218*COS(F218))*COS(F218)</f>
        <v/>
      </c>
      <c r="N218" s="18">
        <f>0.5*$B$9*(J218^2 + (K218*SIN(F218))^2) + 0.5*$B$8*($B$10 + K218*COS(F218))^2</f>
        <v/>
      </c>
      <c r="O218" s="18">
        <f>$B$3*$B$6*$B$5*COS(F218)</f>
        <v/>
      </c>
      <c r="P218" s="18">
        <f>N218+O218</f>
        <v/>
      </c>
      <c r="Q218" s="19">
        <f>ABS(P218-$P$3)</f>
        <v/>
      </c>
    </row>
    <row r="219">
      <c r="D219" s="6" t="n">
        <v>217</v>
      </c>
      <c r="E219" s="7" t="n">
        <v>2.161543959971408</v>
      </c>
      <c r="F219" s="8" t="n">
        <v>1.547759159762608</v>
      </c>
      <c r="G219" s="9">
        <f>DEGREES(F219)</f>
        <v/>
      </c>
      <c r="H219" s="8" t="n">
        <v>2.465205837560746</v>
      </c>
      <c r="I219" s="9">
        <f>DEGREES(H219)</f>
        <v/>
      </c>
      <c r="J219" s="10" t="n">
        <v>0.5488469245462618</v>
      </c>
      <c r="K219" s="10" t="n">
        <v>0.1151858351614405</v>
      </c>
      <c r="L219" s="11">
        <f>$B$5*$B$3*$B$6*SIN(F219)</f>
        <v/>
      </c>
      <c r="M219" s="11">
        <f>$B$9*K219*(SIN(F219))^2 + $B$8*($B$10+K219*COS(F219))*COS(F219)</f>
        <v/>
      </c>
      <c r="N219" s="11">
        <f>0.5*$B$9*(J219^2 + (K219*SIN(F219))^2) + 0.5*$B$8*($B$10 + K219*COS(F219))^2</f>
        <v/>
      </c>
      <c r="O219" s="11">
        <f>$B$3*$B$6*$B$5*COS(F219)</f>
        <v/>
      </c>
      <c r="P219" s="11">
        <f>N219+O219</f>
        <v/>
      </c>
      <c r="Q219" s="12">
        <f>ABS(P219-$P$3)</f>
        <v/>
      </c>
    </row>
    <row r="220">
      <c r="D220" s="13" t="n">
        <v>218</v>
      </c>
      <c r="E220" s="14" t="n">
        <v>2.171551107934239</v>
      </c>
      <c r="F220" s="15" t="n">
        <v>1.552939479341192</v>
      </c>
      <c r="G220" s="16">
        <f>DEGREES(F220)</f>
        <v/>
      </c>
      <c r="H220" s="15" t="n">
        <v>2.466226304786324</v>
      </c>
      <c r="I220" s="16">
        <f>DEGREES(H220)</f>
        <v/>
      </c>
      <c r="J220" s="17" t="n">
        <v>0.4862059797599217</v>
      </c>
      <c r="K220" s="17" t="n">
        <v>0.08928423726852053</v>
      </c>
      <c r="L220" s="18">
        <f>$B$5*$B$3*$B$6*SIN(F220)</f>
        <v/>
      </c>
      <c r="M220" s="18">
        <f>$B$9*K220*(SIN(F220))^2 + $B$8*($B$10+K220*COS(F220))*COS(F220)</f>
        <v/>
      </c>
      <c r="N220" s="18">
        <f>0.5*$B$9*(J220^2 + (K220*SIN(F220))^2) + 0.5*$B$8*($B$10 + K220*COS(F220))^2</f>
        <v/>
      </c>
      <c r="O220" s="18">
        <f>$B$3*$B$6*$B$5*COS(F220)</f>
        <v/>
      </c>
      <c r="P220" s="18">
        <f>N220+O220</f>
        <v/>
      </c>
      <c r="Q220" s="19">
        <f>ABS(P220-$P$3)</f>
        <v/>
      </c>
    </row>
    <row r="221">
      <c r="D221" s="6" t="n">
        <v>219</v>
      </c>
      <c r="E221" s="7" t="n">
        <v>2.18155825589707</v>
      </c>
      <c r="F221" s="8" t="n">
        <v>1.557485137542308</v>
      </c>
      <c r="G221" s="9">
        <f>DEGREES(F221)</f>
        <v/>
      </c>
      <c r="H221" s="8" t="n">
        <v>2.467003385065672</v>
      </c>
      <c r="I221" s="9">
        <f>DEGREES(H221)</f>
        <v/>
      </c>
      <c r="J221" s="10" t="n">
        <v>0.422038512046829</v>
      </c>
      <c r="K221" s="10" t="n">
        <v>0.06655594626294392</v>
      </c>
      <c r="L221" s="11">
        <f>$B$5*$B$3*$B$6*SIN(F221)</f>
        <v/>
      </c>
      <c r="M221" s="11">
        <f>$B$9*K221*(SIN(F221))^2 + $B$8*($B$10+K221*COS(F221))*COS(F221)</f>
        <v/>
      </c>
      <c r="N221" s="11">
        <f>0.5*$B$9*(J221^2 + (K221*SIN(F221))^2) + 0.5*$B$8*($B$10 + K221*COS(F221))^2</f>
        <v/>
      </c>
      <c r="O221" s="11">
        <f>$B$3*$B$6*$B$5*COS(F221)</f>
        <v/>
      </c>
      <c r="P221" s="11">
        <f>N221+O221</f>
        <v/>
      </c>
      <c r="Q221" s="12">
        <f>ABS(P221-$P$3)</f>
        <v/>
      </c>
    </row>
    <row r="222">
      <c r="D222" s="13" t="n">
        <v>220</v>
      </c>
      <c r="E222" s="14" t="n">
        <v>2.1915654038599</v>
      </c>
      <c r="F222" s="15" t="n">
        <v>1.561381862531073</v>
      </c>
      <c r="G222" s="16">
        <f>DEGREES(F222)</f>
        <v/>
      </c>
      <c r="H222" s="15" t="n">
        <v>2.467569199608039</v>
      </c>
      <c r="I222" s="16">
        <f>DEGREES(H222)</f>
        <v/>
      </c>
      <c r="J222" s="17" t="n">
        <v>0.3565459856313954</v>
      </c>
      <c r="K222" s="17" t="n">
        <v>0.04707232131911554</v>
      </c>
      <c r="L222" s="18">
        <f>$B$5*$B$3*$B$6*SIN(F222)</f>
        <v/>
      </c>
      <c r="M222" s="18">
        <f>$B$9*K222*(SIN(F222))^2 + $B$8*($B$10+K222*COS(F222))*COS(F222)</f>
        <v/>
      </c>
      <c r="N222" s="18">
        <f>0.5*$B$9*(J222^2 + (K222*SIN(F222))^2) + 0.5*$B$8*($B$10 + K222*COS(F222))^2</f>
        <v/>
      </c>
      <c r="O222" s="18">
        <f>$B$3*$B$6*$B$5*COS(F222)</f>
        <v/>
      </c>
      <c r="P222" s="18">
        <f>N222+O222</f>
        <v/>
      </c>
      <c r="Q222" s="19">
        <f>ABS(P222-$P$3)</f>
        <v/>
      </c>
    </row>
    <row r="223">
      <c r="D223" s="6" t="n">
        <v>221</v>
      </c>
      <c r="E223" s="7" t="n">
        <v>2.201572551822731</v>
      </c>
      <c r="F223" s="8" t="n">
        <v>1.564617419904208</v>
      </c>
      <c r="G223" s="9">
        <f>DEGREES(F223)</f>
        <v/>
      </c>
      <c r="H223" s="8" t="n">
        <v>2.467956532925893</v>
      </c>
      <c r="I223" s="9">
        <f>DEGREES(H223)</f>
        <v/>
      </c>
      <c r="J223" s="10" t="n">
        <v>0.2899340249758119</v>
      </c>
      <c r="K223" s="10" t="n">
        <v>0.03089453445344525</v>
      </c>
      <c r="L223" s="11">
        <f>$B$5*$B$3*$B$6*SIN(F223)</f>
        <v/>
      </c>
      <c r="M223" s="11">
        <f>$B$9*K223*(SIN(F223))^2 + $B$8*($B$10+K223*COS(F223))*COS(F223)</f>
        <v/>
      </c>
      <c r="N223" s="11">
        <f>0.5*$B$9*(J223^2 + (K223*SIN(F223))^2) + 0.5*$B$8*($B$10 + K223*COS(F223))^2</f>
        <v/>
      </c>
      <c r="O223" s="11">
        <f>$B$3*$B$6*$B$5*COS(F223)</f>
        <v/>
      </c>
      <c r="P223" s="11">
        <f>N223+O223</f>
        <v/>
      </c>
      <c r="Q223" s="12">
        <f>ABS(P223-$P$3)</f>
        <v/>
      </c>
    </row>
    <row r="224">
      <c r="D224" s="13" t="n">
        <v>222</v>
      </c>
      <c r="E224" s="14" t="n">
        <v>2.211579699785561</v>
      </c>
      <c r="F224" s="15" t="n">
        <v>1.56718165110193</v>
      </c>
      <c r="G224" s="16">
        <f>DEGREES(F224)</f>
        <v/>
      </c>
      <c r="H224" s="15" t="n">
        <v>2.468198729902598</v>
      </c>
      <c r="I224" s="16">
        <f>DEGREES(H224)</f>
        <v/>
      </c>
      <c r="J224" s="17" t="n">
        <v>0.2224117691885442</v>
      </c>
      <c r="K224" s="17" t="n">
        <v>0.01807337846483459</v>
      </c>
      <c r="L224" s="18">
        <f>$B$5*$B$3*$B$6*SIN(F224)</f>
        <v/>
      </c>
      <c r="M224" s="18">
        <f>$B$9*K224*(SIN(F224))^2 + $B$8*($B$10+K224*COS(F224))*COS(F224)</f>
        <v/>
      </c>
      <c r="N224" s="18">
        <f>0.5*$B$9*(J224^2 + (K224*SIN(F224))^2) + 0.5*$B$8*($B$10 + K224*COS(F224))^2</f>
        <v/>
      </c>
      <c r="O224" s="18">
        <f>$B$3*$B$6*$B$5*COS(F224)</f>
        <v/>
      </c>
      <c r="P224" s="18">
        <f>N224+O224</f>
        <v/>
      </c>
      <c r="Q224" s="19">
        <f>ABS(P224-$P$3)</f>
        <v/>
      </c>
    </row>
    <row r="225">
      <c r="D225" s="6" t="n">
        <v>223</v>
      </c>
      <c r="E225" s="7" t="n">
        <v>2.221586847748392</v>
      </c>
      <c r="F225" s="8" t="n">
        <v>1.569066505302416</v>
      </c>
      <c r="G225" s="9">
        <f>DEGREES(F225)</f>
        <v/>
      </c>
      <c r="H225" s="8" t="n">
        <v>2.468329591100719</v>
      </c>
      <c r="I225" s="9">
        <f>DEGREES(H225)</f>
        <v/>
      </c>
      <c r="J225" s="10" t="n">
        <v>0.1541912153980053</v>
      </c>
      <c r="K225" s="10" t="n">
        <v>0.008649107462404437</v>
      </c>
      <c r="L225" s="11">
        <f>$B$5*$B$3*$B$6*SIN(F225)</f>
        <v/>
      </c>
      <c r="M225" s="11">
        <f>$B$9*K225*(SIN(F225))^2 + $B$8*($B$10+K225*COS(F225))*COS(F225)</f>
        <v/>
      </c>
      <c r="N225" s="11">
        <f>0.5*$B$9*(J225^2 + (K225*SIN(F225))^2) + 0.5*$B$8*($B$10 + K225*COS(F225))^2</f>
        <v/>
      </c>
      <c r="O225" s="11">
        <f>$B$3*$B$6*$B$5*COS(F225)</f>
        <v/>
      </c>
      <c r="P225" s="11">
        <f>N225+O225</f>
        <v/>
      </c>
      <c r="Q225" s="12">
        <f>ABS(P225-$P$3)</f>
        <v/>
      </c>
    </row>
    <row r="226">
      <c r="D226" s="13" t="n">
        <v>224</v>
      </c>
      <c r="E226" s="14" t="n">
        <v>2.231593995711223</v>
      </c>
      <c r="F226" s="15" t="n">
        <v>1.570266064698665</v>
      </c>
      <c r="G226" s="16">
        <f>DEGREES(F226)</f>
        <v/>
      </c>
      <c r="H226" s="15" t="n">
        <v>2.468383266639648</v>
      </c>
      <c r="I226" s="16">
        <f>DEGREES(H226)</f>
        <v/>
      </c>
      <c r="J226" s="17" t="n">
        <v>0.08548655315300811</v>
      </c>
      <c r="K226" s="17" t="n">
        <v>0.002651310481155189</v>
      </c>
      <c r="L226" s="18">
        <f>$B$5*$B$3*$B$6*SIN(F226)</f>
        <v/>
      </c>
      <c r="M226" s="18">
        <f>$B$9*K226*(SIN(F226))^2 + $B$8*($B$10+K226*COS(F226))*COS(F226)</f>
        <v/>
      </c>
      <c r="N226" s="18">
        <f>0.5*$B$9*(J226^2 + (K226*SIN(F226))^2) + 0.5*$B$8*($B$10 + K226*COS(F226))^2</f>
        <v/>
      </c>
      <c r="O226" s="18">
        <f>$B$3*$B$6*$B$5*COS(F226)</f>
        <v/>
      </c>
      <c r="P226" s="18">
        <f>N226+O226</f>
        <v/>
      </c>
      <c r="Q226" s="19">
        <f>ABS(P226-$P$3)</f>
        <v/>
      </c>
    </row>
    <row r="227">
      <c r="D227" s="6" t="n">
        <v>225</v>
      </c>
      <c r="E227" s="7" t="n">
        <v>2.241601143674053</v>
      </c>
      <c r="F227" s="8" t="n">
        <v>1.570776563078422</v>
      </c>
      <c r="G227" s="9">
        <f>DEGREES(F227)</f>
        <v/>
      </c>
      <c r="H227" s="8" t="n">
        <v>2.468394148975734</v>
      </c>
      <c r="I227" s="9">
        <f>DEGREES(H227)</f>
        <v/>
      </c>
      <c r="J227" s="10" t="n">
        <v>0.01651349193977618</v>
      </c>
      <c r="K227" s="10" t="n">
        <v>9.881858237248409e-05</v>
      </c>
      <c r="L227" s="11">
        <f>$B$5*$B$3*$B$6*SIN(F227)</f>
        <v/>
      </c>
      <c r="M227" s="11">
        <f>$B$9*K227*(SIN(F227))^2 + $B$8*($B$10+K227*COS(F227))*COS(F227)</f>
        <v/>
      </c>
      <c r="N227" s="11">
        <f>0.5*$B$9*(J227^2 + (K227*SIN(F227))^2) + 0.5*$B$8*($B$10 + K227*COS(F227))^2</f>
        <v/>
      </c>
      <c r="O227" s="11">
        <f>$B$3*$B$6*$B$5*COS(F227)</f>
        <v/>
      </c>
      <c r="P227" s="11">
        <f>N227+O227</f>
        <v/>
      </c>
      <c r="Q227" s="12">
        <f>ABS(P227-$P$3)</f>
        <v/>
      </c>
    </row>
    <row r="228">
      <c r="D228" s="13" t="n">
        <v>226</v>
      </c>
      <c r="E228" s="14" t="n">
        <v>2.251608291636884</v>
      </c>
      <c r="F228" s="15" t="n">
        <v>1.570596397648809</v>
      </c>
      <c r="G228" s="16">
        <f>DEGREES(F228)</f>
        <v/>
      </c>
      <c r="H228" s="15" t="n">
        <v>2.468396764921561</v>
      </c>
      <c r="I228" s="16">
        <f>DEGREES(H228)</f>
        <v/>
      </c>
      <c r="J228" s="17" t="n">
        <v>-0.05251141607315615</v>
      </c>
      <c r="K228" s="17" t="n">
        <v>0.0009996457304375372</v>
      </c>
      <c r="L228" s="18">
        <f>$B$5*$B$3*$B$6*SIN(F228)</f>
        <v/>
      </c>
      <c r="M228" s="18">
        <f>$B$9*K228*(SIN(F228))^2 + $B$8*($B$10+K228*COS(F228))*COS(F228)</f>
        <v/>
      </c>
      <c r="N228" s="18">
        <f>0.5*$B$9*(J228^2 + (K228*SIN(F228))^2) + 0.5*$B$8*($B$10 + K228*COS(F228))^2</f>
        <v/>
      </c>
      <c r="O228" s="18">
        <f>$B$3*$B$6*$B$5*COS(F228)</f>
        <v/>
      </c>
      <c r="P228" s="18">
        <f>N228+O228</f>
        <v/>
      </c>
      <c r="Q228" s="19">
        <f>ABS(P228-$P$3)</f>
        <v/>
      </c>
    </row>
    <row r="229">
      <c r="D229" s="6" t="n">
        <v>227</v>
      </c>
      <c r="E229" s="7" t="n">
        <v>2.261615439599714</v>
      </c>
      <c r="F229" s="8" t="n">
        <v>1.56972613406856</v>
      </c>
      <c r="G229" s="9">
        <f>DEGREES(F229)</f>
        <v/>
      </c>
      <c r="H229" s="8" t="n">
        <v>2.468425667243394</v>
      </c>
      <c r="I229" s="9">
        <f>DEGREES(H229)</f>
        <v/>
      </c>
      <c r="J229" s="10" t="n">
        <v>-0.1213714559357822</v>
      </c>
      <c r="K229" s="10" t="n">
        <v>0.005350963631681305</v>
      </c>
      <c r="L229" s="11">
        <f>$B$5*$B$3*$B$6*SIN(F229)</f>
        <v/>
      </c>
      <c r="M229" s="11">
        <f>$B$9*K229*(SIN(F229))^2 + $B$8*($B$10+K229*COS(F229))*COS(F229)</f>
        <v/>
      </c>
      <c r="N229" s="11">
        <f>0.5*$B$9*(J229^2 + (K229*SIN(F229))^2) + 0.5*$B$8*($B$10 + K229*COS(F229))^2</f>
        <v/>
      </c>
      <c r="O229" s="11">
        <f>$B$3*$B$6*$B$5*COS(F229)</f>
        <v/>
      </c>
      <c r="P229" s="11">
        <f>N229+O229</f>
        <v/>
      </c>
      <c r="Q229" s="12">
        <f>ABS(P229-$P$3)</f>
        <v/>
      </c>
    </row>
    <row r="230">
      <c r="D230" s="13" t="n">
        <v>228</v>
      </c>
      <c r="E230" s="14" t="n">
        <v>2.271622587562545</v>
      </c>
      <c r="F230" s="15" t="n">
        <v>1.568168504672042</v>
      </c>
      <c r="G230" s="16">
        <f>DEGREES(F230)</f>
        <v/>
      </c>
      <c r="H230" s="15" t="n">
        <v>2.468515326177135</v>
      </c>
      <c r="I230" s="16">
        <f>DEGREES(H230)</f>
        <v/>
      </c>
      <c r="J230" s="17" t="n">
        <v>-0.1898504303285187</v>
      </c>
      <c r="K230" s="17" t="n">
        <v>0.01313911061427175</v>
      </c>
      <c r="L230" s="18">
        <f>$B$5*$B$3*$B$6*SIN(F230)</f>
        <v/>
      </c>
      <c r="M230" s="18">
        <f>$B$9*K230*(SIN(F230))^2 + $B$8*($B$10+K230*COS(F230))*COS(F230)</f>
        <v/>
      </c>
      <c r="N230" s="18">
        <f>0.5*$B$9*(J230^2 + (K230*SIN(F230))^2) + 0.5*$B$8*($B$10 + K230*COS(F230))^2</f>
        <v/>
      </c>
      <c r="O230" s="18">
        <f>$B$3*$B$6*$B$5*COS(F230)</f>
        <v/>
      </c>
      <c r="P230" s="18">
        <f>N230+O230</f>
        <v/>
      </c>
      <c r="Q230" s="19">
        <f>ABS(P230-$P$3)</f>
        <v/>
      </c>
    </row>
    <row r="231">
      <c r="D231" s="6" t="n">
        <v>229</v>
      </c>
      <c r="E231" s="7" t="n">
        <v>2.281629735525375</v>
      </c>
      <c r="F231" s="8" t="n">
        <v>1.565928399890644</v>
      </c>
      <c r="G231" s="9">
        <f>DEGREES(F231)</f>
        <v/>
      </c>
      <c r="H231" s="8" t="n">
        <v>2.4687000212034</v>
      </c>
      <c r="I231" s="9">
        <f>DEGREES(H231)</f>
        <v/>
      </c>
      <c r="J231" s="10" t="n">
        <v>-0.2577333383489485</v>
      </c>
      <c r="K231" s="10" t="n">
        <v>0.02433963452126231</v>
      </c>
      <c r="L231" s="11">
        <f>$B$5*$B$3*$B$6*SIN(F231)</f>
        <v/>
      </c>
      <c r="M231" s="11">
        <f>$B$9*K231*(SIN(F231))^2 + $B$8*($B$10+K231*COS(F231))*COS(F231)</f>
        <v/>
      </c>
      <c r="N231" s="11">
        <f>0.5*$B$9*(J231^2 + (K231*SIN(F231))^2) + 0.5*$B$8*($B$10 + K231*COS(F231))^2</f>
        <v/>
      </c>
      <c r="O231" s="11">
        <f>$B$3*$B$6*$B$5*COS(F231)</f>
        <v/>
      </c>
      <c r="P231" s="11">
        <f>N231+O231</f>
        <v/>
      </c>
      <c r="Q231" s="12">
        <f>ABS(P231-$P$3)</f>
        <v/>
      </c>
    </row>
    <row r="232">
      <c r="D232" s="13" t="n">
        <v>230</v>
      </c>
      <c r="E232" s="14" t="n">
        <v>2.291636883488206</v>
      </c>
      <c r="F232" s="15" t="n">
        <v>1.563012852898472</v>
      </c>
      <c r="G232" s="16">
        <f>DEGREES(F232)</f>
        <v/>
      </c>
      <c r="H232" s="15" t="n">
        <v>2.4690137334215</v>
      </c>
      <c r="I232" s="16">
        <f>DEGREES(H232)</f>
        <v/>
      </c>
      <c r="J232" s="17" t="n">
        <v>-0.3248070505421872</v>
      </c>
      <c r="K232" s="17" t="n">
        <v>0.03891736948212254</v>
      </c>
      <c r="L232" s="18">
        <f>$B$5*$B$3*$B$6*SIN(F232)</f>
        <v/>
      </c>
      <c r="M232" s="18">
        <f>$B$9*K232*(SIN(F232))^2 + $B$8*($B$10+K232*COS(F232))*COS(F232)</f>
        <v/>
      </c>
      <c r="N232" s="18">
        <f>0.5*$B$9*(J232^2 + (K232*SIN(F232))^2) + 0.5*$B$8*($B$10 + K232*COS(F232))^2</f>
        <v/>
      </c>
      <c r="O232" s="18">
        <f>$B$3*$B$6*$B$5*COS(F232)</f>
        <v/>
      </c>
      <c r="P232" s="18">
        <f>N232+O232</f>
        <v/>
      </c>
      <c r="Q232" s="19">
        <f>ABS(P232-$P$3)</f>
        <v/>
      </c>
    </row>
    <row r="233">
      <c r="D233" s="6" t="n">
        <v>231</v>
      </c>
      <c r="E233" s="7" t="n">
        <v>2.301644031451036</v>
      </c>
      <c r="F233" s="8" t="n">
        <v>1.559431017530553</v>
      </c>
      <c r="G233" s="9">
        <f>DEGREES(F233)</f>
        <v/>
      </c>
      <c r="H233" s="8" t="n">
        <v>2.469490038860244</v>
      </c>
      <c r="I233" s="9">
        <f>DEGREES(H233)</f>
        <v/>
      </c>
      <c r="J233" s="10" t="n">
        <v>-0.390860978055543</v>
      </c>
      <c r="K233" s="10" t="n">
        <v>0.05682654632171769</v>
      </c>
      <c r="L233" s="11">
        <f>$B$5*$B$3*$B$6*SIN(F233)</f>
        <v/>
      </c>
      <c r="M233" s="11">
        <f>$B$9*K233*(SIN(F233))^2 + $B$8*($B$10+K233*COS(F233))*COS(F233)</f>
        <v/>
      </c>
      <c r="N233" s="11">
        <f>0.5*$B$9*(J233^2 + (K233*SIN(F233))^2) + 0.5*$B$8*($B$10 + K233*COS(F233))^2</f>
        <v/>
      </c>
      <c r="O233" s="11">
        <f>$B$3*$B$6*$B$5*COS(F233)</f>
        <v/>
      </c>
      <c r="P233" s="11">
        <f>N233+O233</f>
        <v/>
      </c>
      <c r="Q233" s="12">
        <f>ABS(P233-$P$3)</f>
        <v/>
      </c>
    </row>
    <row r="234">
      <c r="D234" s="13" t="n">
        <v>232</v>
      </c>
      <c r="E234" s="14" t="n">
        <v>2.311651179413867</v>
      </c>
      <c r="F234" s="15" t="n">
        <v>1.555194139542876</v>
      </c>
      <c r="G234" s="16">
        <f>DEGREES(F234)</f>
        <v/>
      </c>
      <c r="H234" s="15" t="n">
        <v>2.470162003060519</v>
      </c>
      <c r="I234" s="16">
        <f>DEGREES(H234)</f>
        <v/>
      </c>
      <c r="J234" s="17" t="n">
        <v>-0.4556877338165764</v>
      </c>
      <c r="K234" s="17" t="n">
        <v>0.07801093626010447</v>
      </c>
      <c r="L234" s="18">
        <f>$B$5*$B$3*$B$6*SIN(F234)</f>
        <v/>
      </c>
      <c r="M234" s="18">
        <f>$B$9*K234*(SIN(F234))^2 + $B$8*($B$10+K234*COS(F234))*COS(F234)</f>
        <v/>
      </c>
      <c r="N234" s="18">
        <f>0.5*$B$9*(J234^2 + (K234*SIN(F234))^2) + 0.5*$B$8*($B$10 + K234*COS(F234))^2</f>
        <v/>
      </c>
      <c r="O234" s="18">
        <f>$B$3*$B$6*$B$5*COS(F234)</f>
        <v/>
      </c>
      <c r="P234" s="18">
        <f>N234+O234</f>
        <v/>
      </c>
      <c r="Q234" s="19">
        <f>ABS(P234-$P$3)</f>
        <v/>
      </c>
    </row>
    <row r="235">
      <c r="D235" s="6" t="n">
        <v>233</v>
      </c>
      <c r="E235" s="7" t="n">
        <v>2.321658327376698</v>
      </c>
      <c r="F235" s="8" t="n">
        <v>1.550315521304509</v>
      </c>
      <c r="G235" s="9">
        <f>DEGREES(F235)</f>
        <v/>
      </c>
      <c r="H235" s="8" t="n">
        <v>2.471062077260641</v>
      </c>
      <c r="I235" s="9">
        <f>DEGREES(H235)</f>
        <v/>
      </c>
      <c r="J235" s="10" t="n">
        <v>-0.5190837836585763</v>
      </c>
      <c r="K235" s="10" t="n">
        <v>0.102404027451938</v>
      </c>
      <c r="L235" s="11">
        <f>$B$5*$B$3*$B$6*SIN(F235)</f>
        <v/>
      </c>
      <c r="M235" s="11">
        <f>$B$9*K235*(SIN(F235))^2 + $B$8*($B$10+K235*COS(F235))*COS(F235)</f>
        <v/>
      </c>
      <c r="N235" s="11">
        <f>0.5*$B$9*(J235^2 + (K235*SIN(F235))^2) + 0.5*$B$8*($B$10 + K235*COS(F235))^2</f>
        <v/>
      </c>
      <c r="O235" s="11">
        <f>$B$3*$B$6*$B$5*COS(F235)</f>
        <v/>
      </c>
      <c r="P235" s="11">
        <f>N235+O235</f>
        <v/>
      </c>
      <c r="Q235" s="12">
        <f>ABS(P235-$P$3)</f>
        <v/>
      </c>
    </row>
    <row r="236">
      <c r="D236" s="13" t="n">
        <v>234</v>
      </c>
      <c r="E236" s="14" t="n">
        <v>2.331665475339528</v>
      </c>
      <c r="F236" s="15" t="n">
        <v>1.544810480032644</v>
      </c>
      <c r="G236" s="16">
        <f>DEGREES(F236)</f>
        <v/>
      </c>
      <c r="H236" s="15" t="n">
        <v>2.472221996510394</v>
      </c>
      <c r="I236" s="16">
        <f>DEGREES(H236)</f>
        <v/>
      </c>
      <c r="J236" s="17" t="n">
        <v>-0.5808500853492835</v>
      </c>
      <c r="K236" s="17" t="n">
        <v>0.1299292338112612</v>
      </c>
      <c r="L236" s="18">
        <f>$B$5*$B$3*$B$6*SIN(F236)</f>
        <v/>
      </c>
      <c r="M236" s="18">
        <f>$B$9*K236*(SIN(F236))^2 + $B$8*($B$10+K236*COS(F236))*COS(F236)</f>
        <v/>
      </c>
      <c r="N236" s="18">
        <f>0.5*$B$9*(J236^2 + (K236*SIN(F236))^2) + 0.5*$B$8*($B$10 + K236*COS(F236))^2</f>
        <v/>
      </c>
      <c r="O236" s="18">
        <f>$B$3*$B$6*$B$5*COS(F236)</f>
        <v/>
      </c>
      <c r="P236" s="18">
        <f>N236+O236</f>
        <v/>
      </c>
      <c r="Q236" s="19">
        <f>ABS(P236-$P$3)</f>
        <v/>
      </c>
    </row>
    <row r="237">
      <c r="D237" s="6" t="n">
        <v>235</v>
      </c>
      <c r="E237" s="7" t="n">
        <v>2.341672623302359</v>
      </c>
      <c r="F237" s="8" t="n">
        <v>1.538696299701696</v>
      </c>
      <c r="G237" s="9">
        <f>DEGREES(F237)</f>
        <v/>
      </c>
      <c r="H237" s="8" t="n">
        <v>2.473672680033676</v>
      </c>
      <c r="I237" s="9">
        <f>DEGREES(H237)</f>
        <v/>
      </c>
      <c r="J237" s="10" t="n">
        <v>-0.6407927135164179</v>
      </c>
      <c r="K237" s="10" t="n">
        <v>0.1605001354660047</v>
      </c>
      <c r="L237" s="11">
        <f>$B$5*$B$3*$B$6*SIN(F237)</f>
        <v/>
      </c>
      <c r="M237" s="11">
        <f>$B$9*K237*(SIN(F237))^2 + $B$8*($B$10+K237*COS(F237))*COS(F237)</f>
        <v/>
      </c>
      <c r="N237" s="11">
        <f>0.5*$B$9*(J237^2 + (K237*SIN(F237))^2) + 0.5*$B$8*($B$10 + K237*COS(F237))^2</f>
        <v/>
      </c>
      <c r="O237" s="11">
        <f>$B$3*$B$6*$B$5*COS(F237)</f>
        <v/>
      </c>
      <c r="P237" s="11">
        <f>N237+O237</f>
        <v/>
      </c>
      <c r="Q237" s="12">
        <f>ABS(P237-$P$3)</f>
        <v/>
      </c>
    </row>
    <row r="238">
      <c r="D238" s="13" t="n">
        <v>236</v>
      </c>
      <c r="E238" s="14" t="n">
        <v>2.35167977126519</v>
      </c>
      <c r="F238" s="15" t="n">
        <v>1.531992176777445</v>
      </c>
      <c r="G238" s="16">
        <f>DEGREES(F238)</f>
        <v/>
      </c>
      <c r="H238" s="15" t="n">
        <v>2.475444134152553</v>
      </c>
      <c r="I238" s="16">
        <f>DEGREES(H238)</f>
        <v/>
      </c>
      <c r="J238" s="17" t="n">
        <v>-0.6987234685079863</v>
      </c>
      <c r="K238" s="17" t="n">
        <v>0.1940207500872572</v>
      </c>
      <c r="L238" s="18">
        <f>$B$5*$B$3*$B$6*SIN(F238)</f>
        <v/>
      </c>
      <c r="M238" s="18">
        <f>$B$9*K238*(SIN(F238))^2 + $B$8*($B$10+K238*COS(F238))*COS(F238)</f>
        <v/>
      </c>
      <c r="N238" s="18">
        <f>0.5*$B$9*(J238^2 + (K238*SIN(F238))^2) + 0.5*$B$8*($B$10 + K238*COS(F238))^2</f>
        <v/>
      </c>
      <c r="O238" s="18">
        <f>$B$3*$B$6*$B$5*COS(F238)</f>
        <v/>
      </c>
      <c r="P238" s="18">
        <f>N238+O238</f>
        <v/>
      </c>
      <c r="Q238" s="19">
        <f>ABS(P238-$P$3)</f>
        <v/>
      </c>
    </row>
    <row r="239">
      <c r="D239" s="6" t="n">
        <v>237</v>
      </c>
      <c r="E239" s="7" t="n">
        <v>2.36168691922802</v>
      </c>
      <c r="F239" s="8" t="n">
        <v>1.524719159946609</v>
      </c>
      <c r="G239" s="9">
        <f>DEGREES(F239)</f>
        <v/>
      </c>
      <c r="H239" s="8" t="n">
        <v>2.477565358077517</v>
      </c>
      <c r="I239" s="9">
        <f>DEGREES(H239)</f>
        <v/>
      </c>
      <c r="J239" s="10" t="n">
        <v>-0.7544604672757725</v>
      </c>
      <c r="K239" s="10" t="n">
        <v>0.2303858342414352</v>
      </c>
      <c r="L239" s="11">
        <f>$B$5*$B$3*$B$6*SIN(F239)</f>
        <v/>
      </c>
      <c r="M239" s="11">
        <f>$B$9*K239*(SIN(F239))^2 + $B$8*($B$10+K239*COS(F239))*COS(F239)</f>
        <v/>
      </c>
      <c r="N239" s="11">
        <f>0.5*$B$9*(J239^2 + (K239*SIN(F239))^2) + 0.5*$B$8*($B$10 + K239*COS(F239))^2</f>
        <v/>
      </c>
      <c r="O239" s="11">
        <f>$B$3*$B$6*$B$5*COS(F239)</f>
        <v/>
      </c>
      <c r="P239" s="11">
        <f>N239+O239</f>
        <v/>
      </c>
      <c r="Q239" s="12">
        <f>ABS(P239-$P$3)</f>
        <v/>
      </c>
    </row>
    <row r="240">
      <c r="D240" s="13" t="n">
        <v>238</v>
      </c>
      <c r="E240" s="14" t="n">
        <v>2.371694067190851</v>
      </c>
      <c r="F240" s="15" t="n">
        <v>1.516900084031056</v>
      </c>
      <c r="G240" s="16">
        <f>DEGREES(F240)</f>
        <v/>
      </c>
      <c r="H240" s="15" t="n">
        <v>2.480064252859742</v>
      </c>
      <c r="I240" s="16">
        <f>DEGREES(H240)</f>
        <v/>
      </c>
      <c r="J240" s="17" t="n">
        <v>-0.8078287144268208</v>
      </c>
      <c r="K240" s="17" t="n">
        <v>0.2694812138192016</v>
      </c>
      <c r="L240" s="18">
        <f>$B$5*$B$3*$B$6*SIN(F240)</f>
        <v/>
      </c>
      <c r="M240" s="18">
        <f>$B$9*K240*(SIN(F240))^2 + $B$8*($B$10+K240*COS(F240))*COS(F240)</f>
        <v/>
      </c>
      <c r="N240" s="18">
        <f>0.5*$B$9*(J240^2 + (K240*SIN(F240))^2) + 0.5*$B$8*($B$10 + K240*COS(F240))^2</f>
        <v/>
      </c>
      <c r="O240" s="18">
        <f>$B$3*$B$6*$B$5*COS(F240)</f>
        <v/>
      </c>
      <c r="P240" s="18">
        <f>N240+O240</f>
        <v/>
      </c>
      <c r="Q240" s="19">
        <f>ABS(P240-$P$3)</f>
        <v/>
      </c>
    </row>
    <row r="241">
      <c r="D241" s="6" t="n">
        <v>239</v>
      </c>
      <c r="E241" s="7" t="n">
        <v>2.381701215153681</v>
      </c>
      <c r="F241" s="8" t="n">
        <v>1.50855949829416</v>
      </c>
      <c r="G241" s="9">
        <f>DEGREES(F241)</f>
        <v/>
      </c>
      <c r="H241" s="8" t="n">
        <v>2.482967533791182</v>
      </c>
      <c r="I241" s="9">
        <f>DEGREES(H241)</f>
        <v/>
      </c>
      <c r="J241" s="10" t="n">
        <v>-0.8586606516499835</v>
      </c>
      <c r="K241" s="10" t="n">
        <v>0.3111841425036841</v>
      </c>
      <c r="L241" s="11">
        <f>$B$5*$B$3*$B$6*SIN(F241)</f>
        <v/>
      </c>
      <c r="M241" s="11">
        <f>$B$9*K241*(SIN(F241))^2 + $B$8*($B$10+K241*COS(F241))*COS(F241)</f>
        <v/>
      </c>
      <c r="N241" s="11">
        <f>0.5*$B$9*(J241^2 + (K241*SIN(F241))^2) + 0.5*$B$8*($B$10 + K241*COS(F241))^2</f>
        <v/>
      </c>
      <c r="O241" s="11">
        <f>$B$3*$B$6*$B$5*COS(F241)</f>
        <v/>
      </c>
      <c r="P241" s="11">
        <f>N241+O241</f>
        <v/>
      </c>
      <c r="Q241" s="12">
        <f>ABS(P241-$P$3)</f>
        <v/>
      </c>
    </row>
    <row r="242">
      <c r="D242" s="13" t="n">
        <v>240</v>
      </c>
      <c r="E242" s="14" t="n">
        <v>2.391708363116512</v>
      </c>
      <c r="F242" s="15" t="n">
        <v>1.499723589364385</v>
      </c>
      <c r="G242" s="16">
        <f>DEGREES(F242)</f>
        <v/>
      </c>
      <c r="H242" s="15" t="n">
        <v>2.486300646527563</v>
      </c>
      <c r="I242" s="16">
        <f>DEGREES(H242)</f>
        <v/>
      </c>
      <c r="J242" s="17" t="n">
        <v>-0.9067966837925661</v>
      </c>
      <c r="K242" s="17" t="n">
        <v>0.3553636871525556</v>
      </c>
      <c r="L242" s="18">
        <f>$B$5*$B$3*$B$6*SIN(F242)</f>
        <v/>
      </c>
      <c r="M242" s="18">
        <f>$B$9*K242*(SIN(F242))^2 + $B$8*($B$10+K242*COS(F242))*COS(F242)</f>
        <v/>
      </c>
      <c r="N242" s="18">
        <f>0.5*$B$9*(J242^2 + (K242*SIN(F242))^2) + 0.5*$B$8*($B$10 + K242*COS(F242))^2</f>
        <v/>
      </c>
      <c r="O242" s="18">
        <f>$B$3*$B$6*$B$5*COS(F242)</f>
        <v/>
      </c>
      <c r="P242" s="18">
        <f>N242+O242</f>
        <v/>
      </c>
      <c r="Q242" s="19">
        <f>ABS(P242-$P$3)</f>
        <v/>
      </c>
    </row>
    <row r="243">
      <c r="D243" s="6" t="n">
        <v>241</v>
      </c>
      <c r="E243" s="7" t="n">
        <v>2.401715511079343</v>
      </c>
      <c r="F243" s="8" t="n">
        <v>1.490420099018103</v>
      </c>
      <c r="G243" s="9">
        <f>DEGREES(F243)</f>
        <v/>
      </c>
      <c r="H243" s="8" t="n">
        <v>2.490087687197591</v>
      </c>
      <c r="I243" s="9">
        <f>DEGREES(H243)</f>
        <v/>
      </c>
      <c r="J243" s="10" t="n">
        <v>-0.9520856799353116</v>
      </c>
      <c r="K243" s="10" t="n">
        <v>0.4018811388839674</v>
      </c>
      <c r="L243" s="11">
        <f>$B$5*$B$3*$B$6*SIN(F243)</f>
        <v/>
      </c>
      <c r="M243" s="11">
        <f>$B$9*K243*(SIN(F243))^2 + $B$8*($B$10+K243*COS(F243))*COS(F243)</f>
        <v/>
      </c>
      <c r="N243" s="11">
        <f>0.5*$B$9*(J243^2 + (K243*SIN(F243))^2) + 0.5*$B$8*($B$10 + K243*COS(F243))^2</f>
        <v/>
      </c>
      <c r="O243" s="11">
        <f>$B$3*$B$6*$B$5*COS(F243)</f>
        <v/>
      </c>
      <c r="P243" s="11">
        <f>N243+O243</f>
        <v/>
      </c>
      <c r="Q243" s="12">
        <f>ABS(P243-$P$3)</f>
        <v/>
      </c>
    </row>
    <row r="244">
      <c r="D244" s="13" t="n">
        <v>242</v>
      </c>
      <c r="E244" s="14" t="n">
        <v>2.411722659042173</v>
      </c>
      <c r="F244" s="15" t="n">
        <v>1.480678237079757</v>
      </c>
      <c r="G244" s="16">
        <f>DEGREES(F244)</f>
        <v/>
      </c>
      <c r="H244" s="15" t="n">
        <v>2.494351326749235</v>
      </c>
      <c r="I244" s="16">
        <f>DEGREES(H244)</f>
        <v/>
      </c>
      <c r="J244" s="17" t="n">
        <v>-0.9943854478925618</v>
      </c>
      <c r="K244" s="17" t="n">
        <v>0.4505904485756976</v>
      </c>
      <c r="L244" s="18">
        <f>$B$5*$B$3*$B$6*SIN(F244)</f>
        <v/>
      </c>
      <c r="M244" s="18">
        <f>$B$9*K244*(SIN(F244))^2 + $B$8*($B$10+K244*COS(F244))*COS(F244)</f>
        <v/>
      </c>
      <c r="N244" s="18">
        <f>0.5*$B$9*(J244^2 + (K244*SIN(F244))^2) + 0.5*$B$8*($B$10 + K244*COS(F244))^2</f>
        <v/>
      </c>
      <c r="O244" s="18">
        <f>$B$3*$B$6*$B$5*COS(F244)</f>
        <v/>
      </c>
      <c r="P244" s="18">
        <f>N244+O244</f>
        <v/>
      </c>
      <c r="Q244" s="19">
        <f>ABS(P244-$P$3)</f>
        <v/>
      </c>
    </row>
    <row r="245">
      <c r="D245" s="6" t="n">
        <v>243</v>
      </c>
      <c r="E245" s="7" t="n">
        <v>2.421729807005004</v>
      </c>
      <c r="F245" s="8" t="n">
        <v>1.47052858971286</v>
      </c>
      <c r="G245" s="9">
        <f>DEGREES(F245)</f>
        <v/>
      </c>
      <c r="H245" s="8" t="n">
        <v>2.499112739770586</v>
      </c>
      <c r="I245" s="9">
        <f>DEGREES(H245)</f>
        <v/>
      </c>
      <c r="J245" s="10" t="n">
        <v>-1.033563180647806</v>
      </c>
      <c r="K245" s="10" t="n">
        <v>0.5013386854101822</v>
      </c>
      <c r="L245" s="11">
        <f>$B$5*$B$3*$B$6*SIN(F245)</f>
        <v/>
      </c>
      <c r="M245" s="11">
        <f>$B$9*K245*(SIN(F245))^2 + $B$8*($B$10+K245*COS(F245))*COS(F245)</f>
        <v/>
      </c>
      <c r="N245" s="11">
        <f>0.5*$B$9*(J245^2 + (K245*SIN(F245))^2) + 0.5*$B$8*($B$10 + K245*COS(F245))^2</f>
        <v/>
      </c>
      <c r="O245" s="11">
        <f>$B$3*$B$6*$B$5*COS(F245)</f>
        <v/>
      </c>
      <c r="P245" s="11">
        <f>N245+O245</f>
        <v/>
      </c>
      <c r="Q245" s="12">
        <f>ABS(P245-$P$3)</f>
        <v/>
      </c>
    </row>
    <row r="246">
      <c r="D246" s="13" t="n">
        <v>244</v>
      </c>
      <c r="E246" s="14" t="n">
        <v>2.431736954967834</v>
      </c>
      <c r="F246" s="15" t="n">
        <v>1.460003023389749</v>
      </c>
      <c r="G246" s="16">
        <f>DEGREES(F246)</f>
        <v/>
      </c>
      <c r="H246" s="15" t="n">
        <v>2.504391538008791</v>
      </c>
      <c r="I246" s="16">
        <f>DEGREES(H246)</f>
        <v/>
      </c>
      <c r="J246" s="17" t="n">
        <v>-1.069495873322948</v>
      </c>
      <c r="K246" s="17" t="n">
        <v>0.5539665170257357</v>
      </c>
      <c r="L246" s="18">
        <f>$B$5*$B$3*$B$6*SIN(F246)</f>
        <v/>
      </c>
      <c r="M246" s="18">
        <f>$B$9*K246*(SIN(F246))^2 + $B$8*($B$10+K246*COS(F246))*COS(F246)</f>
        <v/>
      </c>
      <c r="N246" s="18">
        <f>0.5*$B$9*(J246^2 + (K246*SIN(F246))^2) + 0.5*$B$8*($B$10 + K246*COS(F246))^2</f>
        <v/>
      </c>
      <c r="O246" s="18">
        <f>$B$3*$B$6*$B$5*COS(F246)</f>
        <v/>
      </c>
      <c r="P246" s="18">
        <f>N246+O246</f>
        <v/>
      </c>
      <c r="Q246" s="19">
        <f>ABS(P246-$P$3)</f>
        <v/>
      </c>
    </row>
    <row r="247">
      <c r="D247" s="6" t="n">
        <v>245</v>
      </c>
      <c r="E247" s="7" t="n">
        <v>2.441744102930665</v>
      </c>
      <c r="F247" s="8" t="n">
        <v>1.449134584841601</v>
      </c>
      <c r="G247" s="9">
        <f>DEGREES(F247)</f>
        <v/>
      </c>
      <c r="H247" s="8" t="n">
        <v>2.51020570879577</v>
      </c>
      <c r="I247" s="9">
        <f>DEGREES(H247)</f>
        <v/>
      </c>
      <c r="J247" s="10" t="n">
        <v>-1.102070709372177</v>
      </c>
      <c r="K247" s="10" t="n">
        <v>0.6083087097664764</v>
      </c>
      <c r="L247" s="11">
        <f>$B$5*$B$3*$B$6*SIN(F247)</f>
        <v/>
      </c>
      <c r="M247" s="11">
        <f>$B$9*K247*(SIN(F247))^2 + $B$8*($B$10+K247*COS(F247))*COS(F247)</f>
        <v/>
      </c>
      <c r="N247" s="11">
        <f>0.5*$B$9*(J247^2 + (K247*SIN(F247))^2) + 0.5*$B$8*($B$10 + K247*COS(F247))^2</f>
        <v/>
      </c>
      <c r="O247" s="11">
        <f>$B$3*$B$6*$B$5*COS(F247)</f>
        <v/>
      </c>
      <c r="P247" s="11">
        <f>N247+O247</f>
        <v/>
      </c>
      <c r="Q247" s="12">
        <f>ABS(P247-$P$3)</f>
        <v/>
      </c>
    </row>
    <row r="248">
      <c r="D248" s="13" t="n">
        <v>246</v>
      </c>
      <c r="E248" s="14" t="n">
        <v>2.451751250893496</v>
      </c>
      <c r="F248" s="15" t="n">
        <v>1.437957397302831</v>
      </c>
      <c r="G248" s="16">
        <f>DEGREES(F248)</f>
        <v/>
      </c>
      <c r="H248" s="15" t="n">
        <v>2.516571558574059</v>
      </c>
      <c r="I248" s="16">
        <f>DEGREES(H248)</f>
        <v/>
      </c>
      <c r="J248" s="17" t="n">
        <v>-1.131185414787905</v>
      </c>
      <c r="K248" s="17" t="n">
        <v>0.6641946474603282</v>
      </c>
      <c r="L248" s="18">
        <f>$B$5*$B$3*$B$6*SIN(F248)</f>
        <v/>
      </c>
      <c r="M248" s="18">
        <f>$B$9*K248*(SIN(F248))^2 + $B$8*($B$10+K248*COS(F248))*COS(F248)</f>
        <v/>
      </c>
      <c r="N248" s="18">
        <f>0.5*$B$9*(J248^2 + (K248*SIN(F248))^2) + 0.5*$B$8*($B$10 + K248*COS(F248))^2</f>
        <v/>
      </c>
      <c r="O248" s="18">
        <f>$B$3*$B$6*$B$5*COS(F248)</f>
        <v/>
      </c>
      <c r="P248" s="18">
        <f>N248+O248</f>
        <v/>
      </c>
      <c r="Q248" s="19">
        <f>ABS(P248-$P$3)</f>
        <v/>
      </c>
    </row>
    <row r="249">
      <c r="D249" s="6" t="n">
        <v>247</v>
      </c>
      <c r="E249" s="7" t="n">
        <v>2.461758398856326</v>
      </c>
      <c r="F249" s="8" t="n">
        <v>1.426506553375637</v>
      </c>
      <c r="G249" s="9">
        <f>DEGREES(F249)</f>
        <v/>
      </c>
      <c r="H249" s="8" t="n">
        <v>2.523503661700078</v>
      </c>
      <c r="I249" s="9">
        <f>DEGREES(H249)</f>
        <v/>
      </c>
      <c r="J249" s="10" t="n">
        <v>-1.15674857920668</v>
      </c>
      <c r="K249" s="10" t="n">
        <v>0.7214488670962957</v>
      </c>
      <c r="L249" s="11">
        <f>$B$5*$B$3*$B$6*SIN(F249)</f>
        <v/>
      </c>
      <c r="M249" s="11">
        <f>$B$9*K249*(SIN(F249))^2 + $B$8*($B$10+K249*COS(F249))*COS(F249)</f>
        <v/>
      </c>
      <c r="N249" s="11">
        <f>0.5*$B$9*(J249^2 + (K249*SIN(F249))^2) + 0.5*$B$8*($B$10 + K249*COS(F249))^2</f>
        <v/>
      </c>
      <c r="O249" s="11">
        <f>$B$3*$B$6*$B$5*COS(F249)</f>
        <v/>
      </c>
      <c r="P249" s="11">
        <f>N249+O249</f>
        <v/>
      </c>
      <c r="Q249" s="12">
        <f>ABS(P249-$P$3)</f>
        <v/>
      </c>
    </row>
    <row r="250">
      <c r="D250" s="13" t="n">
        <v>248</v>
      </c>
      <c r="E250" s="14" t="n">
        <v>2.471765546819157</v>
      </c>
      <c r="F250" s="15" t="n">
        <v>1.41481800485106</v>
      </c>
      <c r="G250" s="16">
        <f>DEGREES(F250)</f>
        <v/>
      </c>
      <c r="H250" s="15" t="n">
        <v>2.531014814685556</v>
      </c>
      <c r="I250" s="16">
        <f>DEGREES(H250)</f>
        <v/>
      </c>
      <c r="J250" s="17" t="n">
        <v>-1.178679942906919</v>
      </c>
      <c r="K250" s="17" t="n">
        <v>0.7798916097191841</v>
      </c>
      <c r="L250" s="18">
        <f>$B$5*$B$3*$B$6*SIN(F250)</f>
        <v/>
      </c>
      <c r="M250" s="18">
        <f>$B$9*K250*(SIN(F250))^2 + $B$8*($B$10+K250*COS(F250))*COS(F250)</f>
        <v/>
      </c>
      <c r="N250" s="18">
        <f>0.5*$B$9*(J250^2 + (K250*SIN(F250))^2) + 0.5*$B$8*($B$10 + K250*COS(F250))^2</f>
        <v/>
      </c>
      <c r="O250" s="18">
        <f>$B$3*$B$6*$B$5*COS(F250)</f>
        <v/>
      </c>
      <c r="P250" s="18">
        <f>N250+O250</f>
        <v/>
      </c>
      <c r="Q250" s="19">
        <f>ABS(P250-$P$3)</f>
        <v/>
      </c>
    </row>
    <row r="251">
      <c r="D251" s="6" t="n">
        <v>249</v>
      </c>
      <c r="E251" s="7" t="n">
        <v>2.481772694781987</v>
      </c>
      <c r="F251" s="8" t="n">
        <v>1.402928449832463</v>
      </c>
      <c r="G251" s="9">
        <f>DEGREES(F251)</f>
        <v/>
      </c>
      <c r="H251" s="8" t="n">
        <v>2.539115996020805</v>
      </c>
      <c r="I251" s="9">
        <f>DEGREES(H251)</f>
        <v/>
      </c>
      <c r="J251" s="10" t="n">
        <v>-1.196910648797399</v>
      </c>
      <c r="K251" s="10" t="n">
        <v>0.8393393848121656</v>
      </c>
      <c r="L251" s="11">
        <f>$B$5*$B$3*$B$6*SIN(F251)</f>
        <v/>
      </c>
      <c r="M251" s="11">
        <f>$B$9*K251*(SIN(F251))^2 + $B$8*($B$10+K251*COS(F251))*COS(F251)</f>
        <v/>
      </c>
      <c r="N251" s="11">
        <f>0.5*$B$9*(J251^2 + (K251*SIN(F251))^2) + 0.5*$B$8*($B$10 + K251*COS(F251))^2</f>
        <v/>
      </c>
      <c r="O251" s="11">
        <f>$B$3*$B$6*$B$5*COS(F251)</f>
        <v/>
      </c>
      <c r="P251" s="11">
        <f>N251+O251</f>
        <v/>
      </c>
      <c r="Q251" s="12">
        <f>ABS(P251-$P$3)</f>
        <v/>
      </c>
    </row>
    <row r="252">
      <c r="D252" s="13" t="n">
        <v>250</v>
      </c>
      <c r="E252" s="14" t="n">
        <v>2.491779842744818</v>
      </c>
      <c r="F252" s="15" t="n">
        <v>1.390875217515871</v>
      </c>
      <c r="G252" s="16">
        <f>DEGREES(F252)</f>
        <v/>
      </c>
      <c r="H252" s="15" t="n">
        <v>2.547816331705954</v>
      </c>
      <c r="I252" s="16">
        <f>DEGREES(H252)</f>
        <v/>
      </c>
      <c r="J252" s="17" t="n">
        <v>-1.211383458605305</v>
      </c>
      <c r="K252" s="17" t="n">
        <v>0.8996055463951308</v>
      </c>
      <c r="L252" s="18">
        <f>$B$5*$B$3*$B$6*SIN(F252)</f>
        <v/>
      </c>
      <c r="M252" s="18">
        <f>$B$9*K252*(SIN(F252))^2 + $B$8*($B$10+K252*COS(F252))*COS(F252)</f>
        <v/>
      </c>
      <c r="N252" s="18">
        <f>0.5*$B$9*(J252^2 + (K252*SIN(F252))^2) + 0.5*$B$8*($B$10 + K252*COS(F252))^2</f>
        <v/>
      </c>
      <c r="O252" s="18">
        <f>$B$3*$B$6*$B$5*COS(F252)</f>
        <v/>
      </c>
      <c r="P252" s="18">
        <f>N252+O252</f>
        <v/>
      </c>
      <c r="Q252" s="19">
        <f>ABS(P252-$P$3)</f>
        <v/>
      </c>
    </row>
    <row r="253">
      <c r="D253" s="6" t="n">
        <v>251</v>
      </c>
      <c r="E253" s="7" t="n">
        <v>2.501786990707648</v>
      </c>
      <c r="F253" s="8" t="n">
        <v>1.378696150988858</v>
      </c>
      <c r="G253" s="9">
        <f>DEGREES(F253)</f>
        <v/>
      </c>
      <c r="H253" s="8" t="n">
        <v>2.557123066598387</v>
      </c>
      <c r="I253" s="9">
        <f>DEGREES(H253)</f>
        <v/>
      </c>
      <c r="J253" s="10" t="n">
        <v>-1.222052932585126</v>
      </c>
      <c r="K253" s="10" t="n">
        <v>0.9605008790301901</v>
      </c>
      <c r="L253" s="11">
        <f>$B$5*$B$3*$B$6*SIN(F253)</f>
        <v/>
      </c>
      <c r="M253" s="11">
        <f>$B$9*K253*(SIN(F253))^2 + $B$8*($B$10+K253*COS(F253))*COS(F253)</f>
        <v/>
      </c>
      <c r="N253" s="11">
        <f>0.5*$B$9*(J253^2 + (K253*SIN(F253))^2) + 0.5*$B$8*($B$10 + K253*COS(F253))^2</f>
        <v/>
      </c>
      <c r="O253" s="11">
        <f>$B$3*$B$6*$B$5*COS(F253)</f>
        <v/>
      </c>
      <c r="P253" s="11">
        <f>N253+O253</f>
        <v/>
      </c>
      <c r="Q253" s="12">
        <f>ABS(P253-$P$3)</f>
        <v/>
      </c>
    </row>
    <row r="254">
      <c r="D254" s="13" t="n">
        <v>252</v>
      </c>
      <c r="E254" s="14" t="n">
        <v>2.511794138670479</v>
      </c>
      <c r="F254" s="15" t="n">
        <v>1.366429488416018</v>
      </c>
      <c r="G254" s="16">
        <f>DEGREES(F254)</f>
        <v/>
      </c>
      <c r="H254" s="15" t="n">
        <v>2.567041541666331</v>
      </c>
      <c r="I254" s="16">
        <f>DEGREES(H254)</f>
        <v/>
      </c>
      <c r="J254" s="17" t="n">
        <v>-1.228885572184142</v>
      </c>
      <c r="K254" s="17" t="n">
        <v>1.021834191894391</v>
      </c>
      <c r="L254" s="18">
        <f>$B$5*$B$3*$B$6*SIN(F254)</f>
        <v/>
      </c>
      <c r="M254" s="18">
        <f>$B$9*K254*(SIN(F254))^2 + $B$8*($B$10+K254*COS(F254))*COS(F254)</f>
        <v/>
      </c>
      <c r="N254" s="18">
        <f>0.5*$B$9*(J254^2 + (K254*SIN(F254))^2) + 0.5*$B$8*($B$10 + K254*COS(F254))^2</f>
        <v/>
      </c>
      <c r="O254" s="18">
        <f>$B$3*$B$6*$B$5*COS(F254)</f>
        <v/>
      </c>
      <c r="P254" s="18">
        <f>N254+O254</f>
        <v/>
      </c>
      <c r="Q254" s="19">
        <f>ABS(P254-$P$3)</f>
        <v/>
      </c>
    </row>
    <row r="255">
      <c r="D255" s="6" t="n">
        <v>253</v>
      </c>
      <c r="E255" s="7" t="n">
        <v>2.521801286633309</v>
      </c>
      <c r="F255" s="8" t="n">
        <v>1.354113742984009</v>
      </c>
      <c r="G255" s="9">
        <f>DEGREES(F255)</f>
        <v/>
      </c>
      <c r="H255" s="8" t="n">
        <v>2.577575177220016</v>
      </c>
      <c r="I255" s="9">
        <f>DEGREES(H255)</f>
        <v/>
      </c>
      <c r="J255" s="10" t="n">
        <v>-1.231859925216586</v>
      </c>
      <c r="K255" s="10" t="n">
        <v>1.083412919054436</v>
      </c>
      <c r="L255" s="11">
        <f>$B$5*$B$3*$B$6*SIN(F255)</f>
        <v/>
      </c>
      <c r="M255" s="11">
        <f>$B$9*K255*(SIN(F255))^2 + $B$8*($B$10+K255*COS(F255))*COS(F255)</f>
        <v/>
      </c>
      <c r="N255" s="11">
        <f>0.5*$B$9*(J255^2 + (K255*SIN(F255))^2) + 0.5*$B$8*($B$10 + K255*COS(F255))^2</f>
        <v/>
      </c>
      <c r="O255" s="11">
        <f>$B$3*$B$6*$B$5*COS(F255)</f>
        <v/>
      </c>
      <c r="P255" s="11">
        <f>N255+O255</f>
        <v/>
      </c>
      <c r="Q255" s="12">
        <f>ABS(P255-$P$3)</f>
        <v/>
      </c>
    </row>
    <row r="256">
      <c r="D256" s="13" t="n">
        <v>254</v>
      </c>
      <c r="E256" s="14" t="n">
        <v>2.53180843459614</v>
      </c>
      <c r="F256" s="15" t="n">
        <v>1.341787581983123</v>
      </c>
      <c r="G256" s="16">
        <f>DEGREES(F256)</f>
        <v/>
      </c>
      <c r="H256" s="15" t="n">
        <v>2.588725462173056</v>
      </c>
      <c r="I256" s="16">
        <f>DEGREES(H256)</f>
        <v/>
      </c>
      <c r="J256" s="17" t="n">
        <v>-1.230966653216283</v>
      </c>
      <c r="K256" s="17" t="n">
        <v>1.145043724058869</v>
      </c>
      <c r="L256" s="18">
        <f>$B$5*$B$3*$B$6*SIN(F256)</f>
        <v/>
      </c>
      <c r="M256" s="18">
        <f>$B$9*K256*(SIN(F256))^2 + $B$8*($B$10+K256*COS(F256))*COS(F256)</f>
        <v/>
      </c>
      <c r="N256" s="18">
        <f>0.5*$B$9*(J256^2 + (K256*SIN(F256))^2) + 0.5*$B$8*($B$10 + K256*COS(F256))^2</f>
        <v/>
      </c>
      <c r="O256" s="18">
        <f>$B$3*$B$6*$B$5*COS(F256)</f>
        <v/>
      </c>
      <c r="P256" s="18">
        <f>N256+O256</f>
        <v/>
      </c>
      <c r="Q256" s="19">
        <f>ABS(P256-$P$3)</f>
        <v/>
      </c>
    </row>
    <row r="257">
      <c r="D257" s="6" t="n">
        <v>255</v>
      </c>
      <c r="E257" s="7" t="n">
        <v>2.541815582558971</v>
      </c>
      <c r="F257" s="8" t="n">
        <v>1.32948970540503</v>
      </c>
      <c r="G257" s="9">
        <f>DEGREES(F257)</f>
        <v/>
      </c>
      <c r="H257" s="8" t="n">
        <v>2.600491949367757</v>
      </c>
      <c r="I257" s="9">
        <f>DEGREES(H257)</f>
        <v/>
      </c>
      <c r="J257" s="10" t="n">
        <v>-1.226208560756284</v>
      </c>
      <c r="K257" s="10" t="n">
        <v>1.206533106949331</v>
      </c>
      <c r="L257" s="11">
        <f>$B$5*$B$3*$B$6*SIN(F257)</f>
        <v/>
      </c>
      <c r="M257" s="11">
        <f>$B$9*K257*(SIN(F257))^2 + $B$8*($B$10+K257*COS(F257))*COS(F257)</f>
        <v/>
      </c>
      <c r="N257" s="11">
        <f>0.5*$B$9*(J257^2 + (K257*SIN(F257))^2) + 0.5*$B$8*($B$10 + K257*COS(F257))^2</f>
        <v/>
      </c>
      <c r="O257" s="11">
        <f>$B$3*$B$6*$B$5*COS(F257)</f>
        <v/>
      </c>
      <c r="P257" s="11">
        <f>N257+O257</f>
        <v/>
      </c>
      <c r="Q257" s="12">
        <f>ABS(P257-$P$3)</f>
        <v/>
      </c>
    </row>
    <row r="258">
      <c r="D258" s="13" t="n">
        <v>256</v>
      </c>
      <c r="E258" s="14" t="n">
        <v>2.551822730521801</v>
      </c>
      <c r="F258" s="15" t="n">
        <v>1.317258724437847</v>
      </c>
      <c r="G258" s="16">
        <f>DEGREES(F258)</f>
        <v/>
      </c>
      <c r="H258" s="15" t="n">
        <v>2.612872256979043</v>
      </c>
      <c r="I258" s="16">
        <f>DEGREES(H258)</f>
        <v/>
      </c>
      <c r="J258" s="17" t="n">
        <v>-1.217600586643454</v>
      </c>
      <c r="K258" s="17" t="n">
        <v>1.26768801178525</v>
      </c>
      <c r="L258" s="18">
        <f>$B$5*$B$3*$B$6*SIN(F258)</f>
        <v/>
      </c>
      <c r="M258" s="18">
        <f>$B$9*K258*(SIN(F258))^2 + $B$8*($B$10+K258*COS(F258))*COS(F258)</f>
        <v/>
      </c>
      <c r="N258" s="18">
        <f>0.5*$B$9*(J258^2 + (K258*SIN(F258))^2) + 0.5*$B$8*($B$10 + K258*COS(F258))^2</f>
        <v/>
      </c>
      <c r="O258" s="18">
        <f>$B$3*$B$6*$B$5*COS(F258)</f>
        <v/>
      </c>
      <c r="P258" s="18">
        <f>N258+O258</f>
        <v/>
      </c>
      <c r="Q258" s="19">
        <f>ABS(P258-$P$3)</f>
        <v/>
      </c>
    </row>
    <row r="259">
      <c r="D259" s="6" t="n">
        <v>257</v>
      </c>
      <c r="E259" s="7" t="n">
        <v>2.561829878484632</v>
      </c>
      <c r="F259" s="8" t="n">
        <v>1.305133040240011</v>
      </c>
      <c r="G259" s="9">
        <f>DEGREES(F259)</f>
        <v/>
      </c>
      <c r="H259" s="8" t="n">
        <v>2.62586207599259</v>
      </c>
      <c r="I259" s="9">
        <f>DEGREES(H259)</f>
        <v/>
      </c>
      <c r="J259" s="10" t="n">
        <v>-1.205169757015649</v>
      </c>
      <c r="K259" s="10" t="n">
        <v>1.328316432774431</v>
      </c>
      <c r="L259" s="11">
        <f>$B$5*$B$3*$B$6*SIN(F259)</f>
        <v/>
      </c>
      <c r="M259" s="11">
        <f>$B$9*K259*(SIN(F259))^2 + $B$8*($B$10+K259*COS(F259))*COS(F259)</f>
        <v/>
      </c>
      <c r="N259" s="11">
        <f>0.5*$B$9*(J259^2 + (K259*SIN(F259))^2) + 0.5*$B$8*($B$10 + K259*COS(F259))^2</f>
        <v/>
      </c>
      <c r="O259" s="11">
        <f>$B$3*$B$6*$B$5*COS(F259)</f>
        <v/>
      </c>
      <c r="P259" s="11">
        <f>N259+O259</f>
        <v/>
      </c>
      <c r="Q259" s="12">
        <f>ABS(P259-$P$3)</f>
        <v/>
      </c>
    </row>
    <row r="260">
      <c r="D260" s="13" t="n">
        <v>258</v>
      </c>
      <c r="E260" s="14" t="n">
        <v>2.571837026447463</v>
      </c>
      <c r="F260" s="15" t="n">
        <v>1.293150723373591</v>
      </c>
      <c r="G260" s="16">
        <f>DEGREES(F260)</f>
        <v/>
      </c>
      <c r="H260" s="15" t="n">
        <v>2.63945518373367</v>
      </c>
      <c r="I260" s="16">
        <f>DEGREES(H260)</f>
        <v/>
      </c>
      <c r="J260" s="17" t="n">
        <v>-1.188955100488756</v>
      </c>
      <c r="K260" s="17" t="n">
        <v>1.38822801710653</v>
      </c>
      <c r="L260" s="18">
        <f>$B$5*$B$3*$B$6*SIN(F260)</f>
        <v/>
      </c>
      <c r="M260" s="18">
        <f>$B$9*K260*(SIN(F260))^2 + $B$8*($B$10+K260*COS(F260))*COS(F260)</f>
        <v/>
      </c>
      <c r="N260" s="18">
        <f>0.5*$B$9*(J260^2 + (K260*SIN(F260))^2) + 0.5*$B$8*($B$10 + K260*COS(F260))^2</f>
        <v/>
      </c>
      <c r="O260" s="18">
        <f>$B$3*$B$6*$B$5*COS(F260)</f>
        <v/>
      </c>
      <c r="P260" s="18">
        <f>N260+O260</f>
        <v/>
      </c>
      <c r="Q260" s="19">
        <f>ABS(P260-$P$3)</f>
        <v/>
      </c>
    </row>
    <row r="261">
      <c r="D261" s="6" t="n">
        <v>259</v>
      </c>
      <c r="E261" s="7" t="n">
        <v>2.581844174410293</v>
      </c>
      <c r="F261" s="8" t="n">
        <v>1.28134939427555</v>
      </c>
      <c r="G261" s="9">
        <f>DEGREES(F261)</f>
        <v/>
      </c>
      <c r="H261" s="8" t="n">
        <v>2.653643463404258</v>
      </c>
      <c r="I261" s="9">
        <f>DEGREES(H261)</f>
        <v/>
      </c>
      <c r="J261" s="10" t="n">
        <v>-1.169007525619988</v>
      </c>
      <c r="K261" s="10" t="n">
        <v>1.447234662596733</v>
      </c>
      <c r="L261" s="11">
        <f>$B$5*$B$3*$B$6*SIN(F261)</f>
        <v/>
      </c>
      <c r="M261" s="11">
        <f>$B$9*K261*(SIN(F261))^2 + $B$8*($B$10+K261*COS(F261))*COS(F261)</f>
        <v/>
      </c>
      <c r="N261" s="11">
        <f>0.5*$B$9*(J261^2 + (K261*SIN(F261))^2) + 0.5*$B$8*($B$10 + K261*COS(F261))^2</f>
        <v/>
      </c>
      <c r="O261" s="11">
        <f>$B$3*$B$6*$B$5*COS(F261)</f>
        <v/>
      </c>
      <c r="P261" s="11">
        <f>N261+O261</f>
        <v/>
      </c>
      <c r="Q261" s="12">
        <f>ABS(P261-$P$3)</f>
        <v/>
      </c>
    </row>
    <row r="262">
      <c r="D262" s="13" t="n">
        <v>260</v>
      </c>
      <c r="E262" s="14" t="n">
        <v>2.591851322373124</v>
      </c>
      <c r="F262" s="15" t="n">
        <v>1.269766105142249</v>
      </c>
      <c r="G262" s="16">
        <f>DEGREES(F262)</f>
        <v/>
      </c>
      <c r="H262" s="15" t="n">
        <v>2.668416929567042</v>
      </c>
      <c r="I262" s="16">
        <f>DEGREES(H262)</f>
        <v/>
      </c>
      <c r="J262" s="17" t="n">
        <v>-1.14538966107217</v>
      </c>
      <c r="K262" s="17" t="n">
        <v>1.505151108263237</v>
      </c>
      <c r="L262" s="18">
        <f>$B$5*$B$3*$B$6*SIN(F262)</f>
        <v/>
      </c>
      <c r="M262" s="18">
        <f>$B$9*K262*(SIN(F262))^2 + $B$8*($B$10+K262*COS(F262))*COS(F262)</f>
        <v/>
      </c>
      <c r="N262" s="18">
        <f>0.5*$B$9*(J262^2 + (K262*SIN(F262))^2) + 0.5*$B$8*($B$10 + K262*COS(F262))^2</f>
        <v/>
      </c>
      <c r="O262" s="18">
        <f>$B$3*$B$6*$B$5*COS(F262)</f>
        <v/>
      </c>
      <c r="P262" s="18">
        <f>N262+O262</f>
        <v/>
      </c>
      <c r="Q262" s="19">
        <f>ABS(P262-$P$3)</f>
        <v/>
      </c>
    </row>
    <row r="263">
      <c r="D263" s="6" t="n">
        <v>261</v>
      </c>
      <c r="E263" s="7" t="n">
        <v>2.601858470335955</v>
      </c>
      <c r="F263" s="8" t="n">
        <v>1.25843722359804</v>
      </c>
      <c r="G263" s="9">
        <f>DEGREES(F263)</f>
        <v/>
      </c>
      <c r="H263" s="8" t="n">
        <v>2.683763759496329</v>
      </c>
      <c r="I263" s="9">
        <f>DEGREES(H263)</f>
        <v/>
      </c>
      <c r="J263" s="10" t="n">
        <v>-1.118175658980845</v>
      </c>
      <c r="K263" s="10" t="n">
        <v>1.561795515984283</v>
      </c>
      <c r="L263" s="11">
        <f>$B$5*$B$3*$B$6*SIN(F263)</f>
        <v/>
      </c>
      <c r="M263" s="11">
        <f>$B$9*K263*(SIN(F263))^2 + $B$8*($B$10+K263*COS(F263))*COS(F263)</f>
        <v/>
      </c>
      <c r="N263" s="11">
        <f>0.5*$B$9*(J263^2 + (K263*SIN(F263))^2) + 0.5*$B$8*($B$10 + K263*COS(F263))^2</f>
        <v/>
      </c>
      <c r="O263" s="11">
        <f>$B$3*$B$6*$B$5*COS(F263)</f>
        <v/>
      </c>
      <c r="P263" s="11">
        <f>N263+O263</f>
        <v/>
      </c>
      <c r="Q263" s="12">
        <f>ABS(P263-$P$3)</f>
        <v/>
      </c>
    </row>
    <row r="264">
      <c r="D264" s="13" t="n">
        <v>262</v>
      </c>
      <c r="E264" s="14" t="n">
        <v>2.611865618298785</v>
      </c>
      <c r="F264" s="15" t="n">
        <v>1.247398318513179</v>
      </c>
      <c r="G264" s="16">
        <f>DEGREES(F264)</f>
        <v/>
      </c>
      <c r="H264" s="15" t="n">
        <v>2.69967033029742</v>
      </c>
      <c r="I264" s="16">
        <f>DEGREES(H264)</f>
        <v/>
      </c>
      <c r="J264" s="17" t="n">
        <v>-1.087450962141558</v>
      </c>
      <c r="K264" s="17" t="n">
        <v>1.61699004140859</v>
      </c>
      <c r="L264" s="18">
        <f>$B$5*$B$3*$B$6*SIN(F264)</f>
        <v/>
      </c>
      <c r="M264" s="18">
        <f>$B$9*K264*(SIN(F264))^2 + $B$8*($B$10+K264*COS(F264))*COS(F264)</f>
        <v/>
      </c>
      <c r="N264" s="18">
        <f>0.5*$B$9*(J264^2 + (K264*SIN(F264))^2) + 0.5*$B$8*($B$10 + K264*COS(F264))^2</f>
        <v/>
      </c>
      <c r="O264" s="18">
        <f>$B$3*$B$6*$B$5*COS(F264)</f>
        <v/>
      </c>
      <c r="P264" s="18">
        <f>N264+O264</f>
        <v/>
      </c>
      <c r="Q264" s="19">
        <f>ABS(P264-$P$3)</f>
        <v/>
      </c>
    </row>
    <row r="265">
      <c r="D265" s="6" t="n">
        <v>263</v>
      </c>
      <c r="E265" s="7" t="n">
        <v>2.621872766261616</v>
      </c>
      <c r="F265" s="8" t="n">
        <v>1.236684048329559</v>
      </c>
      <c r="G265" s="9">
        <f>DEGREES(F265)</f>
        <v/>
      </c>
      <c r="H265" s="8" t="n">
        <v>2.716121261677913</v>
      </c>
      <c r="I265" s="9">
        <f>DEGREES(H265)</f>
        <v/>
      </c>
      <c r="J265" s="10" t="n">
        <v>-1.053312035748271</v>
      </c>
      <c r="K265" s="10" t="n">
        <v>1.67056139232669</v>
      </c>
      <c r="L265" s="11">
        <f>$B$5*$B$3*$B$6*SIN(F265)</f>
        <v/>
      </c>
      <c r="M265" s="11">
        <f>$B$9*K265*(SIN(F265))^2 + $B$8*($B$10+K265*COS(F265))*COS(F265)</f>
        <v/>
      </c>
      <c r="N265" s="11">
        <f>0.5*$B$9*(J265^2 + (K265*SIN(F265))^2) + 0.5*$B$8*($B$10 + K265*COS(F265))^2</f>
        <v/>
      </c>
      <c r="O265" s="11">
        <f>$B$3*$B$6*$B$5*COS(F265)</f>
        <v/>
      </c>
      <c r="P265" s="11">
        <f>N265+O265</f>
        <v/>
      </c>
      <c r="Q265" s="12">
        <f>ABS(P265-$P$3)</f>
        <v/>
      </c>
    </row>
    <row r="266">
      <c r="D266" s="13" t="n">
        <v>264</v>
      </c>
      <c r="E266" s="14" t="n">
        <v>2.631879914224446</v>
      </c>
      <c r="F266" s="15" t="n">
        <v>1.226328052244887</v>
      </c>
      <c r="G266" s="16">
        <f>DEGREES(F266)</f>
        <v/>
      </c>
      <c r="H266" s="15" t="n">
        <v>2.733099464236629</v>
      </c>
      <c r="I266" s="16">
        <f>DEGREES(H266)</f>
        <v/>
      </c>
      <c r="J266" s="17" t="n">
        <v>-1.015866064525161</v>
      </c>
      <c r="K266" s="17" t="n">
        <v>1.722341372750051</v>
      </c>
      <c r="L266" s="18">
        <f>$B$5*$B$3*$B$6*SIN(F266)</f>
        <v/>
      </c>
      <c r="M266" s="18">
        <f>$B$9*K266*(SIN(F266))^2 + $B$8*($B$10+K266*COS(F266))*COS(F266)</f>
        <v/>
      </c>
      <c r="N266" s="18">
        <f>0.5*$B$9*(J266^2 + (K266*SIN(F266))^2) + 0.5*$B$8*($B$10 + K266*COS(F266))^2</f>
        <v/>
      </c>
      <c r="O266" s="18">
        <f>$B$3*$B$6*$B$5*COS(F266)</f>
        <v/>
      </c>
      <c r="P266" s="18">
        <f>N266+O266</f>
        <v/>
      </c>
      <c r="Q266" s="19">
        <f>ABS(P266-$P$3)</f>
        <v/>
      </c>
    </row>
    <row r="267">
      <c r="D267" s="6" t="n">
        <v>265</v>
      </c>
      <c r="E267" s="7" t="n">
        <v>2.641887062187277</v>
      </c>
      <c r="F267" s="8" t="n">
        <v>1.216362844596933</v>
      </c>
      <c r="G267" s="9">
        <f>DEGREES(F267)</f>
        <v/>
      </c>
      <c r="H267" s="8" t="n">
        <v>2.750586193118583</v>
      </c>
      <c r="I267" s="9">
        <f>DEGREES(H267)</f>
        <v/>
      </c>
      <c r="J267" s="10" t="n">
        <v>-0.9752306162027073</v>
      </c>
      <c r="K267" s="10" t="n">
        <v>1.772167410989817</v>
      </c>
      <c r="L267" s="11">
        <f>$B$5*$B$3*$B$6*SIN(F267)</f>
        <v/>
      </c>
      <c r="M267" s="11">
        <f>$B$9*K267*(SIN(F267))^2 + $B$8*($B$10+K267*COS(F267))*COS(F267)</f>
        <v/>
      </c>
      <c r="N267" s="11">
        <f>0.5*$B$9*(J267^2 + (K267*SIN(F267))^2) + 0.5*$B$8*($B$10 + K267*COS(F267))^2</f>
        <v/>
      </c>
      <c r="O267" s="11">
        <f>$B$3*$B$6*$B$5*COS(F267)</f>
        <v/>
      </c>
      <c r="P267" s="11">
        <f>N267+O267</f>
        <v/>
      </c>
      <c r="Q267" s="12">
        <f>ABS(P267-$P$3)</f>
        <v/>
      </c>
    </row>
    <row r="268">
      <c r="D268" s="13" t="n">
        <v>266</v>
      </c>
      <c r="E268" s="14" t="n">
        <v>2.651894210150108</v>
      </c>
      <c r="F268" s="15" t="n">
        <v>1.206819712779474</v>
      </c>
      <c r="G268" s="16">
        <f>DEGREES(F268)</f>
        <v/>
      </c>
      <c r="H268" s="15" t="n">
        <v>2.768561106867503</v>
      </c>
      <c r="I268" s="16">
        <f>DEGREES(H268)</f>
        <v/>
      </c>
      <c r="J268" s="17" t="n">
        <v>-0.931533272394642</v>
      </c>
      <c r="K268" s="17" t="n">
        <v>1.819883070077113</v>
      </c>
      <c r="L268" s="18">
        <f>$B$5*$B$3*$B$6*SIN(F268)</f>
        <v/>
      </c>
      <c r="M268" s="18">
        <f>$B$9*K268*(SIN(F268))^2 + $B$8*($B$10+K268*COS(F268))*COS(F268)</f>
        <v/>
      </c>
      <c r="N268" s="18">
        <f>0.5*$B$9*(J268^2 + (K268*SIN(F268))^2) + 0.5*$B$8*($B$10 + K268*COS(F268))^2</f>
        <v/>
      </c>
      <c r="O268" s="18">
        <f>$B$3*$B$6*$B$5*COS(F268)</f>
        <v/>
      </c>
      <c r="P268" s="18">
        <f>N268+O268</f>
        <v/>
      </c>
      <c r="Q268" s="19">
        <f>ABS(P268-$P$3)</f>
        <v/>
      </c>
    </row>
    <row r="269">
      <c r="D269" s="6" t="n">
        <v>267</v>
      </c>
      <c r="E269" s="7" t="n">
        <v>2.661901358112938</v>
      </c>
      <c r="F269" s="8" t="n">
        <v>1.197728619010414</v>
      </c>
      <c r="G269" s="9">
        <f>DEGREES(F269)</f>
        <v/>
      </c>
      <c r="H269" s="8" t="n">
        <v>2.787002331291152</v>
      </c>
      <c r="I269" s="9">
        <f>DEGREES(H269)</f>
        <v/>
      </c>
      <c r="J269" s="10" t="n">
        <v>-0.8849112280346734</v>
      </c>
      <c r="K269" s="10" t="n">
        <v>1.865338538922411</v>
      </c>
      <c r="L269" s="11">
        <f>$B$5*$B$3*$B$6*SIN(F269)</f>
        <v/>
      </c>
      <c r="M269" s="11">
        <f>$B$9*K269*(SIN(F269))^2 + $B$8*($B$10+K269*COS(F269))*COS(F269)</f>
        <v/>
      </c>
      <c r="N269" s="11">
        <f>0.5*$B$9*(J269^2 + (K269*SIN(F269))^2) + 0.5*$B$8*($B$10 + K269*COS(F269))^2</f>
        <v/>
      </c>
      <c r="O269" s="11">
        <f>$B$3*$B$6*$B$5*COS(F269)</f>
        <v/>
      </c>
      <c r="P269" s="11">
        <f>N269+O269</f>
        <v/>
      </c>
      <c r="Q269" s="12">
        <f>ABS(P269-$P$3)</f>
        <v/>
      </c>
    </row>
    <row r="270">
      <c r="D270" s="13" t="n">
        <v>268</v>
      </c>
      <c r="E270" s="14" t="n">
        <v>2.671908506075769</v>
      </c>
      <c r="F270" s="15" t="n">
        <v>1.189118106260522</v>
      </c>
      <c r="G270" s="16">
        <f>DEGREES(F270)</f>
        <v/>
      </c>
      <c r="H270" s="15" t="n">
        <v>2.805886528138922</v>
      </c>
      <c r="I270" s="16">
        <f>DEGREES(H270)</f>
        <v/>
      </c>
      <c r="J270" s="17" t="n">
        <v>-0.8355108606306246</v>
      </c>
      <c r="K270" s="17" t="n">
        <v>1.908391102671871</v>
      </c>
      <c r="L270" s="18">
        <f>$B$5*$B$3*$B$6*SIN(F270)</f>
        <v/>
      </c>
      <c r="M270" s="18">
        <f>$B$9*K270*(SIN(F270))^2 + $B$8*($B$10+K270*COS(F270))*COS(F270)</f>
        <v/>
      </c>
      <c r="N270" s="18">
        <f>0.5*$B$9*(J270^2 + (K270*SIN(F270))^2) + 0.5*$B$8*($B$10 + K270*COS(F270))^2</f>
        <v/>
      </c>
      <c r="O270" s="18">
        <f>$B$3*$B$6*$B$5*COS(F270)</f>
        <v/>
      </c>
      <c r="P270" s="18">
        <f>N270+O270</f>
        <v/>
      </c>
      <c r="Q270" s="19">
        <f>ABS(P270-$P$3)</f>
        <v/>
      </c>
    </row>
    <row r="271">
      <c r="D271" s="6" t="n">
        <v>269</v>
      </c>
      <c r="E271" s="7" t="n">
        <v>2.681915654038599</v>
      </c>
      <c r="F271" s="8" t="n">
        <v>1.18101520863812</v>
      </c>
      <c r="G271" s="9">
        <f>DEGREES(F271)</f>
        <v/>
      </c>
      <c r="H271" s="8" t="n">
        <v>2.82518896837607</v>
      </c>
      <c r="I271" s="9">
        <f>DEGREES(H271)</f>
        <v/>
      </c>
      <c r="J271" s="10" t="n">
        <v>-0.7834872706883961</v>
      </c>
      <c r="K271" s="10" t="n">
        <v>1.948905590783883</v>
      </c>
      <c r="L271" s="11">
        <f>$B$5*$B$3*$B$6*SIN(F271)</f>
        <v/>
      </c>
      <c r="M271" s="11">
        <f>$B$9*K271*(SIN(F271))^2 + $B$8*($B$10+K271*COS(F271))*COS(F271)</f>
        <v/>
      </c>
      <c r="N271" s="11">
        <f>0.5*$B$9*(J271^2 + (K271*SIN(F271))^2) + 0.5*$B$8*($B$10 + K271*COS(F271))^2</f>
        <v/>
      </c>
      <c r="O271" s="11">
        <f>$B$3*$B$6*$B$5*COS(F271)</f>
        <v/>
      </c>
      <c r="P271" s="11">
        <f>N271+O271</f>
        <v/>
      </c>
      <c r="Q271" s="12">
        <f>ABS(P271-$P$3)</f>
        <v/>
      </c>
    </row>
    <row r="272">
      <c r="D272" s="13" t="n">
        <v>270</v>
      </c>
      <c r="E272" s="14" t="n">
        <v>2.69192280200143</v>
      </c>
      <c r="F272" s="15" t="n">
        <v>1.173445366511095</v>
      </c>
      <c r="G272" s="16">
        <f>DEGREES(F272)</f>
        <v/>
      </c>
      <c r="H272" s="15" t="n">
        <v>2.844883609824556</v>
      </c>
      <c r="I272" s="16">
        <f>DEGREES(H272)</f>
        <v/>
      </c>
      <c r="J272" s="17" t="n">
        <v>-0.7290037947486466</v>
      </c>
      <c r="K272" s="17" t="n">
        <v>1.986754801419007</v>
      </c>
      <c r="L272" s="18">
        <f>$B$5*$B$3*$B$6*SIN(F272)</f>
        <v/>
      </c>
      <c r="M272" s="18">
        <f>$B$9*K272*(SIN(F272))^2 + $B$8*($B$10+K272*COS(F272))*COS(F272)</f>
        <v/>
      </c>
      <c r="N272" s="18">
        <f>0.5*$B$9*(J272^2 + (K272*SIN(F272))^2) + 0.5*$B$8*($B$10 + K272*COS(F272))^2</f>
        <v/>
      </c>
      <c r="O272" s="18">
        <f>$B$3*$B$6*$B$5*COS(F272)</f>
        <v/>
      </c>
      <c r="P272" s="18">
        <f>N272+O272</f>
        <v/>
      </c>
      <c r="Q272" s="19">
        <f>ABS(P272-$P$3)</f>
        <v/>
      </c>
    </row>
    <row r="273">
      <c r="D273" s="6" t="n">
        <v>271</v>
      </c>
      <c r="E273" s="7" t="n">
        <v>2.70192994996426</v>
      </c>
      <c r="F273" s="8" t="n">
        <v>1.166432346632715</v>
      </c>
      <c r="G273" s="9">
        <f>DEGREES(F273)</f>
        <v/>
      </c>
      <c r="H273" s="8" t="n">
        <v>2.864943178926714</v>
      </c>
      <c r="I273" s="9">
        <f>DEGREES(H273)</f>
        <v/>
      </c>
      <c r="J273" s="10" t="n">
        <v>-0.672231492565079</v>
      </c>
      <c r="K273" s="10" t="n">
        <v>2.021819900810908</v>
      </c>
      <c r="L273" s="11">
        <f>$B$5*$B$3*$B$6*SIN(F273)</f>
        <v/>
      </c>
      <c r="M273" s="11">
        <f>$B$9*K273*(SIN(F273))^2 + $B$8*($B$10+K273*COS(F273))*COS(F273)</f>
        <v/>
      </c>
      <c r="N273" s="11">
        <f>0.5*$B$9*(J273^2 + (K273*SIN(F273))^2) + 0.5*$B$8*($B$10 + K273*COS(F273))^2</f>
        <v/>
      </c>
      <c r="O273" s="11">
        <f>$B$3*$B$6*$B$5*COS(F273)</f>
        <v/>
      </c>
      <c r="P273" s="11">
        <f>N273+O273</f>
        <v/>
      </c>
      <c r="Q273" s="12">
        <f>ABS(P273-$P$3)</f>
        <v/>
      </c>
    </row>
    <row r="274">
      <c r="D274" s="13" t="n">
        <v>272</v>
      </c>
      <c r="E274" s="14" t="n">
        <v>2.711937097927091</v>
      </c>
      <c r="F274" s="15" t="n">
        <v>1.159998167522036</v>
      </c>
      <c r="G274" s="16">
        <f>DEGREES(F274)</f>
        <v/>
      </c>
      <c r="H274" s="15" t="n">
        <v>2.885339256375016</v>
      </c>
      <c r="I274" s="16">
        <f>DEGREES(H274)</f>
        <v/>
      </c>
      <c r="J274" s="17" t="n">
        <v>-0.6133486100344914</v>
      </c>
      <c r="K274" s="17" t="n">
        <v>2.053990796364304</v>
      </c>
      <c r="L274" s="18">
        <f>$B$5*$B$3*$B$6*SIN(F274)</f>
        <v/>
      </c>
      <c r="M274" s="18">
        <f>$B$9*K274*(SIN(F274))^2 + $B$8*($B$10+K274*COS(F274))*COS(F274)</f>
        <v/>
      </c>
      <c r="N274" s="18">
        <f>0.5*$B$9*(J274^2 + (K274*SIN(F274))^2) + 0.5*$B$8*($B$10 + K274*COS(F274))^2</f>
        <v/>
      </c>
      <c r="O274" s="18">
        <f>$B$3*$B$6*$B$5*COS(F274)</f>
        <v/>
      </c>
      <c r="P274" s="18">
        <f>N274+O274</f>
        <v/>
      </c>
      <c r="Q274" s="19">
        <f>ABS(P274-$P$3)</f>
        <v/>
      </c>
    </row>
    <row r="275">
      <c r="D275" s="6" t="n">
        <v>273</v>
      </c>
      <c r="E275" s="7" t="n">
        <v>2.721944245889921</v>
      </c>
      <c r="F275" s="8" t="n">
        <v>1.15416303033317</v>
      </c>
      <c r="G275" s="9">
        <f>DEGREES(F275)</f>
        <v/>
      </c>
      <c r="H275" s="8" t="n">
        <v>2.906042366339133</v>
      </c>
      <c r="I275" s="9">
        <f>DEGREES(H275)</f>
        <v/>
      </c>
      <c r="J275" s="10" t="n">
        <v>-0.5525400195647071</v>
      </c>
      <c r="K275" s="10" t="n">
        <v>2.083166482308635</v>
      </c>
      <c r="L275" s="11">
        <f>$B$5*$B$3*$B$6*SIN(F275)</f>
        <v/>
      </c>
      <c r="M275" s="11">
        <f>$B$9*K275*(SIN(F275))^2 + $B$8*($B$10+K275*COS(F275))*COS(F275)</f>
        <v/>
      </c>
      <c r="N275" s="11">
        <f>0.5*$B$9*(J275^2 + (K275*SIN(F275))^2) + 0.5*$B$8*($B$10 + K275*COS(F275))^2</f>
        <v/>
      </c>
      <c r="O275" s="11">
        <f>$B$3*$B$6*$B$5*COS(F275)</f>
        <v/>
      </c>
      <c r="P275" s="11">
        <f>N275+O275</f>
        <v/>
      </c>
      <c r="Q275" s="12">
        <f>ABS(P275-$P$3)</f>
        <v/>
      </c>
    </row>
    <row r="276">
      <c r="D276" s="13" t="n">
        <v>274</v>
      </c>
      <c r="E276" s="14" t="n">
        <v>2.731951393852752</v>
      </c>
      <c r="F276" s="15" t="n">
        <v>1.148945255430468</v>
      </c>
      <c r="G276" s="16">
        <f>DEGREES(F276)</f>
        <v/>
      </c>
      <c r="H276" s="15" t="n">
        <v>2.927022069010107</v>
      </c>
      <c r="I276" s="16">
        <f>DEGREES(H276)</f>
        <v/>
      </c>
      <c r="J276" s="17" t="n">
        <v>-0.489996639637518</v>
      </c>
      <c r="K276" s="17" t="n">
        <v>2.109255356822141</v>
      </c>
      <c r="L276" s="18">
        <f>$B$5*$B$3*$B$6*SIN(F276)</f>
        <v/>
      </c>
      <c r="M276" s="18">
        <f>$B$9*K276*(SIN(F276))^2 + $B$8*($B$10+K276*COS(F276))*COS(F276)</f>
        <v/>
      </c>
      <c r="N276" s="18">
        <f>0.5*$B$9*(J276^2 + (K276*SIN(F276))^2) + 0.5*$B$8*($B$10 + K276*COS(F276))^2</f>
        <v/>
      </c>
      <c r="O276" s="18">
        <f>$B$3*$B$6*$B$5*COS(F276)</f>
        <v/>
      </c>
      <c r="P276" s="18">
        <f>N276+O276</f>
        <v/>
      </c>
      <c r="Q276" s="19">
        <f>ABS(P276-$P$3)</f>
        <v/>
      </c>
    </row>
    <row r="277">
      <c r="D277" s="6" t="n">
        <v>275</v>
      </c>
      <c r="E277" s="7" t="n">
        <v>2.741958541815583</v>
      </c>
      <c r="F277" s="8" t="n">
        <v>1.144361224868755</v>
      </c>
      <c r="G277" s="9">
        <f>DEGREES(F277)</f>
        <v/>
      </c>
      <c r="H277" s="8" t="n">
        <v>2.948247056171089</v>
      </c>
      <c r="I277" s="9">
        <f>DEGREES(H277)</f>
        <v/>
      </c>
      <c r="J277" s="10" t="n">
        <v>-0.4259148353889995</v>
      </c>
      <c r="K277" s="10" t="n">
        <v>2.132175509630708</v>
      </c>
      <c r="L277" s="11">
        <f>$B$5*$B$3*$B$6*SIN(F277)</f>
        <v/>
      </c>
      <c r="M277" s="11">
        <f>$B$9*K277*(SIN(F277))^2 + $B$8*($B$10+K277*COS(F277))*COS(F277)</f>
        <v/>
      </c>
      <c r="N277" s="11">
        <f>0.5*$B$9*(J277^2 + (K277*SIN(F277))^2) + 0.5*$B$8*($B$10 + K277*COS(F277))^2</f>
        <v/>
      </c>
      <c r="O277" s="11">
        <f>$B$3*$B$6*$B$5*COS(F277)</f>
        <v/>
      </c>
      <c r="P277" s="11">
        <f>N277+O277</f>
        <v/>
      </c>
      <c r="Q277" s="12">
        <f>ABS(P277-$P$3)</f>
        <v/>
      </c>
    </row>
    <row r="278">
      <c r="D278" s="13" t="n">
        <v>276</v>
      </c>
      <c r="E278" s="14" t="n">
        <v>2.751965689778413</v>
      </c>
      <c r="F278" s="15" t="n">
        <v>1.140425330959192</v>
      </c>
      <c r="G278" s="16">
        <f>DEGREES(F278)</f>
        <v/>
      </c>
      <c r="H278" s="15" t="n">
        <v>2.969685249494591</v>
      </c>
      <c r="I278" s="16">
        <f>DEGREES(H278)</f>
        <v/>
      </c>
      <c r="J278" s="17" t="n">
        <v>-0.3604958020891532</v>
      </c>
      <c r="K278" s="17" t="n">
        <v>2.151854979178525</v>
      </c>
      <c r="L278" s="18">
        <f>$B$5*$B$3*$B$6*SIN(F278)</f>
        <v/>
      </c>
      <c r="M278" s="18">
        <f>$B$9*K278*(SIN(F278))^2 + $B$8*($B$10+K278*COS(F278))*COS(F278)</f>
        <v/>
      </c>
      <c r="N278" s="18">
        <f>0.5*$B$9*(J278^2 + (K278*SIN(F278))^2) + 0.5*$B$8*($B$10 + K278*COS(F278))^2</f>
        <v/>
      </c>
      <c r="O278" s="18">
        <f>$B$3*$B$6*$B$5*COS(F278)</f>
        <v/>
      </c>
      <c r="P278" s="18">
        <f>N278+O278</f>
        <v/>
      </c>
      <c r="Q278" s="19">
        <f>ABS(P278-$P$3)</f>
        <v/>
      </c>
    </row>
    <row r="279">
      <c r="D279" s="6" t="n">
        <v>277</v>
      </c>
      <c r="E279" s="7" t="n">
        <v>2.761972837741244</v>
      </c>
      <c r="F279" s="8" t="n">
        <v>1.137149931082271</v>
      </c>
      <c r="G279" s="9">
        <f>DEGREES(F279)</f>
        <v/>
      </c>
      <c r="H279" s="8" t="n">
        <v>2.991303901257627</v>
      </c>
      <c r="I279" s="9">
        <f>DEGREES(H279)</f>
        <v/>
      </c>
      <c r="J279" s="10" t="n">
        <v>-0.2939449334565536</v>
      </c>
      <c r="K279" s="10" t="n">
        <v>2.168231978563126</v>
      </c>
      <c r="L279" s="11">
        <f>$B$5*$B$3*$B$6*SIN(F279)</f>
        <v/>
      </c>
      <c r="M279" s="11">
        <f>$B$9*K279*(SIN(F279))^2 + $B$8*($B$10+K279*COS(F279))*COS(F279)</f>
        <v/>
      </c>
      <c r="N279" s="11">
        <f>0.5*$B$9*(J279^2 + (K279*SIN(F279))^2) + 0.5*$B$8*($B$10 + K279*COS(F279))^2</f>
        <v/>
      </c>
      <c r="O279" s="11">
        <f>$B$3*$B$6*$B$5*COS(F279)</f>
        <v/>
      </c>
      <c r="P279" s="11">
        <f>N279+O279</f>
        <v/>
      </c>
      <c r="Q279" s="12">
        <f>ABS(P279-$P$3)</f>
        <v/>
      </c>
    </row>
    <row r="280">
      <c r="D280" s="13" t="n">
        <v>278</v>
      </c>
      <c r="E280" s="14" t="n">
        <v>2.771979985704074</v>
      </c>
      <c r="F280" s="15" t="n">
        <v>1.13454530888981</v>
      </c>
      <c r="G280" s="16">
        <f>DEGREES(F280)</f>
        <v/>
      </c>
      <c r="H280" s="15" t="n">
        <v>3.013069697158522</v>
      </c>
      <c r="I280" s="16">
        <f>DEGREES(H280)</f>
        <v/>
      </c>
      <c r="J280" s="17" t="n">
        <v>-0.2264711767913044</v>
      </c>
      <c r="K280" s="17" t="n">
        <v>2.181255089525433</v>
      </c>
      <c r="L280" s="18">
        <f>$B$5*$B$3*$B$6*SIN(F280)</f>
        <v/>
      </c>
      <c r="M280" s="18">
        <f>$B$9*K280*(SIN(F280))^2 + $B$8*($B$10+K280*COS(F280))*COS(F280)</f>
        <v/>
      </c>
      <c r="N280" s="18">
        <f>0.5*$B$9*(J280^2 + (K280*SIN(F280))^2) + 0.5*$B$8*($B$10 + K280*COS(F280))^2</f>
        <v/>
      </c>
      <c r="O280" s="18">
        <f>$B$3*$B$6*$B$5*COS(F280)</f>
        <v/>
      </c>
      <c r="P280" s="18">
        <f>N280+O280</f>
        <v/>
      </c>
      <c r="Q280" s="19">
        <f>ABS(P280-$P$3)</f>
        <v/>
      </c>
    </row>
    <row r="281">
      <c r="D281" s="6" t="n">
        <v>279</v>
      </c>
      <c r="E281" s="7" t="n">
        <v>2.781987133666905</v>
      </c>
      <c r="F281" s="8" t="n">
        <v>1.132619642017743</v>
      </c>
      <c r="G281" s="9">
        <f>DEGREES(F281)</f>
        <v/>
      </c>
      <c r="H281" s="8" t="n">
        <v>3.034948860912596</v>
      </c>
      <c r="I281" s="9">
        <f>DEGREES(H281)</f>
        <v/>
      </c>
      <c r="J281" s="10" t="n">
        <v>-0.158286376950913</v>
      </c>
      <c r="K281" s="10" t="n">
        <v>2.190883423885766</v>
      </c>
      <c r="L281" s="11">
        <f>$B$5*$B$3*$B$6*SIN(F281)</f>
        <v/>
      </c>
      <c r="M281" s="11">
        <f>$B$9*K281*(SIN(F281))^2 + $B$8*($B$10+K281*COS(F281))*COS(F281)</f>
        <v/>
      </c>
      <c r="N281" s="11">
        <f>0.5*$B$9*(J281^2 + (K281*SIN(F281))^2) + 0.5*$B$8*($B$10 + K281*COS(F281))^2</f>
        <v/>
      </c>
      <c r="O281" s="11">
        <f>$B$3*$B$6*$B$5*COS(F281)</f>
        <v/>
      </c>
      <c r="P281" s="11">
        <f>N281+O281</f>
        <v/>
      </c>
      <c r="Q281" s="12">
        <f>ABS(P281-$P$3)</f>
        <v/>
      </c>
    </row>
    <row r="282">
      <c r="D282" s="13" t="n">
        <v>280</v>
      </c>
      <c r="E282" s="14" t="n">
        <v>2.791994281629736</v>
      </c>
      <c r="F282" s="15" t="n">
        <v>1.131378976411107</v>
      </c>
      <c r="G282" s="16">
        <f>DEGREES(F282)</f>
        <v/>
      </c>
      <c r="H282" s="15" t="n">
        <v>3.056907260298315</v>
      </c>
      <c r="I282" s="16">
        <f>DEGREES(H282)</f>
        <v/>
      </c>
      <c r="J282" s="17" t="n">
        <v>-0.08960461122884428</v>
      </c>
      <c r="K282" s="17" t="n">
        <v>2.19708675191895</v>
      </c>
      <c r="L282" s="18">
        <f>$B$5*$B$3*$B$6*SIN(F282)</f>
        <v/>
      </c>
      <c r="M282" s="18">
        <f>$B$9*K282*(SIN(F282))^2 + $B$8*($B$10+K282*COS(F282))*COS(F282)</f>
        <v/>
      </c>
      <c r="N282" s="18">
        <f>0.5*$B$9*(J282^2 + (K282*SIN(F282))^2) + 0.5*$B$8*($B$10 + K282*COS(F282))^2</f>
        <v/>
      </c>
      <c r="O282" s="18">
        <f>$B$3*$B$6*$B$5*COS(F282)</f>
        <v/>
      </c>
      <c r="P282" s="18">
        <f>N282+O282</f>
        <v/>
      </c>
      <c r="Q282" s="19">
        <f>ABS(P282-$P$3)</f>
        <v/>
      </c>
    </row>
    <row r="283">
      <c r="D283" s="6" t="n">
        <v>281</v>
      </c>
      <c r="E283" s="7" t="n">
        <v>2.802001429592566</v>
      </c>
      <c r="F283" s="8" t="n">
        <v>1.130827207341805</v>
      </c>
      <c r="G283" s="9">
        <f>DEGREES(F283)</f>
        <v/>
      </c>
      <c r="H283" s="8" t="n">
        <v>3.078910514320962</v>
      </c>
      <c r="I283" s="9">
        <f>DEGREES(H283)</f>
        <v/>
      </c>
      <c r="J283" s="10" t="n">
        <v>-0.02064151722395589</v>
      </c>
      <c r="K283" s="10" t="n">
        <v>2.199845597265459</v>
      </c>
      <c r="L283" s="11">
        <f>$B$5*$B$3*$B$6*SIN(F283)</f>
        <v/>
      </c>
      <c r="M283" s="11">
        <f>$B$9*K283*(SIN(F283))^2 + $B$8*($B$10+K283*COS(F283))*COS(F283)</f>
        <v/>
      </c>
      <c r="N283" s="11">
        <f>0.5*$B$9*(J283^2 + (K283*SIN(F283))^2) + 0.5*$B$8*($B$10 + K283*COS(F283))^2</f>
        <v/>
      </c>
      <c r="O283" s="11">
        <f>$B$3*$B$6*$B$5*COS(F283)</f>
        <v/>
      </c>
      <c r="P283" s="11">
        <f>N283+O283</f>
        <v/>
      </c>
      <c r="Q283" s="12">
        <f>ABS(P283-$P$3)</f>
        <v/>
      </c>
    </row>
    <row r="284">
      <c r="D284" s="13" t="n">
        <v>282</v>
      </c>
      <c r="E284" s="14" t="n">
        <v>2.812008577555397</v>
      </c>
      <c r="F284" s="15" t="n">
        <v>1.130966067178771</v>
      </c>
      <c r="G284" s="16">
        <f>DEGREES(F284)</f>
        <v/>
      </c>
      <c r="H284" s="15" t="n">
        <v>3.100924101157382</v>
      </c>
      <c r="I284" s="16">
        <f>DEGREES(H284)</f>
        <v/>
      </c>
      <c r="J284" s="17" t="n">
        <v>0.04838638418889968</v>
      </c>
      <c r="K284" s="17" t="n">
        <v>2.199151298080626</v>
      </c>
      <c r="L284" s="18">
        <f>$B$5*$B$3*$B$6*SIN(F284)</f>
        <v/>
      </c>
      <c r="M284" s="18">
        <f>$B$9*K284*(SIN(F284))^2 + $B$8*($B$10+K284*COS(F284))*COS(F284)</f>
        <v/>
      </c>
      <c r="N284" s="18">
        <f>0.5*$B$9*(J284^2 + (K284*SIN(F284))^2) + 0.5*$B$8*($B$10 + K284*COS(F284))^2</f>
        <v/>
      </c>
      <c r="O284" s="18">
        <f>$B$3*$B$6*$B$5*COS(F284)</f>
        <v/>
      </c>
      <c r="P284" s="18">
        <f>N284+O284</f>
        <v/>
      </c>
      <c r="Q284" s="19">
        <f>ABS(P284-$P$3)</f>
        <v/>
      </c>
    </row>
    <row r="285">
      <c r="D285" s="6" t="n">
        <v>283</v>
      </c>
      <c r="E285" s="7" t="n">
        <v>2.822015725518228</v>
      </c>
      <c r="F285" s="8" t="n">
        <v>1.131795119948913</v>
      </c>
      <c r="G285" s="9">
        <f>DEGREES(F285)</f>
        <v/>
      </c>
      <c r="H285" s="8" t="n">
        <v>3.122913466542857</v>
      </c>
      <c r="I285" s="9">
        <f>DEGREES(H285)</f>
        <v/>
      </c>
      <c r="J285" s="10" t="n">
        <v>0.1172623686614422</v>
      </c>
      <c r="K285" s="10" t="n">
        <v>2.195006034229916</v>
      </c>
      <c r="L285" s="11">
        <f>$B$5*$B$3*$B$6*SIN(F285)</f>
        <v/>
      </c>
      <c r="M285" s="11">
        <f>$B$9*K285*(SIN(F285))^2 + $B$8*($B$10+K285*COS(F285))*COS(F285)</f>
        <v/>
      </c>
      <c r="N285" s="11">
        <f>0.5*$B$9*(J285^2 + (K285*SIN(F285))^2) + 0.5*$B$8*($B$10 + K285*COS(F285))^2</f>
        <v/>
      </c>
      <c r="O285" s="11">
        <f>$B$3*$B$6*$B$5*COS(F285)</f>
        <v/>
      </c>
      <c r="P285" s="11">
        <f>N285+O285</f>
        <v/>
      </c>
      <c r="Q285" s="12">
        <f>ABS(P285-$P$3)</f>
        <v/>
      </c>
    </row>
    <row r="286">
      <c r="D286" s="13" t="n">
        <v>284</v>
      </c>
      <c r="E286" s="14" t="n">
        <v>2.832022873481058</v>
      </c>
      <c r="F286" s="15" t="n">
        <v>1.133311762705921</v>
      </c>
      <c r="G286" s="16">
        <f>DEGREES(F286)</f>
        <v/>
      </c>
      <c r="H286" s="15" t="n">
        <v>3.14484413225987</v>
      </c>
      <c r="I286" s="16">
        <f>DEGREES(H286)</f>
        <v/>
      </c>
      <c r="J286" s="17" t="n">
        <v>0.1857701888133887</v>
      </c>
      <c r="K286" s="17" t="n">
        <v>2.18742282044488</v>
      </c>
      <c r="L286" s="18">
        <f>$B$5*$B$3*$B$6*SIN(F286)</f>
        <v/>
      </c>
      <c r="M286" s="18">
        <f>$B$9*K286*(SIN(F286))^2 + $B$8*($B$10+K286*COS(F286))*COS(F286)</f>
        <v/>
      </c>
      <c r="N286" s="18">
        <f>0.5*$B$9*(J286^2 + (K286*SIN(F286))^2) + 0.5*$B$8*($B$10 + K286*COS(F286))^2</f>
        <v/>
      </c>
      <c r="O286" s="18">
        <f>$B$3*$B$6*$B$5*COS(F286)</f>
        <v/>
      </c>
      <c r="P286" s="18">
        <f>N286+O286</f>
        <v/>
      </c>
      <c r="Q286" s="19">
        <f>ABS(P286-$P$3)</f>
        <v/>
      </c>
    </row>
    <row r="287">
      <c r="D287" s="6" t="n">
        <v>285</v>
      </c>
      <c r="E287" s="7" t="n">
        <v>2.842030021443889</v>
      </c>
      <c r="F287" s="8" t="n">
        <v>1.135511233702639</v>
      </c>
      <c r="G287" s="9">
        <f>DEGREES(F287)</f>
        <v/>
      </c>
      <c r="H287" s="8" t="n">
        <v>3.16668180438808</v>
      </c>
      <c r="I287" s="9">
        <f>DEGREES(H287)</f>
        <v/>
      </c>
      <c r="J287" s="10" t="n">
        <v>0.2536947531763592</v>
      </c>
      <c r="K287" s="10" t="n">
        <v>2.176425465461287</v>
      </c>
      <c r="L287" s="11">
        <f>$B$5*$B$3*$B$6*SIN(F287)</f>
        <v/>
      </c>
      <c r="M287" s="11">
        <f>$B$9*K287*(SIN(F287))^2 + $B$8*($B$10+K287*COS(F287))*COS(F287)</f>
        <v/>
      </c>
      <c r="N287" s="11">
        <f>0.5*$B$9*(J287^2 + (K287*SIN(F287))^2) + 0.5*$B$8*($B$10 + K287*COS(F287))^2</f>
        <v/>
      </c>
      <c r="O287" s="11">
        <f>$B$3*$B$6*$B$5*COS(F287)</f>
        <v/>
      </c>
      <c r="P287" s="11">
        <f>N287+O287</f>
        <v/>
      </c>
      <c r="Q287" s="12">
        <f>ABS(P287-$P$3)</f>
        <v/>
      </c>
    </row>
    <row r="288">
      <c r="D288" s="13" t="n">
        <v>286</v>
      </c>
      <c r="E288" s="14" t="n">
        <v>2.852037169406719</v>
      </c>
      <c r="F288" s="15" t="n">
        <v>1.138386627341354</v>
      </c>
      <c r="G288" s="16">
        <f>DEGREES(F288)</f>
        <v/>
      </c>
      <c r="H288" s="15" t="n">
        <v>3.188392480975675</v>
      </c>
      <c r="I288" s="16">
        <f>DEGREES(H288)</f>
        <v/>
      </c>
      <c r="J288" s="17" t="n">
        <v>0.3208228015085916</v>
      </c>
      <c r="K288" s="17" t="n">
        <v>2.162048497267715</v>
      </c>
      <c r="L288" s="18">
        <f>$B$5*$B$3*$B$6*SIN(F288)</f>
        <v/>
      </c>
      <c r="M288" s="18">
        <f>$B$9*K288*(SIN(F288))^2 + $B$8*($B$10+K288*COS(F288))*COS(F288)</f>
        <v/>
      </c>
      <c r="N288" s="18">
        <f>0.5*$B$9*(J288^2 + (K288*SIN(F288))^2) + 0.5*$B$8*($B$10 + K288*COS(F288))^2</f>
        <v/>
      </c>
      <c r="O288" s="18">
        <f>$B$3*$B$6*$B$5*COS(F288)</f>
        <v/>
      </c>
      <c r="P288" s="18">
        <f>N288+O288</f>
        <v/>
      </c>
      <c r="Q288" s="19">
        <f>ABS(P288-$P$3)</f>
        <v/>
      </c>
    </row>
    <row r="289">
      <c r="D289" s="6" t="n">
        <v>287</v>
      </c>
      <c r="E289" s="7" t="n">
        <v>2.86204431736955</v>
      </c>
      <c r="F289" s="8" t="n">
        <v>1.141928915855035</v>
      </c>
      <c r="G289" s="9">
        <f>DEGREES(F289)</f>
        <v/>
      </c>
      <c r="H289" s="8" t="n">
        <v>3.209942558794042</v>
      </c>
      <c r="I289" s="9">
        <f>DEGREES(H289)</f>
        <v/>
      </c>
      <c r="J289" s="10" t="n">
        <v>0.3869435743602287</v>
      </c>
      <c r="K289" s="10" t="n">
        <v>2.144337054699308</v>
      </c>
      <c r="L289" s="11">
        <f>$B$5*$B$3*$B$6*SIN(F289)</f>
        <v/>
      </c>
      <c r="M289" s="11">
        <f>$B$9*K289*(SIN(F289))^2 + $B$8*($B$10+K289*COS(F289))*COS(F289)</f>
        <v/>
      </c>
      <c r="N289" s="11">
        <f>0.5*$B$9*(J289^2 + (K289*SIN(F289))^2) + 0.5*$B$8*($B$10 + K289*COS(F289))^2</f>
        <v/>
      </c>
      <c r="O289" s="11">
        <f>$B$3*$B$6*$B$5*COS(F289)</f>
        <v/>
      </c>
      <c r="P289" s="11">
        <f>N289+O289</f>
        <v/>
      </c>
      <c r="Q289" s="12">
        <f>ABS(P289-$P$3)</f>
        <v/>
      </c>
    </row>
    <row r="290">
      <c r="D290" s="13" t="n">
        <v>288</v>
      </c>
      <c r="E290" s="14" t="n">
        <v>2.872051465332381</v>
      </c>
      <c r="F290" s="15" t="n">
        <v>1.14612697765149</v>
      </c>
      <c r="G290" s="16">
        <f>DEGREES(F290)</f>
        <v/>
      </c>
      <c r="H290" s="15" t="n">
        <v>3.231298938840586</v>
      </c>
      <c r="I290" s="16">
        <f>DEGREES(H290)</f>
        <v/>
      </c>
      <c r="J290" s="17" t="n">
        <v>0.4518494747869934</v>
      </c>
      <c r="K290" s="17" t="n">
        <v>2.123346745717033</v>
      </c>
      <c r="L290" s="18">
        <f>$B$5*$B$3*$B$6*SIN(F290)</f>
        <v/>
      </c>
      <c r="M290" s="18">
        <f>$B$9*K290*(SIN(F290))^2 + $B$8*($B$10+K290*COS(F290))*COS(F290)</f>
        <v/>
      </c>
      <c r="N290" s="18">
        <f>0.5*$B$9*(J290^2 + (K290*SIN(F290))^2) + 0.5*$B$8*($B$10 + K290*COS(F290))^2</f>
        <v/>
      </c>
      <c r="O290" s="18">
        <f>$B$3*$B$6*$B$5*COS(F290)</f>
        <v/>
      </c>
      <c r="P290" s="18">
        <f>N290+O290</f>
        <v/>
      </c>
      <c r="Q290" s="19">
        <f>ABS(P290-$P$3)</f>
        <v/>
      </c>
    </row>
    <row r="291">
      <c r="D291" s="6" t="n">
        <v>289</v>
      </c>
      <c r="E291" s="7" t="n">
        <v>2.882058613295211</v>
      </c>
      <c r="F291" s="8" t="n">
        <v>1.150967632231409</v>
      </c>
      <c r="G291" s="9">
        <f>DEGREES(F291)</f>
        <v/>
      </c>
      <c r="H291" s="8" t="n">
        <v>3.252429130258438</v>
      </c>
      <c r="I291" s="9">
        <f>DEGREES(H291)</f>
        <v/>
      </c>
      <c r="J291" s="10" t="n">
        <v>0.5153367201346001</v>
      </c>
      <c r="K291" s="10" t="n">
        <v>2.099143472817437</v>
      </c>
      <c r="L291" s="11">
        <f>$B$5*$B$3*$B$6*SIN(F291)</f>
        <v/>
      </c>
      <c r="M291" s="11">
        <f>$B$9*K291*(SIN(F291))^2 + $B$8*($B$10+K291*COS(F291))*COS(F291)</f>
        <v/>
      </c>
      <c r="N291" s="11">
        <f>0.5*$B$9*(J291^2 + (K291*SIN(F291))^2) + 0.5*$B$8*($B$10 + K291*COS(F291))^2</f>
        <v/>
      </c>
      <c r="O291" s="11">
        <f>$B$3*$B$6*$B$5*COS(F291)</f>
        <v/>
      </c>
      <c r="P291" s="11">
        <f>N291+O291</f>
        <v/>
      </c>
      <c r="Q291" s="12">
        <f>ABS(P291-$P$3)</f>
        <v/>
      </c>
    </row>
    <row r="292">
      <c r="D292" s="13" t="n">
        <v>290</v>
      </c>
      <c r="E292" s="14" t="n">
        <v>2.892065761258042</v>
      </c>
      <c r="F292" s="15" t="n">
        <v>1.156435681570696</v>
      </c>
      <c r="G292" s="16">
        <f>DEGREES(F292)</f>
        <v/>
      </c>
      <c r="H292" s="15" t="n">
        <v>3.273301352346798</v>
      </c>
      <c r="I292" s="16">
        <f>DEGREES(H292)</f>
        <v/>
      </c>
      <c r="J292" s="17" t="n">
        <v>0.5772059818476339</v>
      </c>
      <c r="K292" s="17" t="n">
        <v>2.071803226121006</v>
      </c>
      <c r="L292" s="18">
        <f>$B$5*$B$3*$B$6*SIN(F292)</f>
        <v/>
      </c>
      <c r="M292" s="18">
        <f>$B$9*K292*(SIN(F292))^2 + $B$8*($B$10+K292*COS(F292))*COS(F292)</f>
        <v/>
      </c>
      <c r="N292" s="18">
        <f>0.5*$B$9*(J292^2 + (K292*SIN(F292))^2) + 0.5*$B$8*($B$10 + K292*COS(F292))^2</f>
        <v/>
      </c>
      <c r="O292" s="18">
        <f>$B$3*$B$6*$B$5*COS(F292)</f>
        <v/>
      </c>
      <c r="P292" s="18">
        <f>N292+O292</f>
        <v/>
      </c>
      <c r="Q292" s="19">
        <f>ABS(P292-$P$3)</f>
        <v/>
      </c>
    </row>
    <row r="293">
      <c r="D293" s="6" t="n">
        <v>291</v>
      </c>
      <c r="E293" s="7" t="n">
        <v>2.902072909220872</v>
      </c>
      <c r="F293" s="8" t="n">
        <v>1.162513957837136</v>
      </c>
      <c r="G293" s="9">
        <f>DEGREES(F293)</f>
        <v/>
      </c>
      <c r="H293" s="8" t="n">
        <v>3.293884634341627</v>
      </c>
      <c r="I293" s="9">
        <f>DEGREES(H293)</f>
        <v/>
      </c>
      <c r="J293" s="10" t="n">
        <v>0.6372630112940384</v>
      </c>
      <c r="K293" s="10" t="n">
        <v>2.041411844788801</v>
      </c>
      <c r="L293" s="11">
        <f>$B$5*$B$3*$B$6*SIN(F293)</f>
        <v/>
      </c>
      <c r="M293" s="11">
        <f>$B$9*K293*(SIN(F293))^2 + $B$8*($B$10+K293*COS(F293))*COS(F293)</f>
        <v/>
      </c>
      <c r="N293" s="11">
        <f>0.5*$B$9*(J293^2 + (K293*SIN(F293))^2) + 0.5*$B$8*($B$10 + K293*COS(F293))^2</f>
        <v/>
      </c>
      <c r="O293" s="11">
        <f>$B$3*$B$6*$B$5*COS(F293)</f>
        <v/>
      </c>
      <c r="P293" s="11">
        <f>N293+O293</f>
        <v/>
      </c>
      <c r="Q293" s="12">
        <f>ABS(P293-$P$3)</f>
        <v/>
      </c>
    </row>
    <row r="294">
      <c r="D294" s="13" t="n">
        <v>292</v>
      </c>
      <c r="E294" s="14" t="n">
        <v>2.912080057183703</v>
      </c>
      <c r="F294" s="15" t="n">
        <v>1.169183377291612</v>
      </c>
      <c r="G294" s="16">
        <f>DEGREES(F294)</f>
        <v/>
      </c>
      <c r="H294" s="15" t="n">
        <v>3.314148912653405</v>
      </c>
      <c r="I294" s="16">
        <f>DEGREES(H294)</f>
        <v/>
      </c>
      <c r="J294" s="17" t="n">
        <v>0.6953192496403542</v>
      </c>
      <c r="K294" s="17" t="n">
        <v>2.00806474751642</v>
      </c>
      <c r="L294" s="18">
        <f>$B$5*$B$3*$B$6*SIN(F294)</f>
        <v/>
      </c>
      <c r="M294" s="18">
        <f>$B$9*K294*(SIN(F294))^2 + $B$8*($B$10+K294*COS(F294))*COS(F294)</f>
        <v/>
      </c>
      <c r="N294" s="18">
        <f>0.5*$B$9*(J294^2 + (K294*SIN(F294))^2) + 0.5*$B$8*($B$10 + K294*COS(F294))^2</f>
        <v/>
      </c>
      <c r="O294" s="18">
        <f>$B$3*$B$6*$B$5*COS(F294)</f>
        <v/>
      </c>
      <c r="P294" s="18">
        <f>N294+O294</f>
        <v/>
      </c>
      <c r="Q294" s="19">
        <f>ABS(P294-$P$3)</f>
        <v/>
      </c>
    </row>
    <row r="295">
      <c r="D295" s="6" t="n">
        <v>293</v>
      </c>
      <c r="E295" s="7" t="n">
        <v>2.922087205146533</v>
      </c>
      <c r="F295" s="8" t="n">
        <v>1.176423000204609</v>
      </c>
      <c r="G295" s="9">
        <f>DEGREES(F295)</f>
        <v/>
      </c>
      <c r="H295" s="8" t="n">
        <v>3.33406512525668</v>
      </c>
      <c r="I295" s="9">
        <f>DEGREES(H295)</f>
        <v/>
      </c>
      <c r="J295" s="10" t="n">
        <v>0.7511924198629281</v>
      </c>
      <c r="K295" s="10" t="n">
        <v>1.97186663295144</v>
      </c>
      <c r="L295" s="11">
        <f>$B$5*$B$3*$B$6*SIN(F295)</f>
        <v/>
      </c>
      <c r="M295" s="11">
        <f>$B$9*K295*(SIN(F295))^2 + $B$8*($B$10+K295*COS(F295))*COS(F295)</f>
        <v/>
      </c>
      <c r="N295" s="11">
        <f>0.5*$B$9*(J295^2 + (K295*SIN(F295))^2) + 0.5*$B$8*($B$10 + K295*COS(F295))^2</f>
        <v/>
      </c>
      <c r="O295" s="11">
        <f>$B$3*$B$6*$B$5*COS(F295)</f>
        <v/>
      </c>
      <c r="P295" s="11">
        <f>N295+O295</f>
        <v/>
      </c>
      <c r="Q295" s="12">
        <f>ABS(P295-$P$3)</f>
        <v/>
      </c>
    </row>
    <row r="296">
      <c r="D296" s="13" t="n">
        <v>294</v>
      </c>
      <c r="E296" s="14" t="n">
        <v>2.932094353109364</v>
      </c>
      <c r="F296" s="15" t="n">
        <v>1.184210096599905</v>
      </c>
      <c r="G296" s="16">
        <f>DEGREES(F296)</f>
        <v/>
      </c>
      <c r="H296" s="15" t="n">
        <v>3.353605302935021</v>
      </c>
      <c r="I296" s="16">
        <f>DEGREES(H296)</f>
        <v/>
      </c>
      <c r="J296" s="17" t="n">
        <v>0.8047070990363213</v>
      </c>
      <c r="K296" s="17" t="n">
        <v>1.932931150974958</v>
      </c>
      <c r="L296" s="18">
        <f>$B$5*$B$3*$B$6*SIN(F296)</f>
        <v/>
      </c>
      <c r="M296" s="18">
        <f>$B$9*K296*(SIN(F296))^2 + $B$8*($B$10+K296*COS(F296))*COS(F296)</f>
        <v/>
      </c>
      <c r="N296" s="18">
        <f>0.5*$B$9*(J296^2 + (K296*SIN(F296))^2) + 0.5*$B$8*($B$10 + K296*COS(F296))^2</f>
        <v/>
      </c>
      <c r="O296" s="18">
        <f>$B$3*$B$6*$B$5*COS(F296)</f>
        <v/>
      </c>
      <c r="P296" s="18">
        <f>N296+O296</f>
        <v/>
      </c>
      <c r="Q296" s="19">
        <f>ABS(P296-$P$3)</f>
        <v/>
      </c>
    </row>
    <row r="297">
      <c r="D297" s="6" t="n">
        <v>295</v>
      </c>
      <c r="E297" s="7" t="n">
        <v>2.942101501072194</v>
      </c>
      <c r="F297" s="8" t="n">
        <v>1.192520217619043</v>
      </c>
      <c r="G297" s="9">
        <f>DEGREES(F297)</f>
        <v/>
      </c>
      <c r="H297" s="8" t="n">
        <v>3.37274265709494</v>
      </c>
      <c r="I297" s="9">
        <f>DEGREES(H297)</f>
        <v/>
      </c>
      <c r="J297" s="10" t="n">
        <v>0.8556952691021769</v>
      </c>
      <c r="K297" s="10" t="n">
        <v>1.891380545879268</v>
      </c>
      <c r="L297" s="11">
        <f>$B$5*$B$3*$B$6*SIN(F297)</f>
        <v/>
      </c>
      <c r="M297" s="11">
        <f>$B$9*K297*(SIN(F297))^2 + $B$8*($B$10+K297*COS(F297))*COS(F297)</f>
        <v/>
      </c>
      <c r="N297" s="11">
        <f>0.5*$B$9*(J297^2 + (K297*SIN(F297))^2) + 0.5*$B$8*($B$10 + K297*COS(F297))^2</f>
        <v/>
      </c>
      <c r="O297" s="11">
        <f>$B$3*$B$6*$B$5*COS(F297)</f>
        <v/>
      </c>
      <c r="P297" s="11">
        <f>N297+O297</f>
        <v/>
      </c>
      <c r="Q297" s="12">
        <f>ABS(P297-$P$3)</f>
        <v/>
      </c>
    </row>
    <row r="298">
      <c r="D298" s="13" t="n">
        <v>296</v>
      </c>
      <c r="E298" s="14" t="n">
        <v>2.952108649035025</v>
      </c>
      <c r="F298" s="15" t="n">
        <v>1.201327272282505</v>
      </c>
      <c r="G298" s="16">
        <f>DEGREES(F298)</f>
        <v/>
      </c>
      <c r="H298" s="15" t="n">
        <v>3.391451663873051</v>
      </c>
      <c r="I298" s="16">
        <f>DEGREES(H298)</f>
        <v/>
      </c>
      <c r="J298" s="17" t="n">
        <v>0.9039968443893306</v>
      </c>
      <c r="K298" s="17" t="n">
        <v>1.847345272561957</v>
      </c>
      <c r="L298" s="18">
        <f>$B$5*$B$3*$B$6*SIN(F298)</f>
        <v/>
      </c>
      <c r="M298" s="18">
        <f>$B$9*K298*(SIN(F298))^2 + $B$8*($B$10+K298*COS(F298))*COS(F298)</f>
        <v/>
      </c>
      <c r="N298" s="18">
        <f>0.5*$B$9*(J298^2 + (K298*SIN(F298))^2) + 0.5*$B$8*($B$10 + K298*COS(F298))^2</f>
        <v/>
      </c>
      <c r="O298" s="18">
        <f>$B$3*$B$6*$B$5*COS(F298)</f>
        <v/>
      </c>
      <c r="P298" s="18">
        <f>N298+O298</f>
        <v/>
      </c>
      <c r="Q298" s="19">
        <f>ABS(P298-$P$3)</f>
        <v/>
      </c>
    </row>
    <row r="299">
      <c r="D299" s="6" t="n">
        <v>297</v>
      </c>
      <c r="E299" s="7" t="n">
        <v>2.962115796997856</v>
      </c>
      <c r="F299" s="8" t="n">
        <v>1.210603609406594</v>
      </c>
      <c r="G299" s="9">
        <f>DEGREES(F299)</f>
        <v/>
      </c>
      <c r="H299" s="8" t="n">
        <v>3.409708144272393</v>
      </c>
      <c r="I299" s="9">
        <f>DEGREES(H299)</f>
        <v/>
      </c>
      <c r="J299" s="10" t="n">
        <v>0.9494601742288376</v>
      </c>
      <c r="K299" s="10" t="n">
        <v>1.800963586941511</v>
      </c>
      <c r="L299" s="11">
        <f>$B$5*$B$3*$B$6*SIN(F299)</f>
        <v/>
      </c>
      <c r="M299" s="11">
        <f>$B$9*K299*(SIN(F299))^2 + $B$8*($B$10+K299*COS(F299))*COS(F299)</f>
        <v/>
      </c>
      <c r="N299" s="11">
        <f>0.5*$B$9*(J299^2 + (K299*SIN(F299))^2) + 0.5*$B$8*($B$10 + K299*COS(F299))^2</f>
        <v/>
      </c>
      <c r="O299" s="11">
        <f>$B$3*$B$6*$B$5*COS(F299)</f>
        <v/>
      </c>
      <c r="P299" s="11">
        <f>N299+O299</f>
        <v/>
      </c>
      <c r="Q299" s="12">
        <f>ABS(P299-$P$3)</f>
        <v/>
      </c>
    </row>
    <row r="300">
      <c r="D300" s="13" t="n">
        <v>298</v>
      </c>
      <c r="E300" s="14" t="n">
        <v>2.972122944960686</v>
      </c>
      <c r="F300" s="15" t="n">
        <v>1.220320104418833</v>
      </c>
      <c r="G300" s="16">
        <f>DEGREES(F300)</f>
        <v/>
      </c>
      <c r="H300" s="15" t="n">
        <v>3.427489340076332</v>
      </c>
      <c r="I300" s="16">
        <f>DEGREES(H300)</f>
        <v/>
      </c>
      <c r="J300" s="17" t="n">
        <v>0.9919425190859826</v>
      </c>
      <c r="K300" s="17" t="n">
        <v>1.752381111880316</v>
      </c>
      <c r="L300" s="18">
        <f>$B$5*$B$3*$B$6*SIN(F300)</f>
        <v/>
      </c>
      <c r="M300" s="18">
        <f>$B$9*K300*(SIN(F300))^2 + $B$8*($B$10+K300*COS(F300))*COS(F300)</f>
        <v/>
      </c>
      <c r="N300" s="18">
        <f>0.5*$B$9*(J300^2 + (K300*SIN(F300))^2) + 0.5*$B$8*($B$10 + K300*COS(F300))^2</f>
        <v/>
      </c>
      <c r="O300" s="18">
        <f>$B$3*$B$6*$B$5*COS(F300)</f>
        <v/>
      </c>
      <c r="P300" s="18">
        <f>N300+O300</f>
        <v/>
      </c>
      <c r="Q300" s="19">
        <f>ABS(P300-$P$3)</f>
        <v/>
      </c>
    </row>
    <row r="301">
      <c r="D301" s="6" t="n">
        <v>299</v>
      </c>
      <c r="E301" s="7" t="n">
        <v>2.982130092923517</v>
      </c>
      <c r="F301" s="8" t="n">
        <v>1.230446250799308</v>
      </c>
      <c r="G301" s="9">
        <f>DEGREES(F301)</f>
        <v/>
      </c>
      <c r="H301" s="8" t="n">
        <v>3.444773985301697</v>
      </c>
      <c r="I301" s="9">
        <f>DEGREES(H301)</f>
        <v/>
      </c>
      <c r="J301" s="10" t="n">
        <v>1.031310498714314</v>
      </c>
      <c r="K301" s="10" t="n">
        <v>1.701750379977942</v>
      </c>
      <c r="L301" s="11">
        <f>$B$5*$B$3*$B$6*SIN(F301)</f>
        <v/>
      </c>
      <c r="M301" s="11">
        <f>$B$9*K301*(SIN(F301))^2 + $B$8*($B$10+K301*COS(F301))*COS(F301)</f>
        <v/>
      </c>
      <c r="N301" s="11">
        <f>0.5*$B$9*(J301^2 + (K301*SIN(F301))^2) + 0.5*$B$8*($B$10 + K301*COS(F301))^2</f>
        <v/>
      </c>
      <c r="O301" s="11">
        <f>$B$3*$B$6*$B$5*COS(F301)</f>
        <v/>
      </c>
      <c r="P301" s="11">
        <f>N301+O301</f>
        <v/>
      </c>
      <c r="Q301" s="12">
        <f>ABS(P301-$P$3)</f>
        <v/>
      </c>
    </row>
    <row r="302">
      <c r="D302" s="13" t="n">
        <v>300</v>
      </c>
      <c r="E302" s="14" t="n">
        <v>2.992137240886348</v>
      </c>
      <c r="F302" s="15" t="n">
        <v>1.24095025586086</v>
      </c>
      <c r="G302" s="16">
        <f>DEGREES(F302)</f>
        <v/>
      </c>
      <c r="H302" s="15" t="n">
        <v>3.461542372966799</v>
      </c>
      <c r="I302" s="16">
        <f>DEGREES(H302)</f>
        <v/>
      </c>
      <c r="J302" s="17" t="n">
        <v>1.067440510924669</v>
      </c>
      <c r="K302" s="17" t="n">
        <v>1.649230354670184</v>
      </c>
      <c r="L302" s="18">
        <f>$B$5*$B$3*$B$6*SIN(F302)</f>
        <v/>
      </c>
      <c r="M302" s="18">
        <f>$B$9*K302*(SIN(F302))^2 + $B$8*($B$10+K302*COS(F302))*COS(F302)</f>
        <v/>
      </c>
      <c r="N302" s="18">
        <f>0.5*$B$9*(J302^2 + (K302*SIN(F302))^2) + 0.5*$B$8*($B$10 + K302*COS(F302))^2</f>
        <v/>
      </c>
      <c r="O302" s="18">
        <f>$B$3*$B$6*$B$5*COS(F302)</f>
        <v/>
      </c>
      <c r="P302" s="18">
        <f>N302+O302</f>
        <v/>
      </c>
      <c r="Q302" s="19">
        <f>ABS(P302-$P$3)</f>
        <v/>
      </c>
    </row>
    <row r="303">
      <c r="D303" s="6" t="n">
        <v>301</v>
      </c>
      <c r="E303" s="7" t="n">
        <v>3.002144388849178</v>
      </c>
      <c r="F303" s="8" t="n">
        <v>1.251799140567407</v>
      </c>
      <c r="G303" s="9">
        <f>DEGREES(F303)</f>
        <v/>
      </c>
      <c r="H303" s="8" t="n">
        <v>3.477776416964707</v>
      </c>
      <c r="I303" s="9">
        <f>DEGREES(H303)</f>
        <v/>
      </c>
      <c r="J303" s="10" t="n">
        <v>1.100219119654392</v>
      </c>
      <c r="K303" s="10" t="n">
        <v>1.59498593113745</v>
      </c>
      <c r="L303" s="11">
        <f>$B$5*$B$3*$B$6*SIN(F303)</f>
        <v/>
      </c>
      <c r="M303" s="11">
        <f>$B$9*K303*(SIN(F303))^2 + $B$8*($B$10+K303*COS(F303))*COS(F303)</f>
        <v/>
      </c>
      <c r="N303" s="11">
        <f>0.5*$B$9*(J303^2 + (K303*SIN(F303))^2) + 0.5*$B$8*($B$10 + K303*COS(F303))^2</f>
        <v/>
      </c>
      <c r="O303" s="11">
        <f>$B$3*$B$6*$B$5*COS(F303)</f>
        <v/>
      </c>
      <c r="P303" s="11">
        <f>N303+O303</f>
        <v/>
      </c>
      <c r="Q303" s="12">
        <f>ABS(P303-$P$3)</f>
        <v/>
      </c>
    </row>
    <row r="304">
      <c r="D304" s="13" t="n">
        <v>302</v>
      </c>
      <c r="E304" s="14" t="n">
        <v>3.012151536812009</v>
      </c>
      <c r="F304" s="15" t="n">
        <v>1.262958843077007</v>
      </c>
      <c r="G304" s="16">
        <f>DEGREES(F304)</f>
        <v/>
      </c>
      <c r="H304" s="15" t="n">
        <v>3.493459708847539</v>
      </c>
      <c r="I304" s="16">
        <f>DEGREES(H304)</f>
        <v/>
      </c>
      <c r="J304" s="17" t="n">
        <v>1.129543411118348</v>
      </c>
      <c r="K304" s="17" t="n">
        <v>1.539187418589447</v>
      </c>
      <c r="L304" s="18">
        <f>$B$5*$B$3*$B$6*SIN(F304)</f>
        <v/>
      </c>
      <c r="M304" s="18">
        <f>$B$9*K304*(SIN(F304))^2 + $B$8*($B$10+K304*COS(F304))*COS(F304)</f>
        <v/>
      </c>
      <c r="N304" s="18">
        <f>0.5*$B$9*(J304^2 + (K304*SIN(F304))^2) + 0.5*$B$8*($B$10 + K304*COS(F304))^2</f>
        <v/>
      </c>
      <c r="O304" s="18">
        <f>$B$3*$B$6*$B$5*COS(F304)</f>
        <v/>
      </c>
      <c r="P304" s="18">
        <f>N304+O304</f>
        <v/>
      </c>
      <c r="Q304" s="19">
        <f>ABS(P304-$P$3)</f>
        <v/>
      </c>
    </row>
    <row r="305">
      <c r="D305" s="6" t="n">
        <v>303</v>
      </c>
      <c r="E305" s="7" t="n">
        <v>3.022158684774839</v>
      </c>
      <c r="F305" s="8" t="n">
        <v>1.274394325684561</v>
      </c>
      <c r="G305" s="9">
        <f>DEGREES(F305)</f>
        <v/>
      </c>
      <c r="H305" s="8" t="n">
        <v>3.508577569343446</v>
      </c>
      <c r="I305" s="9">
        <f>DEGREES(H305)</f>
        <v/>
      </c>
      <c r="J305" s="10" t="n">
        <v>1.155321316923524</v>
      </c>
      <c r="K305" s="10" t="n">
        <v>1.482010005551678</v>
      </c>
      <c r="L305" s="11">
        <f>$B$5*$B$3*$B$6*SIN(F305)</f>
        <v/>
      </c>
      <c r="M305" s="11">
        <f>$B$9*K305*(SIN(F305))^2 + $B$8*($B$10+K305*COS(F305))*COS(F305)</f>
        <v/>
      </c>
      <c r="N305" s="11">
        <f>0.5*$B$9*(J305^2 + (K305*SIN(F305))^2) + 0.5*$B$8*($B$10 + K305*COS(F305))^2</f>
        <v/>
      </c>
      <c r="O305" s="11">
        <f>$B$3*$B$6*$B$5*COS(F305)</f>
        <v/>
      </c>
      <c r="P305" s="11">
        <f>N305+O305</f>
        <v/>
      </c>
      <c r="Q305" s="12">
        <f>ABS(P305-$P$3)</f>
        <v/>
      </c>
    </row>
    <row r="306">
      <c r="D306" s="13" t="n">
        <v>304</v>
      </c>
      <c r="E306" s="14" t="n">
        <v>3.03216583273767</v>
      </c>
      <c r="F306" s="15" t="n">
        <v>1.286069684828397</v>
      </c>
      <c r="G306" s="16">
        <f>DEGREES(F306)</f>
        <v/>
      </c>
      <c r="H306" s="15" t="n">
        <v>3.523117094444593</v>
      </c>
      <c r="I306" s="16">
        <f>DEGREES(H306)</f>
        <v/>
      </c>
      <c r="J306" s="17" t="n">
        <v>1.177471903132752</v>
      </c>
      <c r="K306" s="17" t="n">
        <v>1.423633209832496</v>
      </c>
      <c r="L306" s="18">
        <f>$B$5*$B$3*$B$6*SIN(F306)</f>
        <v/>
      </c>
      <c r="M306" s="18">
        <f>$B$9*K306*(SIN(F306))^2 + $B$8*($B$10+K306*COS(F306))*COS(F306)</f>
        <v/>
      </c>
      <c r="N306" s="18">
        <f>0.5*$B$9*(J306^2 + (K306*SIN(F306))^2) + 0.5*$B$8*($B$10 + K306*COS(F306))^2</f>
        <v/>
      </c>
      <c r="O306" s="18">
        <f>$B$3*$B$6*$B$5*COS(F306)</f>
        <v/>
      </c>
      <c r="P306" s="18">
        <f>N306+O306</f>
        <v/>
      </c>
      <c r="Q306" s="19">
        <f>ABS(P306-$P$3)</f>
        <v/>
      </c>
    </row>
    <row r="307">
      <c r="D307" s="6" t="n">
        <v>305</v>
      </c>
      <c r="E307" s="7" t="n">
        <v>3.042172980700501</v>
      </c>
      <c r="F307" s="8" t="n">
        <v>1.297948263815359</v>
      </c>
      <c r="G307" s="9">
        <f>DEGREES(F307)</f>
        <v/>
      </c>
      <c r="H307" s="8" t="n">
        <v>3.537067195921381</v>
      </c>
      <c r="I307" s="9">
        <f>DEGREES(H307)</f>
        <v/>
      </c>
      <c r="J307" s="10" t="n">
        <v>1.195925624370006</v>
      </c>
      <c r="K307" s="10" t="n">
        <v>1.364240314897686</v>
      </c>
      <c r="L307" s="11">
        <f>$B$5*$B$3*$B$6*SIN(F307)</f>
        <v/>
      </c>
      <c r="M307" s="11">
        <f>$B$9*K307*(SIN(F307))^2 + $B$8*($B$10+K307*COS(F307))*COS(F307)</f>
        <v/>
      </c>
      <c r="N307" s="11">
        <f>0.5*$B$9*(J307^2 + (K307*SIN(F307))^2) + 0.5*$B$8*($B$10 + K307*COS(F307))^2</f>
        <v/>
      </c>
      <c r="O307" s="11">
        <f>$B$3*$B$6*$B$5*COS(F307)</f>
        <v/>
      </c>
      <c r="P307" s="11">
        <f>N307+O307</f>
        <v/>
      </c>
      <c r="Q307" s="12">
        <f>ABS(P307-$P$3)</f>
        <v/>
      </c>
    </row>
    <row r="308">
      <c r="D308" s="13" t="n">
        <v>306</v>
      </c>
      <c r="E308" s="14" t="n">
        <v>3.052180128663331</v>
      </c>
      <c r="F308" s="15" t="n">
        <v>1.309992767910466</v>
      </c>
      <c r="G308" s="16">
        <f>DEGREES(F308)</f>
        <v/>
      </c>
      <c r="H308" s="15" t="n">
        <v>3.550418636135761</v>
      </c>
      <c r="I308" s="16">
        <f>DEGREES(H308)</f>
        <v/>
      </c>
      <c r="J308" s="17" t="n">
        <v>1.210624542169438</v>
      </c>
      <c r="K308" s="17" t="n">
        <v>1.304017794422152</v>
      </c>
      <c r="L308" s="18">
        <f>$B$5*$B$3*$B$6*SIN(F308)</f>
        <v/>
      </c>
      <c r="M308" s="18">
        <f>$B$9*K308*(SIN(F308))^2 + $B$8*($B$10+K308*COS(F308))*COS(F308)</f>
        <v/>
      </c>
      <c r="N308" s="18">
        <f>0.5*$B$9*(J308^2 + (K308*SIN(F308))^2) + 0.5*$B$8*($B$10 + K308*COS(F308))^2</f>
        <v/>
      </c>
      <c r="O308" s="18">
        <f>$B$3*$B$6*$B$5*COS(F308)</f>
        <v/>
      </c>
      <c r="P308" s="18">
        <f>N308+O308</f>
        <v/>
      </c>
      <c r="Q308" s="19">
        <f>ABS(P308-$P$3)</f>
        <v/>
      </c>
    </row>
    <row r="309">
      <c r="D309" s="6" t="n">
        <v>307</v>
      </c>
      <c r="E309" s="7" t="n">
        <v>3.062187276626162</v>
      </c>
      <c r="F309" s="8" t="n">
        <v>1.322165381429816</v>
      </c>
      <c r="G309" s="9">
        <f>DEGREES(F309)</f>
        <v/>
      </c>
      <c r="H309" s="8" t="n">
        <v>3.563164057044301</v>
      </c>
      <c r="I309" s="9">
        <f>DEGREES(H309)</f>
        <v/>
      </c>
      <c r="J309" s="10" t="n">
        <v>1.221522506882643</v>
      </c>
      <c r="K309" s="10" t="n">
        <v>1.243154726825402</v>
      </c>
      <c r="L309" s="11">
        <f>$B$5*$B$3*$B$6*SIN(F309)</f>
        <v/>
      </c>
      <c r="M309" s="11">
        <f>$B$9*K309*(SIN(F309))^2 + $B$8*($B$10+K309*COS(F309))*COS(F309)</f>
        <v/>
      </c>
      <c r="N309" s="11">
        <f>0.5*$B$9*(J309^2 + (K309*SIN(F309))^2) + 0.5*$B$8*($B$10 + K309*COS(F309))^2</f>
        <v/>
      </c>
      <c r="O309" s="11">
        <f>$B$3*$B$6*$B$5*COS(F309)</f>
        <v/>
      </c>
      <c r="P309" s="11">
        <f>N309+O309</f>
        <v/>
      </c>
      <c r="Q309" s="12">
        <f>ABS(P309-$P$3)</f>
        <v/>
      </c>
    </row>
    <row r="310">
      <c r="D310" s="13" t="n">
        <v>308</v>
      </c>
      <c r="E310" s="14" t="n">
        <v>3.072194424588993</v>
      </c>
      <c r="F310" s="15" t="n">
        <v>1.334427886469085</v>
      </c>
      <c r="G310" s="16">
        <f>DEGREES(F310)</f>
        <v/>
      </c>
      <c r="H310" s="15" t="n">
        <v>3.575298003299964</v>
      </c>
      <c r="I310" s="16">
        <f>DEGREES(H310)</f>
        <v/>
      </c>
      <c r="J310" s="17" t="n">
        <v>1.228585302572996</v>
      </c>
      <c r="K310" s="17" t="n">
        <v>1.181842201629057</v>
      </c>
      <c r="L310" s="18">
        <f>$B$5*$B$3*$B$6*SIN(F310)</f>
        <v/>
      </c>
      <c r="M310" s="18">
        <f>$B$9*K310*(SIN(F310))^2 + $B$8*($B$10+K310*COS(F310))*COS(F310)</f>
        <v/>
      </c>
      <c r="N310" s="18">
        <f>0.5*$B$9*(J310^2 + (K310*SIN(F310))^2) + 0.5*$B$8*($B$10 + K310*COS(F310))^2</f>
        <v/>
      </c>
      <c r="O310" s="18">
        <f>$B$3*$B$6*$B$5*COS(F310)</f>
        <v/>
      </c>
      <c r="P310" s="18">
        <f>N310+O310</f>
        <v/>
      </c>
      <c r="Q310" s="19">
        <f>ABS(P310-$P$3)</f>
        <v/>
      </c>
    </row>
    <row r="311">
      <c r="D311" s="6" t="n">
        <v>309</v>
      </c>
      <c r="E311" s="7" t="n">
        <v>3.082201572551823</v>
      </c>
      <c r="F311" s="8" t="n">
        <v>1.346741782894871</v>
      </c>
      <c r="G311" s="9">
        <f>DEGREES(F311)</f>
        <v/>
      </c>
      <c r="H311" s="8" t="n">
        <v>3.586816939380055</v>
      </c>
      <c r="I311" s="9">
        <f>DEGREES(H311)</f>
        <v/>
      </c>
      <c r="J311" s="10" t="n">
        <v>1.231790754442166</v>
      </c>
      <c r="K311" s="10" t="n">
        <v>1.120272719500128</v>
      </c>
      <c r="L311" s="11">
        <f>$B$5*$B$3*$B$6*SIN(F311)</f>
        <v/>
      </c>
      <c r="M311" s="11">
        <f>$B$9*K311*(SIN(F311))^2 + $B$8*($B$10+K311*COS(F311))*COS(F311)</f>
        <v/>
      </c>
      <c r="N311" s="11">
        <f>0.5*$B$9*(J311^2 + (K311*SIN(F311))^2) + 0.5*$B$8*($B$10 + K311*COS(F311))^2</f>
        <v/>
      </c>
      <c r="O311" s="11">
        <f>$B$3*$B$6*$B$5*COS(F311)</f>
        <v/>
      </c>
      <c r="P311" s="11">
        <f>N311+O311</f>
        <v/>
      </c>
      <c r="Q311" s="12">
        <f>ABS(P311-$P$3)</f>
        <v/>
      </c>
    </row>
    <row r="312">
      <c r="D312" s="13" t="n">
        <v>310</v>
      </c>
      <c r="E312" s="14" t="n">
        <v>3.092208720514654</v>
      </c>
      <c r="F312" s="15" t="n">
        <v>1.359068409222136</v>
      </c>
      <c r="G312" s="16">
        <f>DEGREES(F312)</f>
        <v/>
      </c>
      <c r="H312" s="15" t="n">
        <v>3.597719260686577</v>
      </c>
      <c r="I312" s="16">
        <f>DEGREES(H312)</f>
        <v/>
      </c>
      <c r="J312" s="17" t="n">
        <v>1.23112879845151</v>
      </c>
      <c r="K312" s="17" t="n">
        <v>1.058639587863804</v>
      </c>
      <c r="L312" s="18">
        <f>$B$5*$B$3*$B$6*SIN(F312)</f>
        <v/>
      </c>
      <c r="M312" s="18">
        <f>$B$9*K312*(SIN(F312))^2 + $B$8*($B$10+K312*COS(F312))*COS(F312)</f>
        <v/>
      </c>
      <c r="N312" s="18">
        <f>0.5*$B$9*(J312^2 + (K312*SIN(F312))^2) + 0.5*$B$8*($B$10 + K312*COS(F312))^2</f>
        <v/>
      </c>
      <c r="O312" s="18">
        <f>$B$3*$B$6*$B$5*COS(F312)</f>
        <v/>
      </c>
      <c r="P312" s="18">
        <f>N312+O312</f>
        <v/>
      </c>
      <c r="Q312" s="19">
        <f>ABS(P312-$P$3)</f>
        <v/>
      </c>
    </row>
    <row r="313">
      <c r="D313" s="6" t="n">
        <v>311</v>
      </c>
      <c r="E313" s="7" t="n">
        <v>3.102215868477484</v>
      </c>
      <c r="F313" s="8" t="n">
        <v>1.371369063998241</v>
      </c>
      <c r="G313" s="9">
        <f>DEGREES(F313)</f>
        <v/>
      </c>
      <c r="H313" s="8" t="n">
        <v>3.608005298584124</v>
      </c>
      <c r="I313" s="9">
        <f>DEGREES(H313)</f>
        <v/>
      </c>
      <c r="J313" s="10" t="n">
        <v>1.226601512919763</v>
      </c>
      <c r="K313" s="10" t="n">
        <v>0.9971363139832751</v>
      </c>
      <c r="L313" s="11">
        <f>$B$5*$B$3*$B$6*SIN(F313)</f>
        <v/>
      </c>
      <c r="M313" s="11">
        <f>$B$9*K313*(SIN(F313))^2 + $B$8*($B$10+K313*COS(F313))*COS(F313)</f>
        <v/>
      </c>
      <c r="N313" s="11">
        <f>0.5*$B$9*(J313^2 + (K313*SIN(F313))^2) + 0.5*$B$8*($B$10 + K313*COS(F313))^2</f>
        <v/>
      </c>
      <c r="O313" s="11">
        <f>$B$3*$B$6*$B$5*COS(F313)</f>
        <v/>
      </c>
      <c r="P313" s="11">
        <f>N313+O313</f>
        <v/>
      </c>
      <c r="Q313" s="12">
        <f>ABS(P313-$P$3)</f>
        <v/>
      </c>
    </row>
    <row r="314">
      <c r="D314" s="13" t="n">
        <v>312</v>
      </c>
      <c r="E314" s="14" t="n">
        <v>3.112223016440315</v>
      </c>
      <c r="F314" s="15" t="n">
        <v>1.383605127312468</v>
      </c>
      <c r="G314" s="16">
        <f>DEGREES(F314)</f>
        <v/>
      </c>
      <c r="H314" s="15" t="n">
        <v>3.617677319359508</v>
      </c>
      <c r="I314" s="16">
        <f>DEGREES(H314)</f>
        <v/>
      </c>
      <c r="J314" s="17" t="n">
        <v>1.218223111997815</v>
      </c>
      <c r="K314" s="17" t="n">
        <v>0.9359559974121446</v>
      </c>
      <c r="L314" s="18">
        <f>$B$5*$B$3*$B$6*SIN(F314)</f>
        <v/>
      </c>
      <c r="M314" s="18">
        <f>$B$9*K314*(SIN(F314))^2 + $B$8*($B$10+K314*COS(F314))*COS(F314)</f>
        <v/>
      </c>
      <c r="N314" s="18">
        <f>0.5*$B$9*(J314^2 + (K314*SIN(F314))^2) + 0.5*$B$8*($B$10 + K314*COS(F314))^2</f>
        <v/>
      </c>
      <c r="O314" s="18">
        <f>$B$3*$B$6*$B$5*COS(F314)</f>
        <v/>
      </c>
      <c r="P314" s="18">
        <f>N314+O314</f>
        <v/>
      </c>
      <c r="Q314" s="19">
        <f>ABS(P314-$P$3)</f>
        <v/>
      </c>
    </row>
    <row r="315">
      <c r="D315" s="6" t="n">
        <v>313</v>
      </c>
      <c r="E315" s="7" t="n">
        <v>3.122230164403145</v>
      </c>
      <c r="F315" s="8" t="n">
        <v>1.395738182049519</v>
      </c>
      <c r="G315" s="9">
        <f>DEGREES(F315)</f>
        <v/>
      </c>
      <c r="H315" s="8" t="n">
        <v>3.626739517106385</v>
      </c>
      <c r="I315" s="9">
        <f>DEGREES(H315)</f>
        <v/>
      </c>
      <c r="J315" s="10" t="n">
        <v>1.206019901041068</v>
      </c>
      <c r="K315" s="10" t="n">
        <v>0.8752907237268881</v>
      </c>
      <c r="L315" s="11">
        <f>$B$5*$B$3*$B$6*SIN(F315)</f>
        <v/>
      </c>
      <c r="M315" s="11">
        <f>$B$9*K315*(SIN(F315))^2 + $B$8*($B$10+K315*COS(F315))*COS(F315)</f>
        <v/>
      </c>
      <c r="N315" s="11">
        <f>0.5*$B$9*(J315^2 + (K315*SIN(F315))^2) + 0.5*$B$8*($B$10 + K315*COS(F315))^2</f>
        <v/>
      </c>
      <c r="O315" s="11">
        <f>$B$3*$B$6*$B$5*COS(F315)</f>
        <v/>
      </c>
      <c r="P315" s="11">
        <f>N315+O315</f>
        <v/>
      </c>
      <c r="Q315" s="12">
        <f>ABS(P315-$P$3)</f>
        <v/>
      </c>
    </row>
    <row r="316">
      <c r="D316" s="13" t="n">
        <v>314</v>
      </c>
      <c r="E316" s="14" t="n">
        <v>3.132237312365976</v>
      </c>
      <c r="F316" s="15" t="n">
        <v>1.407730134506318</v>
      </c>
      <c r="G316" s="16">
        <f>DEGREES(F316)</f>
        <v/>
      </c>
      <c r="H316" s="15" t="n">
        <v>3.635198000557212</v>
      </c>
      <c r="I316" s="16">
        <f>DEGREES(H316)</f>
        <v/>
      </c>
      <c r="J316" s="17" t="n">
        <v>1.190030194019488</v>
      </c>
      <c r="K316" s="17" t="n">
        <v>0.815330961442895</v>
      </c>
      <c r="L316" s="18">
        <f>$B$5*$B$3*$B$6*SIN(F316)</f>
        <v/>
      </c>
      <c r="M316" s="18">
        <f>$B$9*K316*(SIN(F316))^2 + $B$8*($B$10+K316*COS(F316))*COS(F316)</f>
        <v/>
      </c>
      <c r="N316" s="18">
        <f>0.5*$B$9*(J316^2 + (K316*SIN(F316))^2) + 0.5*$B$8*($B$10 + K316*COS(F316))^2</f>
        <v/>
      </c>
      <c r="O316" s="18">
        <f>$B$3*$B$6*$B$5*COS(F316)</f>
        <v/>
      </c>
      <c r="P316" s="18">
        <f>N316+O316</f>
        <v/>
      </c>
      <c r="Q316" s="19">
        <f>ABS(P316-$P$3)</f>
        <v/>
      </c>
    </row>
    <row r="317">
      <c r="D317" s="6" t="n">
        <v>315</v>
      </c>
      <c r="E317" s="7" t="n">
        <v>3.142244460328806</v>
      </c>
      <c r="F317" s="8" t="n">
        <v>1.419543333993392</v>
      </c>
      <c r="G317" s="9">
        <f>DEGREES(F317)</f>
        <v/>
      </c>
      <c r="H317" s="8" t="n">
        <v>3.643060773903883</v>
      </c>
      <c r="I317" s="9">
        <f>DEGREES(H317)</f>
        <v/>
      </c>
      <c r="J317" s="10" t="n">
        <v>1.17030419322465</v>
      </c>
      <c r="K317" s="10" t="n">
        <v>0.7562649640075206</v>
      </c>
      <c r="L317" s="11">
        <f>$B$5*$B$3*$B$6*SIN(F317)</f>
        <v/>
      </c>
      <c r="M317" s="11">
        <f>$B$9*K317*(SIN(F317))^2 + $B$8*($B$10+K317*COS(F317))*COS(F317)</f>
        <v/>
      </c>
      <c r="N317" s="11">
        <f>0.5*$B$9*(J317^2 + (K317*SIN(F317))^2) + 0.5*$B$8*($B$10 + K317*COS(F317))^2</f>
        <v/>
      </c>
      <c r="O317" s="11">
        <f>$B$3*$B$6*$B$5*COS(F317)</f>
        <v/>
      </c>
      <c r="P317" s="11">
        <f>N317+O317</f>
        <v/>
      </c>
      <c r="Q317" s="12">
        <f>ABS(P317-$P$3)</f>
        <v/>
      </c>
    </row>
    <row r="318">
      <c r="D318" s="13" t="n">
        <v>316</v>
      </c>
      <c r="E318" s="14" t="n">
        <v>3.152251608291637</v>
      </c>
      <c r="F318" s="15" t="n">
        <v>1.431140691045363</v>
      </c>
      <c r="G318" s="16">
        <f>DEGREES(F318)</f>
        <v/>
      </c>
      <c r="H318" s="15" t="n">
        <v>3.65033771166727</v>
      </c>
      <c r="I318" s="16">
        <f>DEGREES(H318)</f>
        <v/>
      </c>
      <c r="J318" s="17" t="n">
        <v>1.146903831651455</v>
      </c>
      <c r="K318" s="17" t="n">
        <v>0.698278178747669</v>
      </c>
      <c r="L318" s="18">
        <f>$B$5*$B$3*$B$6*SIN(F318)</f>
        <v/>
      </c>
      <c r="M318" s="18">
        <f>$B$9*K318*(SIN(F318))^2 + $B$8*($B$10+K318*COS(F318))*COS(F318)</f>
        <v/>
      </c>
      <c r="N318" s="18">
        <f>0.5*$B$9*(J318^2 + (K318*SIN(F318))^2) + 0.5*$B$8*($B$10 + K318*COS(F318))^2</f>
        <v/>
      </c>
      <c r="O318" s="18">
        <f>$B$3*$B$6*$B$5*COS(F318)</f>
        <v/>
      </c>
      <c r="P318" s="18">
        <f>N318+O318</f>
        <v/>
      </c>
      <c r="Q318" s="19">
        <f>ABS(P318-$P$3)</f>
        <v/>
      </c>
    </row>
    <row r="319">
      <c r="D319" s="6" t="n">
        <v>317</v>
      </c>
      <c r="E319" s="7" t="n">
        <v>3.162258756254468</v>
      </c>
      <c r="F319" s="8" t="n">
        <v>1.442485793869352</v>
      </c>
      <c r="G319" s="9">
        <f>DEGREES(F319)</f>
        <v/>
      </c>
      <c r="H319" s="8" t="n">
        <v>3.657040527694552</v>
      </c>
      <c r="I319" s="9">
        <f>DEGREES(H319)</f>
        <v/>
      </c>
      <c r="J319" s="10" t="n">
        <v>1.119902578549406</v>
      </c>
      <c r="K319" s="10" t="n">
        <v>0.6415526646277219</v>
      </c>
      <c r="L319" s="11">
        <f>$B$5*$B$3*$B$6*SIN(F319)</f>
        <v/>
      </c>
      <c r="M319" s="11">
        <f>$B$9*K319*(SIN(F319))^2 + $B$8*($B$10+K319*COS(F319))*COS(F319)</f>
        <v/>
      </c>
      <c r="N319" s="11">
        <f>0.5*$B$9*(J319^2 + (K319*SIN(F319))^2) + 0.5*$B$8*($B$10 + K319*COS(F319))^2</f>
        <v/>
      </c>
      <c r="O319" s="11">
        <f>$B$3*$B$6*$B$5*COS(F319)</f>
        <v/>
      </c>
      <c r="P319" s="11">
        <f>N319+O319</f>
        <v/>
      </c>
      <c r="Q319" s="12">
        <f>ABS(P319-$P$3)</f>
        <v/>
      </c>
    </row>
    <row r="320">
      <c r="D320" s="13" t="n">
        <v>318</v>
      </c>
      <c r="E320" s="14" t="n">
        <v>3.172265904217298</v>
      </c>
      <c r="F320" s="15" t="n">
        <v>1.453543022665755</v>
      </c>
      <c r="G320" s="16">
        <f>DEGREES(F320)</f>
        <v/>
      </c>
      <c r="H320" s="15" t="n">
        <v>3.66318273838168</v>
      </c>
      <c r="I320" s="16">
        <f>DEGREES(H320)</f>
        <v/>
      </c>
      <c r="J320" s="17" t="n">
        <v>1.089385208753912</v>
      </c>
      <c r="K320" s="17" t="n">
        <v>0.5862665206457078</v>
      </c>
      <c r="L320" s="18">
        <f>$B$5*$B$3*$B$6*SIN(F320)</f>
        <v/>
      </c>
      <c r="M320" s="18">
        <f>$B$9*K320*(SIN(F320))^2 + $B$8*($B$10+K320*COS(F320))*COS(F320)</f>
        <v/>
      </c>
      <c r="N320" s="18">
        <f>0.5*$B$9*(J320^2 + (K320*SIN(F320))^2) + 0.5*$B$8*($B$10 + K320*COS(F320))^2</f>
        <v/>
      </c>
      <c r="O320" s="18">
        <f>$B$3*$B$6*$B$5*COS(F320)</f>
        <v/>
      </c>
      <c r="P320" s="18">
        <f>N320+O320</f>
        <v/>
      </c>
      <c r="Q320" s="19">
        <f>ABS(P320-$P$3)</f>
        <v/>
      </c>
    </row>
    <row r="321">
      <c r="D321" s="6" t="n">
        <v>319</v>
      </c>
      <c r="E321" s="7" t="n">
        <v>3.182273052180129</v>
      </c>
      <c r="F321" s="8" t="n">
        <v>1.464277661462395</v>
      </c>
      <c r="G321" s="9">
        <f>DEGREES(F321)</f>
        <v/>
      </c>
      <c r="H321" s="8" t="n">
        <v>3.668779620236454</v>
      </c>
      <c r="I321" s="9">
        <f>DEGREES(H321)</f>
        <v/>
      </c>
      <c r="J321" s="10" t="n">
        <v>1.055447536521891</v>
      </c>
      <c r="K321" s="10" t="n">
        <v>0.5325933266625064</v>
      </c>
      <c r="L321" s="11">
        <f>$B$5*$B$3*$B$6*SIN(F321)</f>
        <v/>
      </c>
      <c r="M321" s="11">
        <f>$B$9*K321*(SIN(F321))^2 + $B$8*($B$10+K321*COS(F321))*COS(F321)</f>
        <v/>
      </c>
      <c r="N321" s="11">
        <f>0.5*$B$9*(J321^2 + (K321*SIN(F321))^2) + 0.5*$B$8*($B$10 + K321*COS(F321))^2</f>
        <v/>
      </c>
      <c r="O321" s="11">
        <f>$B$3*$B$6*$B$5*COS(F321)</f>
        <v/>
      </c>
      <c r="P321" s="11">
        <f>N321+O321</f>
        <v/>
      </c>
      <c r="Q321" s="12">
        <f>ABS(P321-$P$3)</f>
        <v/>
      </c>
    </row>
    <row r="322">
      <c r="D322" s="13" t="n">
        <v>320</v>
      </c>
      <c r="E322" s="14" t="n">
        <v>3.192280200142959</v>
      </c>
      <c r="F322" s="15" t="n">
        <v>1.474656007110987</v>
      </c>
      <c r="G322" s="16">
        <f>DEGREES(F322)</f>
        <v/>
      </c>
      <c r="H322" s="15" t="n">
        <v>3.673848161915431</v>
      </c>
      <c r="I322" s="16">
        <f>DEGREES(H322)</f>
        <v/>
      </c>
      <c r="J322" s="17" t="n">
        <v>1.018196114707275</v>
      </c>
      <c r="K322" s="17" t="n">
        <v>0.4807015984195482</v>
      </c>
      <c r="L322" s="18">
        <f>$B$5*$B$3*$B$6*SIN(F322)</f>
        <v/>
      </c>
      <c r="M322" s="18">
        <f>$B$9*K322*(SIN(F322))^2 + $B$8*($B$10+K322*COS(F322))*COS(F322)</f>
        <v/>
      </c>
      <c r="N322" s="18">
        <f>0.5*$B$9*(J322^2 + (K322*SIN(F322))^2) + 0.5*$B$8*($B$10 + K322*COS(F322))^2</f>
        <v/>
      </c>
      <c r="O322" s="18">
        <f>$B$3*$B$6*$B$5*COS(F322)</f>
        <v/>
      </c>
      <c r="P322" s="18">
        <f>N322+O322</f>
        <v/>
      </c>
      <c r="Q322" s="19">
        <f>ABS(P322-$P$3)</f>
        <v/>
      </c>
    </row>
    <row r="323">
      <c r="D323" s="6" t="n">
        <v>321</v>
      </c>
      <c r="E323" s="7" t="n">
        <v>3.20228734810579</v>
      </c>
      <c r="F323" s="8" t="n">
        <v>1.48464547510366</v>
      </c>
      <c r="G323" s="9">
        <f>DEGREES(F323)</f>
        <v/>
      </c>
      <c r="H323" s="8" t="n">
        <v>3.678407010885273</v>
      </c>
      <c r="I323" s="9">
        <f>DEGREES(H323)</f>
        <v/>
      </c>
      <c r="J323" s="10" t="n">
        <v>0.9777479002209625</v>
      </c>
      <c r="K323" s="10" t="n">
        <v>0.4307542584561808</v>
      </c>
      <c r="L323" s="11">
        <f>$B$5*$B$3*$B$6*SIN(F323)</f>
        <v/>
      </c>
      <c r="M323" s="11">
        <f>$B$9*K323*(SIN(F323))^2 + $B$8*($B$10+K323*COS(F323))*COS(F323)</f>
        <v/>
      </c>
      <c r="N323" s="11">
        <f>0.5*$B$9*(J323^2 + (K323*SIN(F323))^2) + 0.5*$B$8*($B$10 + K323*COS(F323))^2</f>
        <v/>
      </c>
      <c r="O323" s="11">
        <f>$B$3*$B$6*$B$5*COS(F323)</f>
        <v/>
      </c>
      <c r="P323" s="11">
        <f>N323+O323</f>
        <v/>
      </c>
      <c r="Q323" s="12">
        <f>ABS(P323-$P$3)</f>
        <v/>
      </c>
    </row>
    <row r="324">
      <c r="D324" s="13" t="n">
        <v>322</v>
      </c>
      <c r="E324" s="14" t="n">
        <v>3.212294496068621</v>
      </c>
      <c r="F324" s="15" t="n">
        <v>1.494214701877334</v>
      </c>
      <c r="G324" s="16">
        <f>DEGREES(F324)</f>
        <v/>
      </c>
      <c r="H324" s="15" t="n">
        <v>3.682476414875983</v>
      </c>
      <c r="I324" s="16">
        <f>DEGREES(H324)</f>
        <v/>
      </c>
      <c r="J324" s="17" t="n">
        <v>0.934229886825536</v>
      </c>
      <c r="K324" s="17" t="n">
        <v>0.3829081245878156</v>
      </c>
      <c r="L324" s="18">
        <f>$B$5*$B$3*$B$6*SIN(F324)</f>
        <v/>
      </c>
      <c r="M324" s="18">
        <f>$B$9*K324*(SIN(F324))^2 + $B$8*($B$10+K324*COS(F324))*COS(F324)</f>
        <v/>
      </c>
      <c r="N324" s="18">
        <f>0.5*$B$9*(J324^2 + (K324*SIN(F324))^2) + 0.5*$B$8*($B$10 + K324*COS(F324))^2</f>
        <v/>
      </c>
      <c r="O324" s="18">
        <f>$B$3*$B$6*$B$5*COS(F324)</f>
        <v/>
      </c>
      <c r="P324" s="18">
        <f>N324+O324</f>
        <v/>
      </c>
      <c r="Q324" s="19">
        <f>ABS(P324-$P$3)</f>
        <v/>
      </c>
    </row>
    <row r="325">
      <c r="D325" s="6" t="n">
        <v>323</v>
      </c>
      <c r="E325" s="7" t="n">
        <v>3.222301644031451</v>
      </c>
      <c r="F325" s="8" t="n">
        <v>1.503333643284732</v>
      </c>
      <c r="G325" s="9">
        <f>DEGREES(F325)</f>
        <v/>
      </c>
      <c r="H325" s="8" t="n">
        <v>3.686078158309858</v>
      </c>
      <c r="I325" s="9">
        <f>DEGREES(H325)</f>
        <v/>
      </c>
      <c r="J325" s="10" t="n">
        <v>0.8877787064176412</v>
      </c>
      <c r="K325" s="10" t="n">
        <v>0.337313417550822</v>
      </c>
      <c r="L325" s="11">
        <f>$B$5*$B$3*$B$6*SIN(F325)</f>
        <v/>
      </c>
      <c r="M325" s="11">
        <f>$B$9*K325*(SIN(F325))^2 + $B$8*($B$10+K325*COS(F325))*COS(F325)</f>
        <v/>
      </c>
      <c r="N325" s="11">
        <f>0.5*$B$9*(J325^2 + (K325*SIN(F325))^2) + 0.5*$B$8*($B$10 + K325*COS(F325))^2</f>
        <v/>
      </c>
      <c r="O325" s="11">
        <f>$B$3*$B$6*$B$5*COS(F325)</f>
        <v/>
      </c>
      <c r="P325" s="11">
        <f>N325+O325</f>
        <v/>
      </c>
      <c r="Q325" s="12">
        <f>ABS(P325-$P$3)</f>
        <v/>
      </c>
    </row>
    <row r="326">
      <c r="D326" s="13" t="n">
        <v>324</v>
      </c>
      <c r="E326" s="14" t="n">
        <v>3.232308791994282</v>
      </c>
      <c r="F326" s="15" t="n">
        <v>1.511973668922888</v>
      </c>
      <c r="G326" s="16">
        <f>DEGREES(F326)</f>
        <v/>
      </c>
      <c r="H326" s="15" t="n">
        <v>3.689235493905744</v>
      </c>
      <c r="I326" s="16">
        <f>DEGREES(H326)</f>
        <v/>
      </c>
      <c r="J326" s="17" t="n">
        <v>0.8385402000498755</v>
      </c>
      <c r="K326" s="17" t="n">
        <v>0.2941132893600412</v>
      </c>
      <c r="L326" s="18">
        <f>$B$5*$B$3*$B$6*SIN(F326)</f>
        <v/>
      </c>
      <c r="M326" s="18">
        <f>$B$9*K326*(SIN(F326))^2 + $B$8*($B$10+K326*COS(F326))*COS(F326)</f>
        <v/>
      </c>
      <c r="N326" s="18">
        <f>0.5*$B$9*(J326^2 + (K326*SIN(F326))^2) + 0.5*$B$8*($B$10 + K326*COS(F326))^2</f>
        <v/>
      </c>
      <c r="O326" s="18">
        <f>$B$3*$B$6*$B$5*COS(F326)</f>
        <v/>
      </c>
      <c r="P326" s="18">
        <f>N326+O326</f>
        <v/>
      </c>
      <c r="Q326" s="19">
        <f>ABS(P326-$P$3)</f>
        <v/>
      </c>
    </row>
    <row r="327">
      <c r="D327" s="6" t="n">
        <v>325</v>
      </c>
      <c r="E327" s="7" t="n">
        <v>3.242315939957113</v>
      </c>
      <c r="F327" s="8" t="n">
        <v>1.520107652022956</v>
      </c>
      <c r="G327" s="9">
        <f>DEGREES(F327)</f>
        <v/>
      </c>
      <c r="H327" s="8" t="n">
        <v>3.691973069673333</v>
      </c>
      <c r="I327" s="9">
        <f>DEGREES(H327)</f>
        <v/>
      </c>
      <c r="J327" s="10" t="n">
        <v>0.7866689600390314</v>
      </c>
      <c r="K327" s="10" t="n">
        <v>0.2534433738597018</v>
      </c>
      <c r="L327" s="11">
        <f>$B$5*$B$3*$B$6*SIN(F327)</f>
        <v/>
      </c>
      <c r="M327" s="11">
        <f>$B$9*K327*(SIN(F327))^2 + $B$8*($B$10+K327*COS(F327))*COS(F327)</f>
        <v/>
      </c>
      <c r="N327" s="11">
        <f>0.5*$B$9*(J327^2 + (K327*SIN(F327))^2) + 0.5*$B$8*($B$10 + K327*COS(F327))^2</f>
        <v/>
      </c>
      <c r="O327" s="11">
        <f>$B$3*$B$6*$B$5*COS(F327)</f>
        <v/>
      </c>
      <c r="P327" s="11">
        <f>N327+O327</f>
        <v/>
      </c>
      <c r="Q327" s="12">
        <f>ABS(P327-$P$3)</f>
        <v/>
      </c>
    </row>
    <row r="328">
      <c r="D328" s="13" t="n">
        <v>326</v>
      </c>
      <c r="E328" s="14" t="n">
        <v>3.252323087919943</v>
      </c>
      <c r="F328" s="15" t="n">
        <v>1.527710054619125</v>
      </c>
      <c r="G328" s="16">
        <f>DEGREES(F328)</f>
        <v/>
      </c>
      <c r="H328" s="15" t="n">
        <v>3.694316851526721</v>
      </c>
      <c r="I328" s="16">
        <f>DEGREES(H328)</f>
        <v/>
      </c>
      <c r="J328" s="17" t="n">
        <v>0.7323278445983223</v>
      </c>
      <c r="K328" s="17" t="n">
        <v>0.2154313608788599</v>
      </c>
      <c r="L328" s="18">
        <f>$B$5*$B$3*$B$6*SIN(F328)</f>
        <v/>
      </c>
      <c r="M328" s="18">
        <f>$B$9*K328*(SIN(F328))^2 + $B$8*($B$10+K328*COS(F328))*COS(F328)</f>
        <v/>
      </c>
      <c r="N328" s="18">
        <f>0.5*$B$9*(J328^2 + (K328*SIN(F328))^2) + 0.5*$B$8*($B$10 + K328*COS(F328))^2</f>
        <v/>
      </c>
      <c r="O328" s="18">
        <f>$B$3*$B$6*$B$5*COS(F328)</f>
        <v/>
      </c>
      <c r="P328" s="18">
        <f>N328+O328</f>
        <v/>
      </c>
      <c r="Q328" s="19">
        <f>ABS(P328-$P$3)</f>
        <v/>
      </c>
    </row>
    <row r="329">
      <c r="D329" s="6" t="n">
        <v>327</v>
      </c>
      <c r="E329" s="7" t="n">
        <v>3.262330235882774</v>
      </c>
      <c r="F329" s="8" t="n">
        <v>1.534757007729225</v>
      </c>
      <c r="G329" s="9">
        <f>DEGREES(F329)</f>
        <v/>
      </c>
      <c r="H329" s="8" t="n">
        <v>3.696294041760188</v>
      </c>
      <c r="I329" s="9">
        <f>DEGREES(H329)</f>
        <v/>
      </c>
      <c r="J329" s="10" t="n">
        <v>0.6756874665174617</v>
      </c>
      <c r="K329" s="10" t="n">
        <v>0.1801965953283566</v>
      </c>
      <c r="L329" s="11">
        <f>$B$5*$B$3*$B$6*SIN(F329)</f>
        <v/>
      </c>
      <c r="M329" s="11">
        <f>$B$9*K329*(SIN(F329))^2 + $B$8*($B$10+K329*COS(F329))*COS(F329)</f>
        <v/>
      </c>
      <c r="N329" s="11">
        <f>0.5*$B$9*(J329^2 + (K329*SIN(F329))^2) + 0.5*$B$8*($B$10 + K329*COS(F329))^2</f>
        <v/>
      </c>
      <c r="O329" s="11">
        <f>$B$3*$B$6*$B$5*COS(F329)</f>
        <v/>
      </c>
      <c r="P329" s="11">
        <f>N329+O329</f>
        <v/>
      </c>
      <c r="Q329" s="12">
        <f>ABS(P329-$P$3)</f>
        <v/>
      </c>
    </row>
    <row r="330">
      <c r="D330" s="13" t="n">
        <v>328</v>
      </c>
      <c r="E330" s="14" t="n">
        <v>3.272337383845604</v>
      </c>
      <c r="F330" s="15" t="n">
        <v>1.54122638629529</v>
      </c>
      <c r="G330" s="16">
        <f>DEGREES(F330)</f>
        <v/>
      </c>
      <c r="H330" s="15" t="n">
        <v>3.697932993642158</v>
      </c>
      <c r="I330" s="16">
        <f>DEGREES(H330)</f>
        <v/>
      </c>
      <c r="J330" s="17" t="n">
        <v>0.6169256574960198</v>
      </c>
      <c r="K330" s="17" t="n">
        <v>0.1478497024980319</v>
      </c>
      <c r="L330" s="18">
        <f>$B$5*$B$3*$B$6*SIN(F330)</f>
        <v/>
      </c>
      <c r="M330" s="18">
        <f>$B$9*K330*(SIN(F330))^2 + $B$8*($B$10+K330*COS(F330))*COS(F330)</f>
        <v/>
      </c>
      <c r="N330" s="18">
        <f>0.5*$B$9*(J330^2 + (K330*SIN(F330))^2) + 0.5*$B$8*($B$10 + K330*COS(F330))^2</f>
        <v/>
      </c>
      <c r="O330" s="18">
        <f>$B$3*$B$6*$B$5*COS(F330)</f>
        <v/>
      </c>
      <c r="P330" s="18">
        <f>N330+O330</f>
        <v/>
      </c>
      <c r="Q330" s="19">
        <f>ABS(P330-$P$3)</f>
        <v/>
      </c>
    </row>
    <row r="331">
      <c r="D331" s="6" t="n">
        <v>329</v>
      </c>
      <c r="E331" s="7" t="n">
        <v>3.282344531808435</v>
      </c>
      <c r="F331" s="8" t="n">
        <v>1.54709787864878</v>
      </c>
      <c r="G331" s="9">
        <f>DEGREES(F331)</f>
        <v/>
      </c>
      <c r="H331" s="8" t="n">
        <v>3.699263122395497</v>
      </c>
      <c r="I331" s="9">
        <f>DEGREES(H331)</f>
        <v/>
      </c>
      <c r="J331" s="10" t="n">
        <v>0.5562269098118027</v>
      </c>
      <c r="K331" s="10" t="n">
        <v>0.1184922407305845</v>
      </c>
      <c r="L331" s="11">
        <f>$B$5*$B$3*$B$6*SIN(F331)</f>
        <v/>
      </c>
      <c r="M331" s="11">
        <f>$B$9*K331*(SIN(F331))^2 + $B$8*($B$10+K331*COS(F331))*COS(F331)</f>
        <v/>
      </c>
      <c r="N331" s="11">
        <f>0.5*$B$9*(J331^2 + (K331*SIN(F331))^2) + 0.5*$B$8*($B$10 + K331*COS(F331))^2</f>
        <v/>
      </c>
      <c r="O331" s="11">
        <f>$B$3*$B$6*$B$5*COS(F331)</f>
        <v/>
      </c>
      <c r="P331" s="11">
        <f>N331+O331</f>
        <v/>
      </c>
      <c r="Q331" s="12">
        <f>ABS(P331-$P$3)</f>
        <v/>
      </c>
    </row>
    <row r="332">
      <c r="D332" s="13" t="n">
        <v>330</v>
      </c>
      <c r="E332" s="14" t="n">
        <v>3.292351679771266</v>
      </c>
      <c r="F332" s="15" t="n">
        <v>1.552353050282376</v>
      </c>
      <c r="G332" s="16">
        <f>DEGREES(F332)</f>
        <v/>
      </c>
      <c r="H332" s="15" t="n">
        <v>3.700314812843621</v>
      </c>
      <c r="I332" s="16">
        <f>DEGREES(H332)</f>
        <v/>
      </c>
      <c r="J332" s="17" t="n">
        <v>0.4937817970772755</v>
      </c>
      <c r="K332" s="17" t="n">
        <v>0.09221638256260367</v>
      </c>
      <c r="L332" s="18">
        <f>$B$5*$B$3*$B$6*SIN(F332)</f>
        <v/>
      </c>
      <c r="M332" s="18">
        <f>$B$9*K332*(SIN(F332))^2 + $B$8*($B$10+K332*COS(F332))*COS(F332)</f>
        <v/>
      </c>
      <c r="N332" s="18">
        <f>0.5*$B$9*(J332^2 + (K332*SIN(F332))^2) + 0.5*$B$8*($B$10 + K332*COS(F332))^2</f>
        <v/>
      </c>
      <c r="O332" s="18">
        <f>$B$3*$B$6*$B$5*COS(F332)</f>
        <v/>
      </c>
      <c r="P332" s="18">
        <f>N332+O332</f>
        <v/>
      </c>
      <c r="Q332" s="19">
        <f>ABS(P332-$P$3)</f>
        <v/>
      </c>
    </row>
    <row r="333">
      <c r="D333" s="6" t="n">
        <v>331</v>
      </c>
      <c r="E333" s="7" t="n">
        <v>3.302358827734096</v>
      </c>
      <c r="F333" s="8" t="n">
        <v>1.556975401728123</v>
      </c>
      <c r="G333" s="9">
        <f>DEGREES(F333)</f>
        <v/>
      </c>
      <c r="H333" s="8" t="n">
        <v>3.701119324012392</v>
      </c>
      <c r="I333" s="9">
        <f>DEGREES(H333)</f>
        <v/>
      </c>
      <c r="J333" s="10" t="n">
        <v>0.429786375902647</v>
      </c>
      <c r="K333" s="10" t="n">
        <v>0.06910462533386719</v>
      </c>
      <c r="L333" s="11">
        <f>$B$5*$B$3*$B$6*SIN(F333)</f>
        <v/>
      </c>
      <c r="M333" s="11">
        <f>$B$9*K333*(SIN(F333))^2 + $B$8*($B$10+K333*COS(F333))*COS(F333)</f>
        <v/>
      </c>
      <c r="N333" s="11">
        <f>0.5*$B$9*(J333^2 + (K333*SIN(F333))^2) + 0.5*$B$8*($B$10 + K333*COS(F333))^2</f>
        <v/>
      </c>
      <c r="O333" s="11">
        <f>$B$3*$B$6*$B$5*COS(F333)</f>
        <v/>
      </c>
      <c r="P333" s="11">
        <f>N333+O333</f>
        <v/>
      </c>
      <c r="Q333" s="12">
        <f>ABS(P333-$P$3)</f>
        <v/>
      </c>
    </row>
    <row r="334">
      <c r="D334" s="13" t="n">
        <v>332</v>
      </c>
      <c r="E334" s="14" t="n">
        <v>3.312365975696927</v>
      </c>
      <c r="F334" s="15" t="n">
        <v>1.560950420360199</v>
      </c>
      <c r="G334" s="16">
        <f>DEGREES(F334)</f>
        <v/>
      </c>
      <c r="H334" s="15" t="n">
        <v>3.70170869098731</v>
      </c>
      <c r="I334" s="16">
        <f>DEGREES(H334)</f>
        <v/>
      </c>
      <c r="J334" s="17" t="n">
        <v>0.364441570344167</v>
      </c>
      <c r="K334" s="17" t="n">
        <v>0.04922953217348947</v>
      </c>
      <c r="L334" s="18">
        <f>$B$5*$B$3*$B$6*SIN(F334)</f>
        <v/>
      </c>
      <c r="M334" s="18">
        <f>$B$9*K334*(SIN(F334))^2 + $B$8*($B$10+K334*COS(F334))*COS(F334)</f>
        <v/>
      </c>
      <c r="N334" s="18">
        <f>0.5*$B$9*(J334^2 + (K334*SIN(F334))^2) + 0.5*$B$8*($B$10 + K334*COS(F334))^2</f>
        <v/>
      </c>
      <c r="O334" s="18">
        <f>$B$3*$B$6*$B$5*COS(F334)</f>
        <v/>
      </c>
      <c r="P334" s="18">
        <f>N334+O334</f>
        <v/>
      </c>
      <c r="Q334" s="19">
        <f>ABS(P334-$P$3)</f>
        <v/>
      </c>
    </row>
    <row r="335">
      <c r="D335" s="6" t="n">
        <v>333</v>
      </c>
      <c r="E335" s="7" t="n">
        <v>3.322373123659757</v>
      </c>
      <c r="F335" s="8" t="n">
        <v>1.564265625959665</v>
      </c>
      <c r="G335" s="9">
        <f>DEGREES(F335)</f>
        <v/>
      </c>
      <c r="H335" s="8" t="n">
        <v>3.702115624334139</v>
      </c>
      <c r="I335" s="9">
        <f>DEGREES(H335)</f>
        <v/>
      </c>
      <c r="J335" s="10" t="n">
        <v>0.2979525410703207</v>
      </c>
      <c r="K335" s="10" t="n">
        <v>0.03265350417615931</v>
      </c>
      <c r="L335" s="11">
        <f>$B$5*$B$3*$B$6*SIN(F335)</f>
        <v/>
      </c>
      <c r="M335" s="11">
        <f>$B$9*K335*(SIN(F335))^2 + $B$8*($B$10+K335*COS(F335))*COS(F335)</f>
        <v/>
      </c>
      <c r="N335" s="11">
        <f>0.5*$B$9*(J335^2 + (K335*SIN(F335))^2) + 0.5*$B$8*($B$10 + K335*COS(F335))^2</f>
        <v/>
      </c>
      <c r="O335" s="11">
        <f>$B$3*$B$6*$B$5*COS(F335)</f>
        <v/>
      </c>
      <c r="P335" s="11">
        <f>N335+O335</f>
        <v/>
      </c>
      <c r="Q335" s="12">
        <f>ABS(P335-$P$3)</f>
        <v/>
      </c>
    </row>
    <row r="336">
      <c r="D336" s="13" t="n">
        <v>334</v>
      </c>
      <c r="E336" s="14" t="n">
        <v>3.332380271622588</v>
      </c>
      <c r="F336" s="15" t="n">
        <v>1.566910609898151</v>
      </c>
      <c r="G336" s="16">
        <f>DEGREES(F336)</f>
        <v/>
      </c>
      <c r="H336" s="15" t="n">
        <v>3.702373407398762</v>
      </c>
      <c r="I336" s="16">
        <f>DEGREES(H336)</f>
        <v/>
      </c>
      <c r="J336" s="17" t="n">
        <v>0.2305280412264735</v>
      </c>
      <c r="K336" s="17" t="n">
        <v>0.01942858448372808</v>
      </c>
      <c r="L336" s="18">
        <f>$B$5*$B$3*$B$6*SIN(F336)</f>
        <v/>
      </c>
      <c r="M336" s="18">
        <f>$B$9*K336*(SIN(F336))^2 + $B$8*($B$10+K336*COS(F336))*COS(F336)</f>
        <v/>
      </c>
      <c r="N336" s="18">
        <f>0.5*$B$9*(J336^2 + (K336*SIN(F336))^2) + 0.5*$B$8*($B$10 + K336*COS(F336))^2</f>
        <v/>
      </c>
      <c r="O336" s="18">
        <f>$B$3*$B$6*$B$5*COS(F336)</f>
        <v/>
      </c>
      <c r="P336" s="18">
        <f>N336+O336</f>
        <v/>
      </c>
      <c r="Q336" s="19">
        <f>ABS(P336-$P$3)</f>
        <v/>
      </c>
    </row>
    <row r="337">
      <c r="D337" s="6" t="n">
        <v>335</v>
      </c>
      <c r="E337" s="7" t="n">
        <v>3.342387419585418</v>
      </c>
      <c r="F337" s="8" t="n">
        <v>1.568877067817441</v>
      </c>
      <c r="G337" s="9">
        <f>DEGREES(F337)</f>
        <v/>
      </c>
      <c r="H337" s="8" t="n">
        <v>3.702515791808678</v>
      </c>
      <c r="I337" s="9">
        <f>DEGREES(H337)</f>
        <v/>
      </c>
      <c r="J337" s="10" t="n">
        <v>0.1623797610203045</v>
      </c>
      <c r="K337" s="10" t="n">
        <v>0.009596294887276091</v>
      </c>
      <c r="L337" s="11">
        <f>$B$5*$B$3*$B$6*SIN(F337)</f>
        <v/>
      </c>
      <c r="M337" s="11">
        <f>$B$9*K337*(SIN(F337))^2 + $B$8*($B$10+K337*COS(F337))*COS(F337)</f>
        <v/>
      </c>
      <c r="N337" s="11">
        <f>0.5*$B$9*(J337^2 + (K337*SIN(F337))^2) + 0.5*$B$8*($B$10 + K337*COS(F337))^2</f>
        <v/>
      </c>
      <c r="O337" s="11">
        <f>$B$3*$B$6*$B$5*COS(F337)</f>
        <v/>
      </c>
      <c r="P337" s="11">
        <f>N337+O337</f>
        <v/>
      </c>
      <c r="Q337" s="12">
        <f>ABS(P337-$P$3)</f>
        <v/>
      </c>
    </row>
    <row r="338">
      <c r="D338" s="13" t="n">
        <v>336</v>
      </c>
      <c r="E338" s="14" t="n">
        <v>3.352394567548249</v>
      </c>
      <c r="F338" s="15" t="n">
        <v>1.570158825702358</v>
      </c>
      <c r="G338" s="16">
        <f>DEGREES(F338)</f>
        <v/>
      </c>
      <c r="H338" s="15" t="n">
        <v>3.702576891504276</v>
      </c>
      <c r="I338" s="16">
        <f>DEGREES(H338)</f>
        <v/>
      </c>
      <c r="J338" s="17" t="n">
        <v>0.09372166308593634</v>
      </c>
      <c r="K338" s="17" t="n">
        <v>0.003187505462690643</v>
      </c>
      <c r="L338" s="18">
        <f>$B$5*$B$3*$B$6*SIN(F338)</f>
        <v/>
      </c>
      <c r="M338" s="18">
        <f>$B$9*K338*(SIN(F338))^2 + $B$8*($B$10+K338*COS(F338))*COS(F338)</f>
        <v/>
      </c>
      <c r="N338" s="18">
        <f>0.5*$B$9*(J338^2 + (K338*SIN(F338))^2) + 0.5*$B$8*($B$10 + K338*COS(F338))^2</f>
        <v/>
      </c>
      <c r="O338" s="18">
        <f>$B$3*$B$6*$B$5*COS(F338)</f>
        <v/>
      </c>
      <c r="P338" s="18">
        <f>N338+O338</f>
        <v/>
      </c>
      <c r="Q338" s="19">
        <f>ABS(P338-$P$3)</f>
        <v/>
      </c>
    </row>
    <row r="339">
      <c r="D339" s="6" t="n">
        <v>337</v>
      </c>
      <c r="E339" s="7" t="n">
        <v>3.362401715511079</v>
      </c>
      <c r="F339" s="8" t="n">
        <v>1.570751859265092</v>
      </c>
      <c r="G339" s="9">
        <f>DEGREES(F339)</f>
        <v/>
      </c>
      <c r="H339" s="8" t="n">
        <v>3.702591075632555</v>
      </c>
      <c r="I339" s="9">
        <f>DEGREES(H339)</f>
        <v/>
      </c>
      <c r="J339" s="10" t="n">
        <v>0.02476931071334687</v>
      </c>
      <c r="K339" s="10" t="n">
        <v>0.0002223376490251283</v>
      </c>
      <c r="L339" s="11">
        <f>$B$5*$B$3*$B$6*SIN(F339)</f>
        <v/>
      </c>
      <c r="M339" s="11">
        <f>$B$9*K339*(SIN(F339))^2 + $B$8*($B$10+K339*COS(F339))*COS(F339)</f>
        <v/>
      </c>
      <c r="N339" s="11">
        <f>0.5*$B$9*(J339^2 + (K339*SIN(F339))^2) + 0.5*$B$8*($B$10 + K339*COS(F339))^2</f>
        <v/>
      </c>
      <c r="O339" s="11">
        <f>$B$3*$B$6*$B$5*COS(F339)</f>
        <v/>
      </c>
      <c r="P339" s="11">
        <f>N339+O339</f>
        <v/>
      </c>
      <c r="Q339" s="12">
        <f>ABS(P339-$P$3)</f>
        <v/>
      </c>
    </row>
    <row r="340">
      <c r="D340" s="13" t="n">
        <v>338</v>
      </c>
      <c r="E340" s="14" t="n">
        <v>3.37240886347391</v>
      </c>
      <c r="F340" s="15" t="n">
        <v>1.570654306580104</v>
      </c>
      <c r="G340" s="16">
        <f>DEGREES(F340)</f>
        <v/>
      </c>
      <c r="H340" s="15" t="n">
        <v>3.702592860639587</v>
      </c>
      <c r="I340" s="16">
        <f>DEGREES(H340)</f>
        <v/>
      </c>
      <c r="J340" s="17" t="n">
        <v>-0.0442608089477125</v>
      </c>
      <c r="K340" s="17" t="n">
        <v>0.0007101010739638536</v>
      </c>
      <c r="L340" s="18">
        <f>$B$5*$B$3*$B$6*SIN(F340)</f>
        <v/>
      </c>
      <c r="M340" s="18">
        <f>$B$9*K340*(SIN(F340))^2 + $B$8*($B$10+K340*COS(F340))*COS(F340)</f>
        <v/>
      </c>
      <c r="N340" s="18">
        <f>0.5*$B$9*(J340^2 + (K340*SIN(F340))^2) + 0.5*$B$8*($B$10 + K340*COS(F340))^2</f>
        <v/>
      </c>
      <c r="O340" s="18">
        <f>$B$3*$B$6*$B$5*COS(F340)</f>
        <v/>
      </c>
      <c r="P340" s="18">
        <f>N340+O340</f>
        <v/>
      </c>
      <c r="Q340" s="19">
        <f>ABS(P340-$P$3)</f>
        <v/>
      </c>
    </row>
    <row r="341">
      <c r="D341" s="6" t="n">
        <v>339</v>
      </c>
      <c r="E341" s="7" t="n">
        <v>3.382416011436741</v>
      </c>
      <c r="F341" s="8" t="n">
        <v>1.569866473929951</v>
      </c>
      <c r="G341" s="9">
        <f>DEGREES(F341)</f>
        <v/>
      </c>
      <c r="H341" s="8" t="n">
        <v>3.702616801900503</v>
      </c>
      <c r="I341" s="9">
        <f>DEGREES(H341)</f>
        <v/>
      </c>
      <c r="J341" s="10" t="n">
        <v>-0.1131519645844119</v>
      </c>
      <c r="K341" s="10" t="n">
        <v>0.004649264324726898</v>
      </c>
      <c r="L341" s="11">
        <f>$B$5*$B$3*$B$6*SIN(F341)</f>
        <v/>
      </c>
      <c r="M341" s="11">
        <f>$B$9*K341*(SIN(F341))^2 + $B$8*($B$10+K341*COS(F341))*COS(F341)</f>
        <v/>
      </c>
      <c r="N341" s="11">
        <f>0.5*$B$9*(J341^2 + (K341*SIN(F341))^2) + 0.5*$B$8*($B$10 + K341*COS(F341))^2</f>
        <v/>
      </c>
      <c r="O341" s="11">
        <f>$B$3*$B$6*$B$5*COS(F341)</f>
        <v/>
      </c>
      <c r="P341" s="11">
        <f>N341+O341</f>
        <v/>
      </c>
      <c r="Q341" s="12">
        <f>ABS(P341-$P$3)</f>
        <v/>
      </c>
    </row>
    <row r="342">
      <c r="D342" s="13" t="n">
        <v>340</v>
      </c>
      <c r="E342" s="14" t="n">
        <v>3.392423159399571</v>
      </c>
      <c r="F342" s="15" t="n">
        <v>1.568390834843659</v>
      </c>
      <c r="G342" s="16">
        <f>DEGREES(F342)</f>
        <v/>
      </c>
      <c r="H342" s="15" t="n">
        <v>3.702697385227264</v>
      </c>
      <c r="I342" s="16">
        <f>DEGREES(H342)</f>
        <v/>
      </c>
      <c r="J342" s="17" t="n">
        <v>-0.1816878611841234</v>
      </c>
      <c r="K342" s="17" t="n">
        <v>0.01202745975619024</v>
      </c>
      <c r="L342" s="18">
        <f>$B$5*$B$3*$B$6*SIN(F342)</f>
        <v/>
      </c>
      <c r="M342" s="18">
        <f>$B$9*K342*(SIN(F342))^2 + $B$8*($B$10+K342*COS(F342))*COS(F342)</f>
        <v/>
      </c>
      <c r="N342" s="18">
        <f>0.5*$B$9*(J342^2 + (K342*SIN(F342))^2) + 0.5*$B$8*($B$10 + K342*COS(F342))^2</f>
        <v/>
      </c>
      <c r="O342" s="18">
        <f>$B$3*$B$6*$B$5*COS(F342)</f>
        <v/>
      </c>
      <c r="P342" s="18">
        <f>N342+O342</f>
        <v/>
      </c>
      <c r="Q342" s="19">
        <f>ABS(P342-$P$3)</f>
        <v/>
      </c>
    </row>
    <row r="343">
      <c r="D343" s="6" t="n">
        <v>341</v>
      </c>
      <c r="E343" s="7" t="n">
        <v>3.402430307362402</v>
      </c>
      <c r="F343" s="8" t="n">
        <v>1.566232022330671</v>
      </c>
      <c r="G343" s="9">
        <f>DEGREES(F343)</f>
        <v/>
      </c>
      <c r="H343" s="8" t="n">
        <v>3.702868918594834</v>
      </c>
      <c r="I343" s="9">
        <f>DEGREES(H343)</f>
        <v/>
      </c>
      <c r="J343" s="10" t="n">
        <v>-0.249653319127887</v>
      </c>
      <c r="K343" s="10" t="n">
        <v>0.02282152232112566</v>
      </c>
      <c r="L343" s="11">
        <f>$B$5*$B$3*$B$6*SIN(F343)</f>
        <v/>
      </c>
      <c r="M343" s="11">
        <f>$B$9*K343*(SIN(F343))^2 + $B$8*($B$10+K343*COS(F343))*COS(F343)</f>
        <v/>
      </c>
      <c r="N343" s="11">
        <f>0.5*$B$9*(J343^2 + (K343*SIN(F343))^2) + 0.5*$B$8*($B$10 + K343*COS(F343))^2</f>
        <v/>
      </c>
      <c r="O343" s="11">
        <f>$B$3*$B$6*$B$5*COS(F343)</f>
        <v/>
      </c>
      <c r="P343" s="11">
        <f>N343+O343</f>
        <v/>
      </c>
      <c r="Q343" s="12">
        <f>ABS(P343-$P$3)</f>
        <v/>
      </c>
    </row>
    <row r="344">
      <c r="D344" s="13" t="n">
        <v>342</v>
      </c>
      <c r="E344" s="14" t="n">
        <v>3.412437455325232</v>
      </c>
      <c r="F344" s="15" t="n">
        <v>1.563396814334769</v>
      </c>
      <c r="G344" s="16">
        <f>DEGREES(F344)</f>
        <v/>
      </c>
      <c r="H344" s="15" t="n">
        <v>3.703165424425697</v>
      </c>
      <c r="I344" s="16">
        <f>DEGREES(H344)</f>
        <v/>
      </c>
      <c r="J344" s="17" t="n">
        <v>-0.3168349497818735</v>
      </c>
      <c r="K344" s="17" t="n">
        <v>0.03699756230064022</v>
      </c>
      <c r="L344" s="18">
        <f>$B$5*$B$3*$B$6*SIN(F344)</f>
        <v/>
      </c>
      <c r="M344" s="18">
        <f>$B$9*K344*(SIN(F344))^2 + $B$8*($B$10+K344*COS(F344))*COS(F344)</f>
        <v/>
      </c>
      <c r="N344" s="18">
        <f>0.5*$B$9*(J344^2 + (K344*SIN(F344))^2) + 0.5*$B$8*($B$10 + K344*COS(F344))^2</f>
        <v/>
      </c>
      <c r="O344" s="18">
        <f>$B$3*$B$6*$B$5*COS(F344)</f>
        <v/>
      </c>
      <c r="P344" s="18">
        <f>N344+O344</f>
        <v/>
      </c>
      <c r="Q344" s="19">
        <f>ABS(P344-$P$3)</f>
        <v/>
      </c>
    </row>
    <row r="345">
      <c r="D345" s="6" t="n">
        <v>343</v>
      </c>
      <c r="E345" s="7" t="n">
        <v>3.422444603288063</v>
      </c>
      <c r="F345" s="8" t="n">
        <v>1.559894112453602</v>
      </c>
      <c r="G345" s="9">
        <f>DEGREES(F345)</f>
        <v/>
      </c>
      <c r="H345" s="8" t="n">
        <v>3.703620532770919</v>
      </c>
      <c r="I345" s="9">
        <f>DEGREES(H345)</f>
        <v/>
      </c>
      <c r="J345" s="10" t="n">
        <v>-0.3830218254658012</v>
      </c>
      <c r="K345" s="10" t="n">
        <v>0.05451107170647318</v>
      </c>
      <c r="L345" s="11">
        <f>$B$5*$B$3*$B$6*SIN(F345)</f>
        <v/>
      </c>
      <c r="M345" s="11">
        <f>$B$9*K345*(SIN(F345))^2 + $B$8*($B$10+K345*COS(F345))*COS(F345)</f>
        <v/>
      </c>
      <c r="N345" s="11">
        <f>0.5*$B$9*(J345^2 + (K345*SIN(F345))^2) + 0.5*$B$8*($B$10 + K345*COS(F345))^2</f>
        <v/>
      </c>
      <c r="O345" s="11">
        <f>$B$3*$B$6*$B$5*COS(F345)</f>
        <v/>
      </c>
      <c r="P345" s="11">
        <f>N345+O345</f>
        <v/>
      </c>
      <c r="Q345" s="12">
        <f>ABS(P345-$P$3)</f>
        <v/>
      </c>
    </row>
    <row r="346">
      <c r="D346" s="13" t="n">
        <v>344</v>
      </c>
      <c r="E346" s="14" t="n">
        <v>3.432451751250894</v>
      </c>
      <c r="F346" s="15" t="n">
        <v>1.55573491399068</v>
      </c>
      <c r="G346" s="16">
        <f>DEGREES(F346)</f>
        <v/>
      </c>
      <c r="H346" s="15" t="n">
        <v>3.704267375723119</v>
      </c>
      <c r="I346" s="16">
        <f>DEGREES(H346)</f>
        <v/>
      </c>
      <c r="J346" s="17" t="n">
        <v>-0.4480061416947652</v>
      </c>
      <c r="K346" s="17" t="n">
        <v>0.07530706402108089</v>
      </c>
      <c r="L346" s="18">
        <f>$B$5*$B$3*$B$6*SIN(F346)</f>
        <v/>
      </c>
      <c r="M346" s="18">
        <f>$B$9*K346*(SIN(F346))^2 + $B$8*($B$10+K346*COS(F346))*COS(F346)</f>
        <v/>
      </c>
      <c r="N346" s="18">
        <f>0.5*$B$9*(J346^2 + (K346*SIN(F346))^2) + 0.5*$B$8*($B$10 + K346*COS(F346))^2</f>
        <v/>
      </c>
      <c r="O346" s="18">
        <f>$B$3*$B$6*$B$5*COS(F346)</f>
        <v/>
      </c>
      <c r="P346" s="18">
        <f>N346+O346</f>
        <v/>
      </c>
      <c r="Q346" s="19">
        <f>ABS(P346-$P$3)</f>
        <v/>
      </c>
    </row>
    <row r="347">
      <c r="D347" s="6" t="n">
        <v>345</v>
      </c>
      <c r="E347" s="7" t="n">
        <v>3.442458899213724</v>
      </c>
      <c r="F347" s="8" t="n">
        <v>1.550932277427543</v>
      </c>
      <c r="G347" s="9">
        <f>DEGREES(F347)</f>
        <v/>
      </c>
      <c r="H347" s="8" t="n">
        <v>3.705138483392863</v>
      </c>
      <c r="I347" s="9">
        <f>DEGREES(H347)</f>
        <v/>
      </c>
      <c r="J347" s="10" t="n">
        <v>-0.511583869615287</v>
      </c>
      <c r="K347" s="10" t="n">
        <v>0.09932024683676977</v>
      </c>
      <c r="L347" s="11">
        <f>$B$5*$B$3*$B$6*SIN(F347)</f>
        <v/>
      </c>
      <c r="M347" s="11">
        <f>$B$9*K347*(SIN(F347))^2 + $B$8*($B$10+K347*COS(F347))*COS(F347)</f>
        <v/>
      </c>
      <c r="N347" s="11">
        <f>0.5*$B$9*(J347^2 + (K347*SIN(F347))^2) + 0.5*$B$8*($B$10 + K347*COS(F347))^2</f>
        <v/>
      </c>
      <c r="O347" s="11">
        <f>$B$3*$B$6*$B$5*COS(F347)</f>
        <v/>
      </c>
      <c r="P347" s="11">
        <f>N347+O347</f>
        <v/>
      </c>
      <c r="Q347" s="12">
        <f>ABS(P347-$P$3)</f>
        <v/>
      </c>
    </row>
    <row r="348">
      <c r="D348" s="13" t="n">
        <v>346</v>
      </c>
      <c r="E348" s="14" t="n">
        <v>3.452466047176555</v>
      </c>
      <c r="F348" s="15" t="n">
        <v>1.545501281424525</v>
      </c>
      <c r="G348" s="16">
        <f>DEGREES(F348)</f>
        <v/>
      </c>
      <c r="H348" s="15" t="n">
        <v>3.706265681775082</v>
      </c>
      <c r="I348" s="16">
        <f>DEGREES(H348)</f>
        <v/>
      </c>
      <c r="J348" s="17" t="n">
        <v>-0.5735553965871735</v>
      </c>
      <c r="K348" s="17" t="n">
        <v>0.126475226851859</v>
      </c>
      <c r="L348" s="18">
        <f>$B$5*$B$3*$B$6*SIN(F348)</f>
        <v/>
      </c>
      <c r="M348" s="18">
        <f>$B$9*K348*(SIN(F348))^2 + $B$8*($B$10+K348*COS(F348))*COS(F348)</f>
        <v/>
      </c>
      <c r="N348" s="18">
        <f>0.5*$B$9*(J348^2 + (K348*SIN(F348))^2) + 0.5*$B$8*($B$10 + K348*COS(F348))^2</f>
        <v/>
      </c>
      <c r="O348" s="18">
        <f>$B$3*$B$6*$B$5*COS(F348)</f>
        <v/>
      </c>
      <c r="P348" s="18">
        <f>N348+O348</f>
        <v/>
      </c>
      <c r="Q348" s="19">
        <f>ABS(P348-$P$3)</f>
        <v/>
      </c>
    </row>
    <row r="349">
      <c r="D349" s="6" t="n">
        <v>347</v>
      </c>
      <c r="E349" s="7" t="n">
        <v>3.462473195139386</v>
      </c>
      <c r="F349" s="8" t="n">
        <v>1.53945897747885</v>
      </c>
      <c r="G349" s="9">
        <f>DEGREES(F349)</f>
        <v/>
      </c>
      <c r="H349" s="8" t="n">
        <v>3.70767999282617</v>
      </c>
      <c r="I349" s="9">
        <f>DEGREES(H349)</f>
        <v/>
      </c>
      <c r="J349" s="10" t="n">
        <v>-0.6337261528999141</v>
      </c>
      <c r="K349" s="10" t="n">
        <v>0.156686746580232</v>
      </c>
      <c r="L349" s="11">
        <f>$B$5*$B$3*$B$6*SIN(F349)</f>
        <v/>
      </c>
      <c r="M349" s="11">
        <f>$B$9*K349*(SIN(F349))^2 + $B$8*($B$10+K349*COS(F349))*COS(F349)</f>
        <v/>
      </c>
      <c r="N349" s="11">
        <f>0.5*$B$9*(J349^2 + (K349*SIN(F349))^2) + 0.5*$B$8*($B$10 + K349*COS(F349))^2</f>
        <v/>
      </c>
      <c r="O349" s="11">
        <f>$B$3*$B$6*$B$5*COS(F349)</f>
        <v/>
      </c>
      <c r="P349" s="11">
        <f>N349+O349</f>
        <v/>
      </c>
      <c r="Q349" s="12">
        <f>ABS(P349-$P$3)</f>
        <v/>
      </c>
    </row>
    <row r="350">
      <c r="D350" s="13" t="n">
        <v>348</v>
      </c>
      <c r="E350" s="14" t="n">
        <v>3.472480343102216</v>
      </c>
      <c r="F350" s="15" t="n">
        <v>1.532824336388673</v>
      </c>
      <c r="G350" s="16">
        <f>DEGREES(F350)</f>
        <v/>
      </c>
      <c r="H350" s="15" t="n">
        <v>3.709411537065496</v>
      </c>
      <c r="I350" s="16">
        <f>DEGREES(H350)</f>
        <v/>
      </c>
      <c r="J350" s="17" t="n">
        <v>-0.6919072226560185</v>
      </c>
      <c r="K350" s="17" t="n">
        <v>0.1898599520311169</v>
      </c>
      <c r="L350" s="18">
        <f>$B$5*$B$3*$B$6*SIN(F350)</f>
        <v/>
      </c>
      <c r="M350" s="18">
        <f>$B$9*K350*(SIN(F350))^2 + $B$8*($B$10+K350*COS(F350))*COS(F350)</f>
        <v/>
      </c>
      <c r="N350" s="18">
        <f>0.5*$B$9*(J350^2 + (K350*SIN(F350))^2) + 0.5*$B$8*($B$10 + K350*COS(F350))^2</f>
        <v/>
      </c>
      <c r="O350" s="18">
        <f>$B$3*$B$6*$B$5*COS(F350)</f>
        <v/>
      </c>
      <c r="P350" s="18">
        <f>N350+O350</f>
        <v/>
      </c>
      <c r="Q350" s="19">
        <f>ABS(P350-$P$3)</f>
        <v/>
      </c>
    </row>
    <row r="351">
      <c r="D351" s="6" t="n">
        <v>349</v>
      </c>
      <c r="E351" s="7" t="n">
        <v>3.482487491065047</v>
      </c>
      <c r="F351" s="8" t="n">
        <v>1.525618188691166</v>
      </c>
      <c r="G351" s="9">
        <f>DEGREES(F351)</f>
        <v/>
      </c>
      <c r="H351" s="8" t="n">
        <v>3.711489439007128</v>
      </c>
      <c r="I351" s="9">
        <f>DEGREES(H351)</f>
        <v/>
      </c>
      <c r="J351" s="10" t="n">
        <v>-0.747915936903267</v>
      </c>
      <c r="K351" s="10" t="n">
        <v>0.2258906905186506</v>
      </c>
      <c r="L351" s="11">
        <f>$B$5*$B$3*$B$6*SIN(F351)</f>
        <v/>
      </c>
      <c r="M351" s="11">
        <f>$B$9*K351*(SIN(F351))^2 + $B$8*($B$10+K351*COS(F351))*COS(F351)</f>
        <v/>
      </c>
      <c r="N351" s="11">
        <f>0.5*$B$9*(J351^2 + (K351*SIN(F351))^2) + 0.5*$B$8*($B$10 + K351*COS(F351))^2</f>
        <v/>
      </c>
      <c r="O351" s="11">
        <f>$B$3*$B$6*$B$5*COS(F351)</f>
        <v/>
      </c>
      <c r="P351" s="11">
        <f>N351+O351</f>
        <v/>
      </c>
      <c r="Q351" s="12">
        <f>ABS(P351-$P$3)</f>
        <v/>
      </c>
    </row>
    <row r="352">
      <c r="D352" s="13" t="n">
        <v>350</v>
      </c>
      <c r="E352" s="14" t="n">
        <v>3.492494639027877</v>
      </c>
      <c r="F352" s="15" t="n">
        <v>1.517863159261654</v>
      </c>
      <c r="G352" s="16">
        <f>DEGREES(F352)</f>
        <v/>
      </c>
      <c r="H352" s="15" t="n">
        <v>3.713941735718666</v>
      </c>
      <c r="I352" s="16">
        <f>DEGREES(H352)</f>
        <v/>
      </c>
      <c r="J352" s="17" t="n">
        <v>-0.8015764471536617</v>
      </c>
      <c r="K352" s="17" t="n">
        <v>0.2646658376662137</v>
      </c>
      <c r="L352" s="18">
        <f>$B$5*$B$3*$B$6*SIN(F352)</f>
        <v/>
      </c>
      <c r="M352" s="18">
        <f>$B$9*K352*(SIN(F352))^2 + $B$8*($B$10+K352*COS(F352))*COS(F352)</f>
        <v/>
      </c>
      <c r="N352" s="18">
        <f>0.5*$B$9*(J352^2 + (K352*SIN(F352))^2) + 0.5*$B$8*($B$10 + K352*COS(F352))^2</f>
        <v/>
      </c>
      <c r="O352" s="18">
        <f>$B$3*$B$6*$B$5*COS(F352)</f>
        <v/>
      </c>
      <c r="P352" s="18">
        <f>N352+O352</f>
        <v/>
      </c>
      <c r="Q352" s="19">
        <f>ABS(P352-$P$3)</f>
        <v/>
      </c>
    </row>
    <row r="353">
      <c r="D353" s="6" t="n">
        <v>351</v>
      </c>
      <c r="E353" s="7" t="n">
        <v>3.502501786990708</v>
      </c>
      <c r="F353" s="8" t="n">
        <v>1.509583596279127</v>
      </c>
      <c r="G353" s="9">
        <f>DEGREES(F353)</f>
        <v/>
      </c>
      <c r="H353" s="8" t="n">
        <v>3.716795288794304</v>
      </c>
      <c r="I353" s="9">
        <f>DEGREES(H353)</f>
        <v/>
      </c>
      <c r="J353" s="10" t="n">
        <v>-0.8527202774884151</v>
      </c>
      <c r="K353" s="10" t="n">
        <v>0.3060636525788472</v>
      </c>
      <c r="L353" s="11">
        <f>$B$5*$B$3*$B$6*SIN(F353)</f>
        <v/>
      </c>
      <c r="M353" s="11">
        <f>$B$9*K353*(SIN(F353))^2 + $B$8*($B$10+K353*COS(F353))*COS(F353)</f>
        <v/>
      </c>
      <c r="N353" s="11">
        <f>0.5*$B$9*(J353^2 + (K353*SIN(F353))^2) + 0.5*$B$8*($B$10 + K353*COS(F353))^2</f>
        <v/>
      </c>
      <c r="O353" s="11">
        <f>$B$3*$B$6*$B$5*COS(F353)</f>
        <v/>
      </c>
      <c r="P353" s="11">
        <f>N353+O353</f>
        <v/>
      </c>
      <c r="Q353" s="12">
        <f>ABS(P353-$P$3)</f>
        <v/>
      </c>
    </row>
    <row r="354">
      <c r="D354" s="13" t="n">
        <v>352</v>
      </c>
      <c r="E354" s="14" t="n">
        <v>3.512508934953539</v>
      </c>
      <c r="F354" s="15" t="n">
        <v>1.500805494781166</v>
      </c>
      <c r="G354" s="16">
        <f>DEGREES(F354)</f>
        <v/>
      </c>
      <c r="H354" s="15" t="n">
        <v>3.720075700018476</v>
      </c>
      <c r="I354" s="16">
        <f>DEGREES(H354)</f>
        <v/>
      </c>
      <c r="J354" s="17" t="n">
        <v>-0.9011868535155755</v>
      </c>
      <c r="K354" s="17" t="n">
        <v>0.3499541600686507</v>
      </c>
      <c r="L354" s="18">
        <f>$B$5*$B$3*$B$6*SIN(F354)</f>
        <v/>
      </c>
      <c r="M354" s="18">
        <f>$B$9*K354*(SIN(F354))^2 + $B$8*($B$10+K354*COS(F354))*COS(F354)</f>
        <v/>
      </c>
      <c r="N354" s="18">
        <f>0.5*$B$9*(J354^2 + (K354*SIN(F354))^2) + 0.5*$B$8*($B$10 + K354*COS(F354))^2</f>
        <v/>
      </c>
      <c r="O354" s="18">
        <f>$B$3*$B$6*$B$5*COS(F354)</f>
        <v/>
      </c>
      <c r="P354" s="18">
        <f>N354+O354</f>
        <v/>
      </c>
      <c r="Q354" s="19">
        <f>ABS(P354-$P$3)</f>
        <v/>
      </c>
    </row>
    <row r="355">
      <c r="D355" s="6" t="n">
        <v>353</v>
      </c>
      <c r="E355" s="7" t="n">
        <v>3.522516082916369</v>
      </c>
      <c r="F355" s="8" t="n">
        <v>1.491556415048288</v>
      </c>
      <c r="G355" s="9">
        <f>DEGREES(F355)</f>
        <v/>
      </c>
      <c r="H355" s="8" t="n">
        <v>3.723807230984876</v>
      </c>
      <c r="I355" s="9">
        <f>DEGREES(H355)</f>
        <v/>
      </c>
      <c r="J355" s="10" t="n">
        <v>-0.9468240065194723</v>
      </c>
      <c r="K355" s="10" t="n">
        <v>0.3961995587330437</v>
      </c>
      <c r="L355" s="11">
        <f>$B$5*$B$3*$B$6*SIN(F355)</f>
        <v/>
      </c>
      <c r="M355" s="11">
        <f>$B$9*K355*(SIN(F355))^2 + $B$8*($B$10+K355*COS(F355))*COS(F355)</f>
        <v/>
      </c>
      <c r="N355" s="11">
        <f>0.5*$B$9*(J355^2 + (K355*SIN(F355))^2) + 0.5*$B$8*($B$10 + K355*COS(F355))^2</f>
        <v/>
      </c>
      <c r="O355" s="11">
        <f>$B$3*$B$6*$B$5*COS(F355)</f>
        <v/>
      </c>
      <c r="P355" s="11">
        <f>N355+O355</f>
        <v/>
      </c>
      <c r="Q355" s="12">
        <f>ABS(P355-$P$3)</f>
        <v/>
      </c>
    </row>
    <row r="356">
      <c r="D356" s="13" t="n">
        <v>354</v>
      </c>
      <c r="E356" s="14" t="n">
        <v>3.5325232308792</v>
      </c>
      <c r="F356" s="15" t="n">
        <v>1.481865396073946</v>
      </c>
      <c r="G356" s="16">
        <f>DEGREES(F356)</f>
        <v/>
      </c>
      <c r="H356" s="15" t="n">
        <v>3.728012726923237</v>
      </c>
      <c r="I356" s="16">
        <f>DEGREES(H356)</f>
        <v/>
      </c>
      <c r="J356" s="17" t="n">
        <v>-0.9894884512192329</v>
      </c>
      <c r="K356" s="17" t="n">
        <v>0.4446546536047552</v>
      </c>
      <c r="L356" s="18">
        <f>$B$5*$B$3*$B$6*SIN(F356)</f>
        <v/>
      </c>
      <c r="M356" s="18">
        <f>$B$9*K356*(SIN(F356))^2 + $B$8*($B$10+K356*COS(F356))*COS(F356)</f>
        <v/>
      </c>
      <c r="N356" s="18">
        <f>0.5*$B$9*(J356^2 + (K356*SIN(F356))^2) + 0.5*$B$8*($B$10 + K356*COS(F356))^2</f>
        <v/>
      </c>
      <c r="O356" s="18">
        <f>$B$3*$B$6*$B$5*COS(F356)</f>
        <v/>
      </c>
      <c r="P356" s="18">
        <f>N356+O356</f>
        <v/>
      </c>
      <c r="Q356" s="19">
        <f>ABS(P356-$P$3)</f>
        <v/>
      </c>
    </row>
    <row r="357">
      <c r="D357" s="6" t="n">
        <v>355</v>
      </c>
      <c r="E357" s="7" t="n">
        <v>3.54253037884203</v>
      </c>
      <c r="F357" s="8" t="n">
        <v>1.471762864391879</v>
      </c>
      <c r="G357" s="9">
        <f>DEGREES(F357)</f>
        <v/>
      </c>
      <c r="H357" s="8" t="n">
        <v>3.732713544973001</v>
      </c>
      <c r="I357" s="9">
        <f>DEGREES(H357)</f>
        <v/>
      </c>
      <c r="J357" s="10" t="n">
        <v>-1.029046235636272</v>
      </c>
      <c r="K357" s="10" t="n">
        <v>0.4951673120150896</v>
      </c>
      <c r="L357" s="11">
        <f>$B$5*$B$3*$B$6*SIN(F357)</f>
        <v/>
      </c>
      <c r="M357" s="11">
        <f>$B$9*K357*(SIN(F357))^2 + $B$8*($B$10+K357*COS(F357))*COS(F357)</f>
        <v/>
      </c>
      <c r="N357" s="11">
        <f>0.5*$B$9*(J357^2 + (K357*SIN(F357))^2) + 0.5*$B$8*($B$10 + K357*COS(F357))^2</f>
        <v/>
      </c>
      <c r="O357" s="11">
        <f>$B$3*$B$6*$B$5*COS(F357)</f>
        <v/>
      </c>
      <c r="P357" s="11">
        <f>N357+O357</f>
        <v/>
      </c>
      <c r="Q357" s="12">
        <f>ABS(P357-$P$3)</f>
        <v/>
      </c>
    </row>
    <row r="358">
      <c r="D358" s="13" t="n">
        <v>356</v>
      </c>
      <c r="E358" s="14" t="n">
        <v>3.552537526804861</v>
      </c>
      <c r="F358" s="15" t="n">
        <v>1.461280538547052</v>
      </c>
      <c r="G358" s="16">
        <f>DEGREES(F358)</f>
        <v/>
      </c>
      <c r="H358" s="15" t="n">
        <v>3.737929487129104</v>
      </c>
      <c r="I358" s="16">
        <f>DEGREES(H358)</f>
        <v/>
      </c>
      <c r="J358" s="17" t="n">
        <v>-1.065373161658351</v>
      </c>
      <c r="K358" s="17" t="n">
        <v>0.5475789412392222</v>
      </c>
      <c r="L358" s="18">
        <f>$B$5*$B$3*$B$6*SIN(F358)</f>
        <v/>
      </c>
      <c r="M358" s="18">
        <f>$B$9*K358*(SIN(F358))^2 + $B$8*($B$10+K358*COS(F358))*COS(F358)</f>
        <v/>
      </c>
      <c r="N358" s="18">
        <f>0.5*$B$9*(J358^2 + (K358*SIN(F358))^2) + 0.5*$B$8*($B$10 + K358*COS(F358))^2</f>
        <v/>
      </c>
      <c r="O358" s="18">
        <f>$B$3*$B$6*$B$5*COS(F358)</f>
        <v/>
      </c>
      <c r="P358" s="18">
        <f>N358+O358</f>
        <v/>
      </c>
      <c r="Q358" s="19">
        <f>ABS(P358-$P$3)</f>
        <v/>
      </c>
    </row>
    <row r="359">
      <c r="D359" s="6" t="n">
        <v>357</v>
      </c>
      <c r="E359" s="7" t="n">
        <v>3.562544674767691</v>
      </c>
      <c r="F359" s="8" t="n">
        <v>1.450451329510112</v>
      </c>
      <c r="G359" s="9">
        <f>DEGREES(F359)</f>
        <v/>
      </c>
      <c r="H359" s="8" t="n">
        <v>3.743678738070385</v>
      </c>
      <c r="I359" s="9">
        <f>DEGREES(H359)</f>
        <v/>
      </c>
      <c r="J359" s="10" t="n">
        <v>-1.098355174979807</v>
      </c>
      <c r="K359" s="10" t="n">
        <v>0.6017249864239231</v>
      </c>
      <c r="L359" s="11">
        <f>$B$5*$B$3*$B$6*SIN(F359)</f>
        <v/>
      </c>
      <c r="M359" s="11">
        <f>$B$9*K359*(SIN(F359))^2 + $B$8*($B$10+K359*COS(F359))*COS(F359)</f>
        <v/>
      </c>
      <c r="N359" s="11">
        <f>0.5*$B$9*(J359^2 + (K359*SIN(F359))^2) + 0.5*$B$8*($B$10 + K359*COS(F359))^2</f>
        <v/>
      </c>
      <c r="O359" s="11">
        <f>$B$3*$B$6*$B$5*COS(F359)</f>
        <v/>
      </c>
      <c r="P359" s="11">
        <f>N359+O359</f>
        <v/>
      </c>
      <c r="Q359" s="12">
        <f>ABS(P359-$P$3)</f>
        <v/>
      </c>
    </row>
    <row r="360">
      <c r="D360" s="13" t="n">
        <v>358</v>
      </c>
      <c r="E360" s="14" t="n">
        <v>3.572551822730522</v>
      </c>
      <c r="F360" s="15" t="n">
        <v>1.439309237348029</v>
      </c>
      <c r="G360" s="16">
        <f>DEGREES(F360)</f>
        <v/>
      </c>
      <c r="H360" s="15" t="n">
        <v>3.749977808065815</v>
      </c>
      <c r="I360" s="16">
        <f>DEGREES(H360)</f>
        <v/>
      </c>
      <c r="J360" s="17" t="n">
        <v>-1.12788872319363</v>
      </c>
      <c r="K360" s="17" t="n">
        <v>0.6574354472343377</v>
      </c>
      <c r="L360" s="18">
        <f>$B$5*$B$3*$B$6*SIN(F360)</f>
        <v/>
      </c>
      <c r="M360" s="18">
        <f>$B$9*K360*(SIN(F360))^2 + $B$8*($B$10+K360*COS(F360))*COS(F360)</f>
        <v/>
      </c>
      <c r="N360" s="18">
        <f>0.5*$B$9*(J360^2 + (K360*SIN(F360))^2) + 0.5*$B$8*($B$10 + K360*COS(F360))^2</f>
        <v/>
      </c>
      <c r="O360" s="18">
        <f>$B$3*$B$6*$B$5*COS(F360)</f>
        <v/>
      </c>
      <c r="P360" s="18">
        <f>N360+O360</f>
        <v/>
      </c>
      <c r="Q360" s="19">
        <f>ABS(P360-$P$3)</f>
        <v/>
      </c>
    </row>
    <row r="361">
      <c r="D361" s="6" t="n">
        <v>359</v>
      </c>
      <c r="E361" s="7" t="n">
        <v>3.582558970693352</v>
      </c>
      <c r="F361" s="8" t="n">
        <v>1.427889244475347</v>
      </c>
      <c r="G361" s="9">
        <f>DEGREES(F361)</f>
        <v/>
      </c>
      <c r="H361" s="8" t="n">
        <v>3.756841481137827</v>
      </c>
      <c r="I361" s="9">
        <f>DEGREES(H361)</f>
        <v/>
      </c>
      <c r="J361" s="10" t="n">
        <v>-1.15388108091113</v>
      </c>
      <c r="K361" s="10" t="n">
        <v>0.7145354115977456</v>
      </c>
      <c r="L361" s="11">
        <f>$B$5*$B$3*$B$6*SIN(F361)</f>
        <v/>
      </c>
      <c r="M361" s="11">
        <f>$B$9*K361*(SIN(F361))^2 + $B$8*($B$10+K361*COS(F361))*COS(F361)</f>
        <v/>
      </c>
      <c r="N361" s="11">
        <f>0.5*$B$9*(J361^2 + (K361*SIN(F361))^2) + 0.5*$B$8*($B$10 + K361*COS(F361))^2</f>
        <v/>
      </c>
      <c r="O361" s="11">
        <f>$B$3*$B$6*$B$5*COS(F361)</f>
        <v/>
      </c>
      <c r="P361" s="11">
        <f>N361+O361</f>
        <v/>
      </c>
      <c r="Q361" s="12">
        <f>ABS(P361-$P$3)</f>
        <v/>
      </c>
    </row>
    <row r="362">
      <c r="D362" s="13" t="n">
        <v>360</v>
      </c>
      <c r="E362" s="14" t="n">
        <v>3.592566118656183</v>
      </c>
      <c r="F362" s="15" t="n">
        <v>1.416227205821189</v>
      </c>
      <c r="G362" s="16">
        <f>DEGREES(F362)</f>
        <v/>
      </c>
      <c r="H362" s="15" t="n">
        <v>3.764282768645461</v>
      </c>
      <c r="I362" s="16">
        <f>DEGREES(H362)</f>
        <v/>
      </c>
      <c r="J362" s="17" t="n">
        <v>-1.176250640888409</v>
      </c>
      <c r="K362" s="17" t="n">
        <v>0.7728456048685386</v>
      </c>
      <c r="L362" s="18">
        <f>$B$5*$B$3*$B$6*SIN(F362)</f>
        <v/>
      </c>
      <c r="M362" s="18">
        <f>$B$9*K362*(SIN(F362))^2 + $B$8*($B$10+K362*COS(F362))*COS(F362)</f>
        <v/>
      </c>
      <c r="N362" s="18">
        <f>0.5*$B$9*(J362^2 + (K362*SIN(F362))^2) + 0.5*$B$8*($B$10 + K362*COS(F362))^2</f>
        <v/>
      </c>
      <c r="O362" s="18">
        <f>$B$3*$B$6*$B$5*COS(F362)</f>
        <v/>
      </c>
      <c r="P362" s="18">
        <f>N362+O362</f>
        <v/>
      </c>
      <c r="Q362" s="19">
        <f>ABS(P362-$P$3)</f>
        <v/>
      </c>
    </row>
    <row r="363">
      <c r="D363" s="6" t="n">
        <v>361</v>
      </c>
      <c r="E363" s="7" t="n">
        <v>3.602573266619014</v>
      </c>
      <c r="F363" s="8" t="n">
        <v>1.404359736256862</v>
      </c>
      <c r="G363" s="9">
        <f>DEGREES(F363)</f>
        <v/>
      </c>
      <c r="H363" s="8" t="n">
        <v>3.772312868433084</v>
      </c>
      <c r="I363" s="9">
        <f>DEGREES(H363)</f>
        <v/>
      </c>
      <c r="J363" s="10" t="n">
        <v>-1.194927170245599</v>
      </c>
      <c r="K363" s="10" t="n">
        <v>0.8321829526901717</v>
      </c>
      <c r="L363" s="11">
        <f>$B$5*$B$3*$B$6*SIN(F363)</f>
        <v/>
      </c>
      <c r="M363" s="11">
        <f>$B$9*K363*(SIN(F363))^2 + $B$8*($B$10+K363*COS(F363))*COS(F363)</f>
        <v/>
      </c>
      <c r="N363" s="11">
        <f>0.5*$B$9*(J363^2 + (K363*SIN(F363))^2) + 0.5*$B$8*($B$10 + K363*COS(F363))^2</f>
        <v/>
      </c>
      <c r="O363" s="11">
        <f>$B$3*$B$6*$B$5*COS(F363)</f>
        <v/>
      </c>
      <c r="P363" s="11">
        <f>N363+O363</f>
        <v/>
      </c>
      <c r="Q363" s="12">
        <f>ABS(P363-$P$3)</f>
        <v/>
      </c>
    </row>
    <row r="364">
      <c r="D364" s="13" t="n">
        <v>362</v>
      </c>
      <c r="E364" s="14" t="n">
        <v>3.612580414581844</v>
      </c>
      <c r="F364" s="15" t="n">
        <v>1.392324095637504</v>
      </c>
      <c r="G364" s="16">
        <f>DEGREES(F364)</f>
        <v/>
      </c>
      <c r="H364" s="15" t="n">
        <v>3.78094112967293</v>
      </c>
      <c r="I364" s="16">
        <f>DEGREES(H364)</f>
        <v/>
      </c>
      <c r="J364" s="17" t="n">
        <v>-1.209852030974444</v>
      </c>
      <c r="K364" s="17" t="n">
        <v>0.8923611557869611</v>
      </c>
      <c r="L364" s="18">
        <f>$B$5*$B$3*$B$6*SIN(F364)</f>
        <v/>
      </c>
      <c r="M364" s="18">
        <f>$B$9*K364*(SIN(F364))^2 + $B$8*($B$10+K364*COS(F364))*COS(F364)</f>
        <v/>
      </c>
      <c r="N364" s="18">
        <f>0.5*$B$9*(J364^2 + (K364*SIN(F364))^2) + 0.5*$B$8*($B$10 + K364*COS(F364))^2</f>
        <v/>
      </c>
      <c r="O364" s="18">
        <f>$B$3*$B$6*$B$5*COS(F364)</f>
        <v/>
      </c>
      <c r="P364" s="18">
        <f>N364+O364</f>
        <v/>
      </c>
      <c r="Q364" s="19">
        <f>ABS(P364-$P$3)</f>
        <v/>
      </c>
    </row>
    <row r="365">
      <c r="D365" s="6" t="n">
        <v>363</v>
      </c>
      <c r="E365" s="7" t="n">
        <v>3.622587562544675</v>
      </c>
      <c r="F365" s="8" t="n">
        <v>1.380158071818692</v>
      </c>
      <c r="G365" s="9">
        <f>DEGREES(F365)</f>
        <v/>
      </c>
      <c r="H365" s="8" t="n">
        <v>3.790175023511853</v>
      </c>
      <c r="I365" s="9">
        <f>DEGREES(H365)</f>
        <v/>
      </c>
      <c r="J365" s="10" t="n">
        <v>-1.220978364041879</v>
      </c>
      <c r="K365" s="10" t="n">
        <v>0.9531912748810241</v>
      </c>
      <c r="L365" s="11">
        <f>$B$5*$B$3*$B$6*SIN(F365)</f>
        <v/>
      </c>
      <c r="M365" s="11">
        <f>$B$9*K365*(SIN(F365))^2 + $B$8*($B$10+K365*COS(F365))*COS(F365)</f>
        <v/>
      </c>
      <c r="N365" s="11">
        <f>0.5*$B$9*(J365^2 + (K365*SIN(F365))^2) + 0.5*$B$8*($B$10 + K365*COS(F365))^2</f>
        <v/>
      </c>
      <c r="O365" s="11">
        <f>$B$3*$B$6*$B$5*COS(F365)</f>
        <v/>
      </c>
      <c r="P365" s="11">
        <f>N365+O365</f>
        <v/>
      </c>
      <c r="Q365" s="12">
        <f>ABS(P365-$P$3)</f>
        <v/>
      </c>
    </row>
    <row r="366">
      <c r="D366" s="13" t="n">
        <v>364</v>
      </c>
      <c r="E366" s="14" t="n">
        <v>3.632594710507506</v>
      </c>
      <c r="F366" s="15" t="n">
        <v>1.367899862015308</v>
      </c>
      <c r="G366" s="16">
        <f>DEGREES(F366)</f>
        <v/>
      </c>
      <c r="H366" s="15" t="n">
        <v>3.800020119614442</v>
      </c>
      <c r="I366" s="16">
        <f>DEGREES(H366)</f>
        <v/>
      </c>
      <c r="J366" s="17" t="n">
        <v>-1.228271236511608</v>
      </c>
      <c r="K366" s="17" t="n">
        <v>1.01448232389794</v>
      </c>
      <c r="L366" s="18">
        <f>$B$5*$B$3*$B$6*SIN(F366)</f>
        <v/>
      </c>
      <c r="M366" s="18">
        <f>$B$9*K366*(SIN(F366))^2 + $B$8*($B$10+K366*COS(F366))*COS(F366)</f>
        <v/>
      </c>
      <c r="N366" s="18">
        <f>0.5*$B$9*(J366^2 + (K366*SIN(F366))^2) + 0.5*$B$8*($B$10 + K366*COS(F366))^2</f>
        <v/>
      </c>
      <c r="O366" s="18">
        <f>$B$3*$B$6*$B$5*COS(F366)</f>
        <v/>
      </c>
      <c r="P366" s="18">
        <f>N366+O366</f>
        <v/>
      </c>
      <c r="Q366" s="19">
        <f>ABS(P366-$P$3)</f>
        <v/>
      </c>
    </row>
    <row r="367">
      <c r="D367" s="6" t="n">
        <v>365</v>
      </c>
      <c r="E367" s="7" t="n">
        <v>3.642601858470336</v>
      </c>
      <c r="F367" s="8" t="n">
        <v>1.355587952875165</v>
      </c>
      <c r="G367" s="9">
        <f>DEGREES(F367)</f>
        <v/>
      </c>
      <c r="H367" s="8" t="n">
        <v>3.810480068676148</v>
      </c>
      <c r="I367" s="9">
        <f>DEGREES(H367)</f>
        <v/>
      </c>
      <c r="J367" s="10" t="n">
        <v>-1.231707751221748</v>
      </c>
      <c r="K367" s="10" t="n">
        <v>1.076041869598659</v>
      </c>
      <c r="L367" s="11">
        <f>$B$5*$B$3*$B$6*SIN(F367)</f>
        <v/>
      </c>
      <c r="M367" s="11">
        <f>$B$9*K367*(SIN(F367))^2 + $B$8*($B$10+K367*COS(F367))*COS(F367)</f>
        <v/>
      </c>
      <c r="N367" s="11">
        <f>0.5*$B$9*(J367^2 + (K367*SIN(F367))^2) + 0.5*$B$8*($B$10 + K367*COS(F367))^2</f>
        <v/>
      </c>
      <c r="O367" s="11">
        <f>$B$3*$B$6*$B$5*COS(F367)</f>
        <v/>
      </c>
      <c r="P367" s="11">
        <f>N367+O367</f>
        <v/>
      </c>
      <c r="Q367" s="12">
        <f>ABS(P367-$P$3)</f>
        <v/>
      </c>
    </row>
    <row r="368">
      <c r="D368" s="13" t="n">
        <v>366</v>
      </c>
      <c r="E368" s="14" t="n">
        <v>3.652609006433167</v>
      </c>
      <c r="F368" s="15" t="n">
        <v>1.343260999643889</v>
      </c>
      <c r="G368" s="16">
        <f>DEGREES(F368)</f>
        <v/>
      </c>
      <c r="H368" s="15" t="n">
        <v>3.821556590961337</v>
      </c>
      <c r="I368" s="16">
        <f>DEGREES(H368)</f>
        <v/>
      </c>
      <c r="J368" s="17" t="n">
        <v>-1.231277118674203</v>
      </c>
      <c r="K368" s="17" t="n">
        <v>1.137676635755037</v>
      </c>
      <c r="L368" s="18">
        <f>$B$5*$B$3*$B$6*SIN(F368)</f>
        <v/>
      </c>
      <c r="M368" s="18">
        <f>$B$9*K368*(SIN(F368))^2 + $B$8*($B$10+K368*COS(F368))*COS(F368)</f>
        <v/>
      </c>
      <c r="N368" s="18">
        <f>0.5*$B$9*(J368^2 + (K368*SIN(F368))^2) + 0.5*$B$8*($B$10 + K368*COS(F368))^2</f>
        <v/>
      </c>
      <c r="O368" s="18">
        <f>$B$3*$B$6*$B$5*COS(F368)</f>
        <v/>
      </c>
      <c r="P368" s="18">
        <f>N368+O368</f>
        <v/>
      </c>
      <c r="Q368" s="19">
        <f>ABS(P368-$P$3)</f>
        <v/>
      </c>
    </row>
    <row r="369">
      <c r="D369" s="6" t="n">
        <v>367</v>
      </c>
      <c r="E369" s="7" t="n">
        <v>3.662616154395997</v>
      </c>
      <c r="F369" s="8" t="n">
        <v>1.330957704800489</v>
      </c>
      <c r="G369" s="9">
        <f>DEGREES(F369)</f>
        <v/>
      </c>
      <c r="H369" s="8" t="n">
        <v>3.833249470902235</v>
      </c>
      <c r="I369" s="9">
        <f>DEGREES(H369)</f>
        <v/>
      </c>
      <c r="J369" s="10" t="n">
        <v>-1.22698069091005</v>
      </c>
      <c r="K369" s="10" t="n">
        <v>1.199193109972036</v>
      </c>
      <c r="L369" s="11">
        <f>$B$5*$B$3*$B$6*SIN(F369)</f>
        <v/>
      </c>
      <c r="M369" s="11">
        <f>$B$9*K369*(SIN(F369))^2 + $B$8*($B$10+K369*COS(F369))*COS(F369)</f>
        <v/>
      </c>
      <c r="N369" s="11">
        <f>0.5*$B$9*(J369^2 + (K369*SIN(F369))^2) + 0.5*$B$8*($B$10 + K369*COS(F369))^2</f>
        <v/>
      </c>
      <c r="O369" s="11">
        <f>$B$3*$B$6*$B$5*COS(F369)</f>
        <v/>
      </c>
      <c r="P369" s="11">
        <f>N369+O369</f>
        <v/>
      </c>
      <c r="Q369" s="12">
        <f>ABS(P369-$P$3)</f>
        <v/>
      </c>
    </row>
    <row r="370">
      <c r="D370" s="13" t="n">
        <v>368</v>
      </c>
      <c r="E370" s="14" t="n">
        <v>3.672623302358828</v>
      </c>
      <c r="F370" s="15" t="n">
        <v>1.318716696544607</v>
      </c>
      <c r="G370" s="16">
        <f>DEGREES(F370)</f>
        <v/>
      </c>
      <c r="H370" s="15" t="n">
        <v>3.84555655777574</v>
      </c>
      <c r="I370" s="16">
        <f>DEGREES(H370)</f>
        <v/>
      </c>
      <c r="J370" s="17" t="n">
        <v>-1.218831957264588</v>
      </c>
      <c r="K370" s="17" t="n">
        <v>1.26039815125145</v>
      </c>
      <c r="L370" s="18">
        <f>$B$5*$B$3*$B$6*SIN(F370)</f>
        <v/>
      </c>
      <c r="M370" s="18">
        <f>$B$9*K370*(SIN(F370))^2 + $B$8*($B$10+K370*COS(F370))*COS(F370)</f>
        <v/>
      </c>
      <c r="N370" s="18">
        <f>0.5*$B$9*(J370^2 + (K370*SIN(F370))^2) + 0.5*$B$8*($B$10 + K370*COS(F370))^2</f>
        <v/>
      </c>
      <c r="O370" s="18">
        <f>$B$3*$B$6*$B$5*COS(F370)</f>
        <v/>
      </c>
      <c r="P370" s="18">
        <f>N370+O370</f>
        <v/>
      </c>
      <c r="Q370" s="19">
        <f>ABS(P370-$P$3)</f>
        <v/>
      </c>
    </row>
    <row r="371">
      <c r="D371" s="6" t="n">
        <v>369</v>
      </c>
      <c r="E371" s="7" t="n">
        <v>3.682630450321659</v>
      </c>
      <c r="F371" s="8" t="n">
        <v>1.306576407516988</v>
      </c>
      <c r="G371" s="9">
        <f>DEGREES(F371)</f>
        <v/>
      </c>
      <c r="H371" s="8" t="n">
        <v>3.858473772455966</v>
      </c>
      <c r="I371" s="9">
        <f>DEGREES(H371)</f>
        <v/>
      </c>
      <c r="J371" s="10" t="n">
        <v>-1.206856502015369</v>
      </c>
      <c r="K371" s="10" t="n">
        <v>1.321099596389544</v>
      </c>
      <c r="L371" s="11">
        <f>$B$5*$B$3*$B$6*SIN(F371)</f>
        <v/>
      </c>
      <c r="M371" s="11">
        <f>$B$9*K371*(SIN(F371))^2 + $B$8*($B$10+K371*COS(F371))*COS(F371)</f>
        <v/>
      </c>
      <c r="N371" s="11">
        <f>0.5*$B$9*(J371^2 + (K371*SIN(F371))^2) + 0.5*$B$8*($B$10 + K371*COS(F371))^2</f>
        <v/>
      </c>
      <c r="O371" s="11">
        <f>$B$3*$B$6*$B$5*COS(F371)</f>
        <v/>
      </c>
      <c r="P371" s="11">
        <f>N371+O371</f>
        <v/>
      </c>
      <c r="Q371" s="12">
        <f>ABS(P371-$P$3)</f>
        <v/>
      </c>
    </row>
    <row r="372">
      <c r="D372" s="13" t="n">
        <v>370</v>
      </c>
      <c r="E372" s="14" t="n">
        <v>3.692637598284489</v>
      </c>
      <c r="F372" s="15" t="n">
        <v>1.294574954133946</v>
      </c>
      <c r="G372" s="16">
        <f>DEGREES(F372)</f>
        <v/>
      </c>
      <c r="H372" s="15" t="n">
        <v>3.871995120221326</v>
      </c>
      <c r="I372" s="16">
        <f>DEGREES(H372)</f>
        <v/>
      </c>
      <c r="J372" s="17" t="n">
        <v>-1.19109192405619</v>
      </c>
      <c r="K372" s="17" t="n">
        <v>1.381106863304752</v>
      </c>
      <c r="L372" s="18">
        <f>$B$5*$B$3*$B$6*SIN(F372)</f>
        <v/>
      </c>
      <c r="M372" s="18">
        <f>$B$9*K372*(SIN(F372))^2 + $B$8*($B$10+K372*COS(F372))*COS(F372)</f>
        <v/>
      </c>
      <c r="N372" s="18">
        <f>0.5*$B$9*(J372^2 + (K372*SIN(F372))^2) + 0.5*$B$8*($B$10 + K372*COS(F372))^2</f>
        <v/>
      </c>
      <c r="O372" s="18">
        <f>$B$3*$B$6*$B$5*COS(F372)</f>
        <v/>
      </c>
      <c r="P372" s="18">
        <f>N372+O372</f>
        <v/>
      </c>
      <c r="Q372" s="19">
        <f>ABS(P372-$P$3)</f>
        <v/>
      </c>
    </row>
    <row r="373">
      <c r="D373" s="6" t="n">
        <v>371</v>
      </c>
      <c r="E373" s="7" t="n">
        <v>3.70264474624732</v>
      </c>
      <c r="F373" s="8" t="n">
        <v>1.282750016914655</v>
      </c>
      <c r="G373" s="9">
        <f>DEGREES(F373)</f>
        <v/>
      </c>
      <c r="H373" s="8" t="n">
        <v>3.886112709575937</v>
      </c>
      <c r="I373" s="9">
        <f>DEGREES(H373)</f>
        <v/>
      </c>
      <c r="J373" s="10" t="n">
        <v>-1.171587718849234</v>
      </c>
      <c r="K373" s="10" t="n">
        <v>1.440231549401208</v>
      </c>
      <c r="L373" s="11">
        <f>$B$5*$B$3*$B$6*SIN(F373)</f>
        <v/>
      </c>
      <c r="M373" s="11">
        <f>$B$9*K373*(SIN(F373))^2 + $B$8*($B$10+K373*COS(F373))*COS(F373)</f>
        <v/>
      </c>
      <c r="N373" s="11">
        <f>0.5*$B$9*(J373^2 + (K373*SIN(F373))^2) + 0.5*$B$8*($B$10 + K373*COS(F373))^2</f>
        <v/>
      </c>
      <c r="O373" s="11">
        <f>$B$3*$B$6*$B$5*COS(F373)</f>
        <v/>
      </c>
      <c r="P373" s="11">
        <f>N373+O373</f>
        <v/>
      </c>
      <c r="Q373" s="12">
        <f>ABS(P373-$P$3)</f>
        <v/>
      </c>
    </row>
    <row r="374">
      <c r="D374" s="13" t="n">
        <v>372</v>
      </c>
      <c r="E374" s="14" t="n">
        <v>3.712651894210151</v>
      </c>
      <c r="F374" s="15" t="n">
        <v>1.271138722177023</v>
      </c>
      <c r="G374" s="16">
        <f>DEGREES(F374)</f>
        <v/>
      </c>
      <c r="H374" s="15" t="n">
        <v>3.900816777026254</v>
      </c>
      <c r="I374" s="16">
        <f>DEGREES(H374)</f>
        <v/>
      </c>
      <c r="J374" s="17" t="n">
        <v>-1.148405123026005</v>
      </c>
      <c r="K374" s="17" t="n">
        <v>1.498288023089368</v>
      </c>
      <c r="L374" s="18">
        <f>$B$5*$B$3*$B$6*SIN(F374)</f>
        <v/>
      </c>
      <c r="M374" s="18">
        <f>$B$9*K374*(SIN(F374))^2 + $B$8*($B$10+K374*COS(F374))*COS(F374)</f>
        <v/>
      </c>
      <c r="N374" s="18">
        <f>0.5*$B$9*(J374^2 + (K374*SIN(F374))^2) + 0.5*$B$8*($B$10 + K374*COS(F374))^2</f>
        <v/>
      </c>
      <c r="O374" s="18">
        <f>$B$3*$B$6*$B$5*COS(F374)</f>
        <v/>
      </c>
      <c r="P374" s="18">
        <f>N374+O374</f>
        <v/>
      </c>
      <c r="Q374" s="19">
        <f>ABS(P374-$P$3)</f>
        <v/>
      </c>
    </row>
    <row r="375">
      <c r="D375" s="6" t="n">
        <v>373</v>
      </c>
      <c r="E375" s="7" t="n">
        <v>3.722659042172981</v>
      </c>
      <c r="F375" s="8" t="n">
        <v>1.259777525473561</v>
      </c>
      <c r="G375" s="9">
        <f>DEGREES(F375)</f>
        <v/>
      </c>
      <c r="H375" s="8" t="n">
        <v>3.916095717735155</v>
      </c>
      <c r="I375" s="9">
        <f>DEGREES(H375)</f>
        <v/>
      </c>
      <c r="J375" s="10" t="n">
        <v>-1.121616922124936</v>
      </c>
      <c r="K375" s="10" t="n">
        <v>1.555094006606677</v>
      </c>
      <c r="L375" s="11">
        <f>$B$5*$B$3*$B$6*SIN(F375)</f>
        <v/>
      </c>
      <c r="M375" s="11">
        <f>$B$9*K375*(SIN(F375))^2 + $B$8*($B$10+K375*COS(F375))*COS(F375)</f>
        <v/>
      </c>
      <c r="N375" s="11">
        <f>0.5*$B$9*(J375^2 + (K375*SIN(F375))^2) + 0.5*$B$8*($B$10 + K375*COS(F375))^2</f>
        <v/>
      </c>
      <c r="O375" s="11">
        <f>$B$3*$B$6*$B$5*COS(F375)</f>
        <v/>
      </c>
      <c r="P375" s="11">
        <f>N375+O375</f>
        <v/>
      </c>
      <c r="Q375" s="12">
        <f>ABS(P375-$P$3)</f>
        <v/>
      </c>
    </row>
    <row r="376">
      <c r="D376" s="13" t="n">
        <v>374</v>
      </c>
      <c r="E376" s="14" t="n">
        <v>3.732666190135812</v>
      </c>
      <c r="F376" s="15" t="n">
        <v>1.248702097133234</v>
      </c>
      <c r="G376" s="16">
        <f>DEGREES(F376)</f>
        <v/>
      </c>
      <c r="H376" s="15" t="n">
        <v>3.931936121957218</v>
      </c>
      <c r="I376" s="16">
        <f>DEGREES(H376)</f>
        <v/>
      </c>
      <c r="J376" s="17" t="n">
        <v>-1.091307222069325</v>
      </c>
      <c r="K376" s="17" t="n">
        <v>1.610471148308314</v>
      </c>
      <c r="L376" s="18">
        <f>$B$5*$B$3*$B$6*SIN(F376)</f>
        <v/>
      </c>
      <c r="M376" s="18">
        <f>$B$9*K376*(SIN(F376))^2 + $B$8*($B$10+K376*COS(F376))*COS(F376)</f>
        <v/>
      </c>
      <c r="N376" s="18">
        <f>0.5*$B$9*(J376^2 + (K376*SIN(F376))^2) + 0.5*$B$8*($B$10 + K376*COS(F376))^2</f>
        <v/>
      </c>
      <c r="O376" s="18">
        <f>$B$3*$B$6*$B$5*COS(F376)</f>
        <v/>
      </c>
      <c r="P376" s="18">
        <f>N376+O376</f>
        <v/>
      </c>
      <c r="Q376" s="19">
        <f>ABS(P376-$P$3)</f>
        <v/>
      </c>
    </row>
    <row r="377">
      <c r="D377" s="6" t="n">
        <v>375</v>
      </c>
      <c r="E377" s="7" t="n">
        <v>3.742673338098642</v>
      </c>
      <c r="F377" s="8" t="n">
        <v>1.23794721026865</v>
      </c>
      <c r="G377" s="9">
        <f>DEGREES(F377)</f>
        <v/>
      </c>
      <c r="H377" s="8" t="n">
        <v>3.948322817140796</v>
      </c>
      <c r="I377" s="9">
        <f>DEGREES(H377)</f>
        <v/>
      </c>
      <c r="J377" s="10" t="n">
        <v>-1.057571185103085</v>
      </c>
      <c r="K377" s="10" t="n">
        <v>1.664245582631232</v>
      </c>
      <c r="L377" s="11">
        <f>$B$5*$B$3*$B$6*SIN(F377)</f>
        <v/>
      </c>
      <c r="M377" s="11">
        <f>$B$9*K377*(SIN(F377))^2 + $B$8*($B$10+K377*COS(F377))*COS(F377)</f>
        <v/>
      </c>
      <c r="N377" s="11">
        <f>0.5*$B$9*(J377^2 + (K377*SIN(F377))^2) + 0.5*$B$8*($B$10 + K377*COS(F377))^2</f>
        <v/>
      </c>
      <c r="O377" s="11">
        <f>$B$3*$B$6*$B$5*COS(F377)</f>
        <v/>
      </c>
      <c r="P377" s="11">
        <f>N377+O377</f>
        <v/>
      </c>
      <c r="Q377" s="12">
        <f>ABS(P377-$P$3)</f>
        <v/>
      </c>
    </row>
    <row r="378">
      <c r="D378" s="13" t="n">
        <v>376</v>
      </c>
      <c r="E378" s="14" t="n">
        <v>3.752680486061473</v>
      </c>
      <c r="F378" s="15" t="n">
        <v>1.227546631600206</v>
      </c>
      <c r="G378" s="16">
        <f>DEGREES(F378)</f>
        <v/>
      </c>
      <c r="H378" s="15" t="n">
        <v>3.965238915564724</v>
      </c>
      <c r="I378" s="16">
        <f>DEGREES(H378)</f>
        <v/>
      </c>
      <c r="J378" s="17" t="n">
        <v>-1.020514731013367</v>
      </c>
      <c r="K378" s="17" t="n">
        <v>1.716248475973451</v>
      </c>
      <c r="L378" s="18">
        <f>$B$5*$B$3*$B$6*SIN(F378)</f>
        <v/>
      </c>
      <c r="M378" s="18">
        <f>$B$9*K378*(SIN(F378))^2 + $B$8*($B$10+K378*COS(F378))*COS(F378)</f>
        <v/>
      </c>
      <c r="N378" s="18">
        <f>0.5*$B$9*(J378^2 + (K378*SIN(F378))^2) + 0.5*$B$8*($B$10 + K378*COS(F378))^2</f>
        <v/>
      </c>
      <c r="O378" s="18">
        <f>$B$3*$B$6*$B$5*COS(F378)</f>
        <v/>
      </c>
      <c r="P378" s="18">
        <f>N378+O378</f>
        <v/>
      </c>
      <c r="Q378" s="19">
        <f>ABS(P378-$P$3)</f>
        <v/>
      </c>
    </row>
    <row r="379">
      <c r="D379" s="6" t="n">
        <v>377</v>
      </c>
      <c r="E379" s="7" t="n">
        <v>3.762687634024303</v>
      </c>
      <c r="F379" s="8" t="n">
        <v>1.217533015439963</v>
      </c>
      <c r="G379" s="9">
        <f>DEGREES(F379)</f>
        <v/>
      </c>
      <c r="H379" s="8" t="n">
        <v>3.98266586736007</v>
      </c>
      <c r="I379" s="9">
        <f>DEGREES(H379)</f>
        <v/>
      </c>
      <c r="J379" s="10" t="n">
        <v>-0.980254204578117</v>
      </c>
      <c r="K379" s="10" t="n">
        <v>1.766316556774668</v>
      </c>
      <c r="L379" s="11">
        <f>$B$5*$B$3*$B$6*SIN(F379)</f>
        <v/>
      </c>
      <c r="M379" s="11">
        <f>$B$9*K379*(SIN(F379))^2 + $B$8*($B$10+K379*COS(F379))*COS(F379)</f>
        <v/>
      </c>
      <c r="N379" s="11">
        <f>0.5*$B$9*(J379^2 + (K379*SIN(F379))^2) + 0.5*$B$8*($B$10 + K379*COS(F379))^2</f>
        <v/>
      </c>
      <c r="O379" s="11">
        <f>$B$3*$B$6*$B$5*COS(F379)</f>
        <v/>
      </c>
      <c r="P379" s="11">
        <f>N379+O379</f>
        <v/>
      </c>
      <c r="Q379" s="12">
        <f>ABS(P379-$P$3)</f>
        <v/>
      </c>
    </row>
    <row r="380">
      <c r="D380" s="13" t="n">
        <v>378</v>
      </c>
      <c r="E380" s="14" t="n">
        <v>3.772694781987134</v>
      </c>
      <c r="F380" s="15" t="n">
        <v>1.20793780116811</v>
      </c>
      <c r="G380" s="16">
        <f>DEGREES(F380)</f>
        <v/>
      </c>
      <c r="H380" s="15" t="n">
        <v>4.00058351875047</v>
      </c>
      <c r="I380" s="16">
        <f>DEGREES(H380)</f>
        <v/>
      </c>
      <c r="J380" s="17" t="n">
        <v>-0.9369160102826879</v>
      </c>
      <c r="K380" s="17" t="n">
        <v>1.814292628133933</v>
      </c>
      <c r="L380" s="18">
        <f>$B$5*$B$3*$B$6*SIN(F380)</f>
        <v/>
      </c>
      <c r="M380" s="18">
        <f>$B$9*K380*(SIN(F380))^2 + $B$8*($B$10+K380*COS(F380))*COS(F380)</f>
        <v/>
      </c>
      <c r="N380" s="18">
        <f>0.5*$B$9*(J380^2 + (K380*SIN(F380))^2) + 0.5*$B$8*($B$10 + K380*COS(F380))^2</f>
        <v/>
      </c>
      <c r="O380" s="18">
        <f>$B$3*$B$6*$B$5*COS(F380)</f>
        <v/>
      </c>
      <c r="P380" s="18">
        <f>N380+O380</f>
        <v/>
      </c>
      <c r="Q380" s="19">
        <f>ABS(P380-$P$3)</f>
        <v/>
      </c>
    </row>
    <row r="381">
      <c r="D381" s="6" t="n">
        <v>379</v>
      </c>
      <c r="E381" s="7" t="n">
        <v>3.782701929949964</v>
      </c>
      <c r="F381" s="8" t="n">
        <v>1.198791114523908</v>
      </c>
      <c r="G381" s="9">
        <f>DEGREES(F381)</f>
        <v/>
      </c>
      <c r="H381" s="8" t="n">
        <v>4.018970175328196</v>
      </c>
      <c r="I381" s="9">
        <f>DEGREES(H381)</f>
        <v/>
      </c>
      <c r="J381" s="10" t="n">
        <v>-0.8906362154523523</v>
      </c>
      <c r="K381" s="10" t="n">
        <v>1.860026061354941</v>
      </c>
      <c r="L381" s="11">
        <f>$B$5*$B$3*$B$6*SIN(F381)</f>
        <v/>
      </c>
      <c r="M381" s="11">
        <f>$B$9*K381*(SIN(F381))^2 + $B$8*($B$10+K381*COS(F381))*COS(F381)</f>
        <v/>
      </c>
      <c r="N381" s="11">
        <f>0.5*$B$9*(J381^2 + (K381*SIN(F381))^2) + 0.5*$B$8*($B$10 + K381*COS(F381))^2</f>
        <v/>
      </c>
      <c r="O381" s="11">
        <f>$B$3*$B$6*$B$5*COS(F381)</f>
        <v/>
      </c>
      <c r="P381" s="11">
        <f>N381+O381</f>
        <v/>
      </c>
      <c r="Q381" s="12">
        <f>ABS(P381-$P$3)</f>
        <v/>
      </c>
    </row>
    <row r="382">
      <c r="D382" s="13" t="n">
        <v>380</v>
      </c>
      <c r="E382" s="14" t="n">
        <v>3.792709077912795</v>
      </c>
      <c r="F382" s="15" t="n">
        <v>1.190121673021019</v>
      </c>
      <c r="G382" s="16">
        <f>DEGREES(F382)</f>
        <v/>
      </c>
      <c r="H382" s="15" t="n">
        <v>4.037802670167285</v>
      </c>
      <c r="I382" s="16">
        <f>DEGREES(H382)</f>
        <v/>
      </c>
      <c r="J382" s="17" t="n">
        <v>-0.8415601230467442</v>
      </c>
      <c r="K382" s="17" t="n">
        <v>1.903373268869389</v>
      </c>
      <c r="L382" s="18">
        <f>$B$5*$B$3*$B$6*SIN(F382)</f>
        <v/>
      </c>
      <c r="M382" s="18">
        <f>$B$9*K382*(SIN(F382))^2 + $B$8*($B$10+K382*COS(F382))*COS(F382)</f>
        <v/>
      </c>
      <c r="N382" s="18">
        <f>0.5*$B$9*(J382^2 + (K382*SIN(F382))^2) + 0.5*$B$8*($B$10 + K382*COS(F382))^2</f>
        <v/>
      </c>
      <c r="O382" s="18">
        <f>$B$3*$B$6*$B$5*COS(F382)</f>
        <v/>
      </c>
      <c r="P382" s="18">
        <f>N382+O382</f>
        <v/>
      </c>
      <c r="Q382" s="19">
        <f>ABS(P382-$P$3)</f>
        <v/>
      </c>
    </row>
    <row r="383">
      <c r="D383" s="6" t="n">
        <v>381</v>
      </c>
      <c r="E383" s="7" t="n">
        <v>3.802716225875626</v>
      </c>
      <c r="F383" s="8" t="n">
        <v>1.18195669578419</v>
      </c>
      <c r="G383" s="9">
        <f>DEGREES(F383)</f>
        <v/>
      </c>
      <c r="H383" s="8" t="n">
        <v>4.05705643655988</v>
      </c>
      <c r="I383" s="9">
        <f>DEGREES(H383)</f>
        <v/>
      </c>
      <c r="J383" s="10" t="n">
        <v>-0.7898418154575512</v>
      </c>
      <c r="K383" s="10" t="n">
        <v>1.944198155053534</v>
      </c>
      <c r="L383" s="11">
        <f>$B$5*$B$3*$B$6*SIN(F383)</f>
        <v/>
      </c>
      <c r="M383" s="11">
        <f>$B$9*K383*(SIN(F383))^2 + $B$8*($B$10+K383*COS(F383))*COS(F383)</f>
        <v/>
      </c>
      <c r="N383" s="11">
        <f>0.5*$B$9*(J383^2 + (K383*SIN(F383))^2) + 0.5*$B$8*($B$10 + K383*COS(F383))^2</f>
        <v/>
      </c>
      <c r="O383" s="11">
        <f>$B$3*$B$6*$B$5*COS(F383)</f>
        <v/>
      </c>
      <c r="P383" s="11">
        <f>N383+O383</f>
        <v/>
      </c>
      <c r="Q383" s="12">
        <f>ABS(P383-$P$3)</f>
        <v/>
      </c>
    </row>
    <row r="384">
      <c r="D384" s="13" t="n">
        <v>382</v>
      </c>
      <c r="E384" s="14" t="n">
        <v>3.812723373838456</v>
      </c>
      <c r="F384" s="15" t="n">
        <v>1.174321818090377</v>
      </c>
      <c r="G384" s="16">
        <f>DEGREES(F384)</f>
        <v/>
      </c>
      <c r="H384" s="15" t="n">
        <v>4.076705585147412</v>
      </c>
      <c r="I384" s="16">
        <f>DEGREES(H384)</f>
        <v/>
      </c>
      <c r="J384" s="17" t="n">
        <v>-0.7356436707417163</v>
      </c>
      <c r="K384" s="17" t="n">
        <v>1.9823725435226</v>
      </c>
      <c r="L384" s="18">
        <f>$B$5*$B$3*$B$6*SIN(F384)</f>
        <v/>
      </c>
      <c r="M384" s="18">
        <f>$B$9*K384*(SIN(F384))^2 + $B$8*($B$10+K384*COS(F384))*COS(F384)</f>
        <v/>
      </c>
      <c r="N384" s="18">
        <f>0.5*$B$9*(J384^2 + (K384*SIN(F384))^2) + 0.5*$B$8*($B$10 + K384*COS(F384))^2</f>
        <v/>
      </c>
      <c r="O384" s="18">
        <f>$B$3*$B$6*$B$5*COS(F384)</f>
        <v/>
      </c>
      <c r="P384" s="18">
        <f>N384+O384</f>
        <v/>
      </c>
      <c r="Q384" s="19">
        <f>ABS(P384-$P$3)</f>
        <v/>
      </c>
    </row>
    <row r="385">
      <c r="D385" s="6" t="n">
        <v>383</v>
      </c>
      <c r="E385" s="7" t="n">
        <v>3.822730521801287</v>
      </c>
      <c r="F385" s="8" t="n">
        <v>1.167241010882611</v>
      </c>
      <c r="G385" s="9">
        <f>DEGREES(F385)</f>
        <v/>
      </c>
      <c r="H385" s="8" t="n">
        <v>4.09672298520446</v>
      </c>
      <c r="I385" s="9">
        <f>DEGREES(H385)</f>
        <v/>
      </c>
      <c r="J385" s="10" t="n">
        <v>-0.6791358528090647</v>
      </c>
      <c r="K385" s="10" t="n">
        <v>2.017776579561428</v>
      </c>
      <c r="L385" s="11">
        <f>$B$5*$B$3*$B$6*SIN(F385)</f>
        <v/>
      </c>
      <c r="M385" s="11">
        <f>$B$9*K385*(SIN(F385))^2 + $B$8*($B$10+K385*COS(F385))*COS(F385)</f>
        <v/>
      </c>
      <c r="N385" s="11">
        <f>0.5*$B$9*(J385^2 + (K385*SIN(F385))^2) + 0.5*$B$8*($B$10 + K385*COS(F385))^2</f>
        <v/>
      </c>
      <c r="O385" s="11">
        <f>$B$3*$B$6*$B$5*COS(F385)</f>
        <v/>
      </c>
      <c r="P385" s="11">
        <f>N385+O385</f>
        <v/>
      </c>
      <c r="Q385" s="12">
        <f>ABS(P385-$P$3)</f>
        <v/>
      </c>
    </row>
    <row r="386">
      <c r="D386" s="13" t="n">
        <v>384</v>
      </c>
      <c r="E386" s="14" t="n">
        <v>3.832737669764117</v>
      </c>
      <c r="F386" s="15" t="n">
        <v>1.160736505509319</v>
      </c>
      <c r="G386" s="16">
        <f>DEGREES(F386)</f>
        <v/>
      </c>
      <c r="H386" s="15" t="n">
        <v>4.117080349820093</v>
      </c>
      <c r="I386" s="16">
        <f>DEGREES(H386)</f>
        <v/>
      </c>
      <c r="J386" s="17" t="n">
        <v>-0.6204957771649741</v>
      </c>
      <c r="K386" s="17" t="n">
        <v>2.050299106427888</v>
      </c>
      <c r="L386" s="18">
        <f>$B$5*$B$3*$B$6*SIN(F386)</f>
        <v/>
      </c>
      <c r="M386" s="18">
        <f>$B$9*K386*(SIN(F386))^2 + $B$8*($B$10+K386*COS(F386))*COS(F386)</f>
        <v/>
      </c>
      <c r="N386" s="18">
        <f>0.5*$B$9*(J386^2 + (K386*SIN(F386))^2) + 0.5*$B$8*($B$10 + K386*COS(F386))^2</f>
        <v/>
      </c>
      <c r="O386" s="18">
        <f>$B$3*$B$6*$B$5*COS(F386)</f>
        <v/>
      </c>
      <c r="P386" s="18">
        <f>N386+O386</f>
        <v/>
      </c>
      <c r="Q386" s="19">
        <f>ABS(P386-$P$3)</f>
        <v/>
      </c>
    </row>
    <row r="387">
      <c r="D387" s="6" t="n">
        <v>385</v>
      </c>
      <c r="E387" s="7" t="n">
        <v>3.842744817726948</v>
      </c>
      <c r="F387" s="8" t="n">
        <v>1.154828723925376</v>
      </c>
      <c r="G387" s="9">
        <f>DEGREES(F387)</f>
        <v/>
      </c>
      <c r="H387" s="8" t="n">
        <v>4.137748324709231</v>
      </c>
      <c r="I387" s="9">
        <f>DEGREES(H387)</f>
        <v/>
      </c>
      <c r="J387" s="10" t="n">
        <v>-0.5599075538854615</v>
      </c>
      <c r="K387" s="10" t="n">
        <v>2.079838014347601</v>
      </c>
      <c r="L387" s="11">
        <f>$B$5*$B$3*$B$6*SIN(F387)</f>
        <v/>
      </c>
      <c r="M387" s="11">
        <f>$B$9*K387*(SIN(F387))^2 + $B$8*($B$10+K387*COS(F387))*COS(F387)</f>
        <v/>
      </c>
      <c r="N387" s="11">
        <f>0.5*$B$9*(J387^2 + (K387*SIN(F387))^2) + 0.5*$B$8*($B$10 + K387*COS(F387))^2</f>
        <v/>
      </c>
      <c r="O387" s="11">
        <f>$B$3*$B$6*$B$5*COS(F387)</f>
        <v/>
      </c>
      <c r="P387" s="11">
        <f>N387+O387</f>
        <v/>
      </c>
      <c r="Q387" s="12">
        <f>ABS(P387-$P$3)</f>
        <v/>
      </c>
    </row>
    <row r="388">
      <c r="D388" s="13" t="n">
        <v>386</v>
      </c>
      <c r="E388" s="14" t="n">
        <v>3.852751965689779</v>
      </c>
      <c r="F388" s="15" t="n">
        <v>1.149536214574056</v>
      </c>
      <c r="G388" s="16">
        <f>DEGREES(F388)</f>
        <v/>
      </c>
      <c r="H388" s="15" t="n">
        <v>4.15869658037521</v>
      </c>
      <c r="I388" s="16">
        <f>DEGREES(H388)</f>
        <v/>
      </c>
      <c r="J388" s="17" t="n">
        <v>-0.4975614095736077</v>
      </c>
      <c r="K388" s="17" t="n">
        <v>2.106300561104206</v>
      </c>
      <c r="L388" s="18">
        <f>$B$5*$B$3*$B$6*SIN(F388)</f>
        <v/>
      </c>
      <c r="M388" s="18">
        <f>$B$9*K388*(SIN(F388))^2 + $B$8*($B$10+K388*COS(F388))*COS(F388)</f>
        <v/>
      </c>
      <c r="N388" s="18">
        <f>0.5*$B$9*(J388^2 + (K388*SIN(F388))^2) + 0.5*$B$8*($B$10 + K388*COS(F388))^2</f>
        <v/>
      </c>
      <c r="O388" s="18">
        <f>$B$3*$B$6*$B$5*COS(F388)</f>
        <v/>
      </c>
      <c r="P388" s="18">
        <f>N388+O388</f>
        <v/>
      </c>
      <c r="Q388" s="19">
        <f>ABS(P388-$P$3)</f>
        <v/>
      </c>
    </row>
    <row r="389">
      <c r="D389" s="6" t="n">
        <v>387</v>
      </c>
      <c r="E389" s="7" t="n">
        <v>3.862759113652609</v>
      </c>
      <c r="F389" s="8" t="n">
        <v>1.144875594151163</v>
      </c>
      <c r="G389" s="9">
        <f>DEGREES(F389)</f>
        <v/>
      </c>
      <c r="H389" s="8" t="n">
        <v>4.179893907334176</v>
      </c>
      <c r="I389" s="9">
        <f>DEGREES(H389)</f>
        <v/>
      </c>
      <c r="J389" s="10" t="n">
        <v>-0.4336530901121341</v>
      </c>
      <c r="K389" s="10" t="n">
        <v>2.129603663218666</v>
      </c>
      <c r="L389" s="11">
        <f>$B$5*$B$3*$B$6*SIN(F389)</f>
        <v/>
      </c>
      <c r="M389" s="11">
        <f>$B$9*K389*(SIN(F389))^2 + $B$8*($B$10+K389*COS(F389))*COS(F389)</f>
        <v/>
      </c>
      <c r="N389" s="11">
        <f>0.5*$B$9*(J389^2 + (K389*SIN(F389))^2) + 0.5*$B$8*($B$10 + K389*COS(F389))^2</f>
        <v/>
      </c>
      <c r="O389" s="11">
        <f>$B$3*$B$6*$B$5*COS(F389)</f>
        <v/>
      </c>
      <c r="P389" s="11">
        <f>N389+O389</f>
        <v/>
      </c>
      <c r="Q389" s="12">
        <f>ABS(P389-$P$3)</f>
        <v/>
      </c>
    </row>
    <row r="390">
      <c r="D390" s="13" t="n">
        <v>388</v>
      </c>
      <c r="E390" s="14" t="n">
        <v>3.87276626161544</v>
      </c>
      <c r="F390" s="15" t="n">
        <v>1.140861495434215</v>
      </c>
      <c r="G390" s="16">
        <f>DEGREES(F390)</f>
        <v/>
      </c>
      <c r="H390" s="15" t="n">
        <v>4.201308314102357</v>
      </c>
      <c r="I390" s="16">
        <f>DEGREES(H390)</f>
        <v/>
      </c>
      <c r="J390" s="17" t="n">
        <v>-0.3683832460872601</v>
      </c>
      <c r="K390" s="17" t="n">
        <v>2.149674156803409</v>
      </c>
      <c r="L390" s="18">
        <f>$B$5*$B$3*$B$6*SIN(F390)</f>
        <v/>
      </c>
      <c r="M390" s="18">
        <f>$B$9*K390*(SIN(F390))^2 + $B$8*($B$10+K390*COS(F390))*COS(F390)</f>
        <v/>
      </c>
      <c r="N390" s="18">
        <f>0.5*$B$9*(J390^2 + (K390*SIN(F390))^2) + 0.5*$B$8*($B$10 + K390*COS(F390))^2</f>
        <v/>
      </c>
      <c r="O390" s="18">
        <f>$B$3*$B$6*$B$5*COS(F390)</f>
        <v/>
      </c>
      <c r="P390" s="18">
        <f>N390+O390</f>
        <v/>
      </c>
      <c r="Q390" s="19">
        <f>ABS(P390-$P$3)</f>
        <v/>
      </c>
    </row>
    <row r="391">
      <c r="D391" s="6" t="n">
        <v>389</v>
      </c>
      <c r="E391" s="7" t="n">
        <v>3.882773409578271</v>
      </c>
      <c r="F391" s="8" t="n">
        <v>1.137506521340444</v>
      </c>
      <c r="G391" s="9">
        <f>DEGREES(F391)</f>
        <v/>
      </c>
      <c r="H391" s="8" t="n">
        <v>4.222907127638534</v>
      </c>
      <c r="I391" s="9">
        <f>DEGREES(H391)</f>
        <v/>
      </c>
      <c r="J391" s="10" t="n">
        <v>-0.3019568028135217</v>
      </c>
      <c r="K391" s="10" t="n">
        <v>2.166449027272265</v>
      </c>
      <c r="L391" s="11">
        <f>$B$5*$B$3*$B$6*SIN(F391)</f>
        <v/>
      </c>
      <c r="M391" s="11">
        <f>$B$9*K391*(SIN(F391))^2 + $B$8*($B$10+K391*COS(F391))*COS(F391)</f>
        <v/>
      </c>
      <c r="N391" s="11">
        <f>0.5*$B$9*(J391^2 + (K391*SIN(F391))^2) + 0.5*$B$8*($B$10 + K391*COS(F391))^2</f>
        <v/>
      </c>
      <c r="O391" s="11">
        <f>$B$3*$B$6*$B$5*COS(F391)</f>
        <v/>
      </c>
      <c r="P391" s="11">
        <f>N391+O391</f>
        <v/>
      </c>
      <c r="Q391" s="12">
        <f>ABS(P391-$P$3)</f>
        <v/>
      </c>
    </row>
    <row r="392">
      <c r="D392" s="13" t="n">
        <v>390</v>
      </c>
      <c r="E392" s="14" t="n">
        <v>3.892780557541101</v>
      </c>
      <c r="F392" s="15" t="n">
        <v>1.134821205357891</v>
      </c>
      <c r="G392" s="16">
        <f>DEGREES(F392)</f>
        <v/>
      </c>
      <c r="H392" s="15" t="n">
        <v>4.244657095926378</v>
      </c>
      <c r="I392" s="16">
        <f>DEGREES(H392)</f>
        <v/>
      </c>
      <c r="J392" s="17" t="n">
        <v>-0.2345823169373221</v>
      </c>
      <c r="K392" s="17" t="n">
        <v>2.17987560718503</v>
      </c>
      <c r="L392" s="18">
        <f>$B$5*$B$3*$B$6*SIN(F392)</f>
        <v/>
      </c>
      <c r="M392" s="18">
        <f>$B$9*K392*(SIN(F392))^2 + $B$8*($B$10+K392*COS(F392))*COS(F392)</f>
        <v/>
      </c>
      <c r="N392" s="18">
        <f>0.5*$B$9*(J392^2 + (K392*SIN(F392))^2) + 0.5*$B$8*($B$10 + K392*COS(F392))^2</f>
        <v/>
      </c>
      <c r="O392" s="18">
        <f>$B$3*$B$6*$B$5*COS(F392)</f>
        <v/>
      </c>
      <c r="P392" s="18">
        <f>N392+O392</f>
        <v/>
      </c>
      <c r="Q392" s="19">
        <f>ABS(P392-$P$3)</f>
        <v/>
      </c>
    </row>
    <row r="393">
      <c r="D393" s="6" t="n">
        <v>391</v>
      </c>
      <c r="E393" s="7" t="n">
        <v>3.902787705503932</v>
      </c>
      <c r="F393" s="8" t="n">
        <v>1.132813978473798</v>
      </c>
      <c r="G393" s="9">
        <f>DEGREES(F393)</f>
        <v/>
      </c>
      <c r="H393" s="8" t="n">
        <v>4.266524492374582</v>
      </c>
      <c r="I393" s="9">
        <f>DEGREES(H393)</f>
        <v/>
      </c>
      <c r="J393" s="10" t="n">
        <v>-0.1664713216393496</v>
      </c>
      <c r="K393" s="10" t="n">
        <v>2.189911741605492</v>
      </c>
      <c r="L393" s="11">
        <f>$B$5*$B$3*$B$6*SIN(F393)</f>
        <v/>
      </c>
      <c r="M393" s="11">
        <f>$B$9*K393*(SIN(F393))^2 + $B$8*($B$10+K393*COS(F393))*COS(F393)</f>
        <v/>
      </c>
      <c r="N393" s="11">
        <f>0.5*$B$9*(J393^2 + (K393*SIN(F393))^2) + 0.5*$B$8*($B$10 + K393*COS(F393))^2</f>
        <v/>
      </c>
      <c r="O393" s="11">
        <f>$B$3*$B$6*$B$5*COS(F393)</f>
        <v/>
      </c>
      <c r="P393" s="11">
        <f>N393+O393</f>
        <v/>
      </c>
      <c r="Q393" s="12">
        <f>ABS(P393-$P$3)</f>
        <v/>
      </c>
    </row>
    <row r="394">
      <c r="D394" s="13" t="n">
        <v>392</v>
      </c>
      <c r="E394" s="14" t="n">
        <v>3.912794853466762</v>
      </c>
      <c r="F394" s="15" t="n">
        <v>1.131491142704155</v>
      </c>
      <c r="G394" s="16">
        <f>DEGREES(F394)</f>
        <v/>
      </c>
      <c r="H394" s="15" t="n">
        <v>4.288475221706984</v>
      </c>
      <c r="I394" s="16">
        <f>DEGREES(H394)</f>
        <v/>
      </c>
      <c r="J394" s="17" t="n">
        <v>-0.09783766249167976</v>
      </c>
      <c r="K394" s="17" t="n">
        <v>2.196525920453709</v>
      </c>
      <c r="L394" s="18">
        <f>$B$5*$B$3*$B$6*SIN(F394)</f>
        <v/>
      </c>
      <c r="M394" s="18">
        <f>$B$9*K394*(SIN(F394))^2 + $B$8*($B$10+K394*COS(F394))*COS(F394)</f>
        <v/>
      </c>
      <c r="N394" s="18">
        <f>0.5*$B$9*(J394^2 + (K394*SIN(F394))^2) + 0.5*$B$8*($B$10 + K394*COS(F394))^2</f>
        <v/>
      </c>
      <c r="O394" s="18">
        <f>$B$3*$B$6*$B$5*COS(F394)</f>
        <v/>
      </c>
      <c r="P394" s="18">
        <f>N394+O394</f>
        <v/>
      </c>
      <c r="Q394" s="19">
        <f>ABS(P394-$P$3)</f>
        <v/>
      </c>
    </row>
    <row r="395">
      <c r="D395" s="6" t="n">
        <v>393</v>
      </c>
      <c r="E395" s="7" t="n">
        <v>3.922802001429593</v>
      </c>
      <c r="F395" s="8" t="n">
        <v>1.130856851307486</v>
      </c>
      <c r="G395" s="9">
        <f>DEGREES(F395)</f>
        <v/>
      </c>
      <c r="H395" s="8" t="n">
        <v>4.310474927010255</v>
      </c>
      <c r="I395" s="9">
        <f>DEGREES(H395)</f>
        <v/>
      </c>
      <c r="J395" s="10" t="n">
        <v>-0.02889682605472755</v>
      </c>
      <c r="K395" s="10" t="n">
        <v>2.199697377437055</v>
      </c>
      <c r="L395" s="11">
        <f>$B$5*$B$3*$B$6*SIN(F395)</f>
        <v/>
      </c>
      <c r="M395" s="11">
        <f>$B$9*K395*(SIN(F395))^2 + $B$8*($B$10+K395*COS(F395))*COS(F395)</f>
        <v/>
      </c>
      <c r="N395" s="11">
        <f>0.5*$B$9*(J395^2 + (K395*SIN(F395))^2) + 0.5*$B$8*($B$10 + K395*COS(F395))^2</f>
        <v/>
      </c>
      <c r="O395" s="11">
        <f>$B$3*$B$6*$B$5*COS(F395)</f>
        <v/>
      </c>
      <c r="P395" s="11">
        <f>N395+O395</f>
        <v/>
      </c>
      <c r="Q395" s="12">
        <f>ABS(P395-$P$3)</f>
        <v/>
      </c>
    </row>
    <row r="396">
      <c r="D396" s="13" t="n">
        <v>394</v>
      </c>
      <c r="E396" s="14" t="n">
        <v>3.932809149392424</v>
      </c>
      <c r="F396" s="15" t="n">
        <v>1.130913095745023</v>
      </c>
      <c r="G396" s="16">
        <f>DEGREES(F396)</f>
        <v/>
      </c>
      <c r="H396" s="15" t="n">
        <v>4.332489097603016</v>
      </c>
      <c r="I396" s="16">
        <f>DEGREES(H396)</f>
        <v/>
      </c>
      <c r="J396" s="17" t="n">
        <v>0.04013473667790844</v>
      </c>
      <c r="K396" s="17" t="n">
        <v>2.19941615524937</v>
      </c>
      <c r="L396" s="18">
        <f>$B$5*$B$3*$B$6*SIN(F396)</f>
        <v/>
      </c>
      <c r="M396" s="18">
        <f>$B$9*K396*(SIN(F396))^2 + $B$8*($B$10+K396*COS(F396))*COS(F396)</f>
        <v/>
      </c>
      <c r="N396" s="18">
        <f>0.5*$B$9*(J396^2 + (K396*SIN(F396))^2) + 0.5*$B$8*($B$10 + K396*COS(F396))^2</f>
        <v/>
      </c>
      <c r="O396" s="18">
        <f>$B$3*$B$6*$B$5*COS(F396)</f>
        <v/>
      </c>
      <c r="P396" s="18">
        <f>N396+O396</f>
        <v/>
      </c>
      <c r="Q396" s="19">
        <f>ABS(P396-$P$3)</f>
        <v/>
      </c>
    </row>
    <row r="397">
      <c r="D397" s="6" t="n">
        <v>395</v>
      </c>
      <c r="E397" s="7" t="n">
        <v>3.942816297355254</v>
      </c>
      <c r="F397" s="8" t="n">
        <v>1.131659699428186</v>
      </c>
      <c r="G397" s="9">
        <f>DEGREES(F397)</f>
        <v/>
      </c>
      <c r="H397" s="8" t="n">
        <v>4.354483177387756</v>
      </c>
      <c r="I397" s="9">
        <f>DEGREES(H397)</f>
        <v/>
      </c>
      <c r="J397" s="10" t="n">
        <v>0.1090402898626399</v>
      </c>
      <c r="K397" s="10" t="n">
        <v>2.195683136833554</v>
      </c>
      <c r="L397" s="11">
        <f>$B$5*$B$3*$B$6*SIN(F397)</f>
        <v/>
      </c>
      <c r="M397" s="11">
        <f>$B$9*K397*(SIN(F397))^2 + $B$8*($B$10+K397*COS(F397))*COS(F397)</f>
        <v/>
      </c>
      <c r="N397" s="11">
        <f>0.5*$B$9*(J397^2 + (K397*SIN(F397))^2) + 0.5*$B$8*($B$10 + K397*COS(F397))^2</f>
        <v/>
      </c>
      <c r="O397" s="11">
        <f>$B$3*$B$6*$B$5*COS(F397)</f>
        <v/>
      </c>
      <c r="P397" s="11">
        <f>N397+O397</f>
        <v/>
      </c>
      <c r="Q397" s="12">
        <f>ABS(P397-$P$3)</f>
        <v/>
      </c>
    </row>
    <row r="398">
      <c r="D398" s="13" t="n">
        <v>396</v>
      </c>
      <c r="E398" s="14" t="n">
        <v>3.952823445318085</v>
      </c>
      <c r="F398" s="15" t="n">
        <v>1.133094318273013</v>
      </c>
      <c r="G398" s="16">
        <f>DEGREES(F398)</f>
        <v/>
      </c>
      <c r="H398" s="15" t="n">
        <v>4.376422673345332</v>
      </c>
      <c r="I398" s="16">
        <f>DEGREES(H398)</f>
        <v/>
      </c>
      <c r="J398" s="17" t="n">
        <v>0.1776034932833944</v>
      </c>
      <c r="K398" s="17" t="n">
        <v>2.188510042609417</v>
      </c>
      <c r="L398" s="18">
        <f>$B$5*$B$3*$B$6*SIN(F398)</f>
        <v/>
      </c>
      <c r="M398" s="18">
        <f>$B$9*K398*(SIN(F398))^2 + $B$8*($B$10+K398*COS(F398))*COS(F398)</f>
        <v/>
      </c>
      <c r="N398" s="18">
        <f>0.5*$B$9*(J398^2 + (K398*SIN(F398))^2) + 0.5*$B$8*($B$10 + K398*COS(F398))^2</f>
        <v/>
      </c>
      <c r="O398" s="18">
        <f>$B$3*$B$6*$B$5*COS(F398)</f>
        <v/>
      </c>
      <c r="P398" s="18">
        <f>N398+O398</f>
        <v/>
      </c>
      <c r="Q398" s="19">
        <f>ABS(P398-$P$3)</f>
        <v/>
      </c>
    </row>
    <row r="399">
      <c r="D399" s="6" t="n">
        <v>397</v>
      </c>
      <c r="E399" s="7" t="n">
        <v>3.962830593280915</v>
      </c>
      <c r="F399" s="8" t="n">
        <v>1.135212448059793</v>
      </c>
      <c r="G399" s="9">
        <f>DEGREES(F399)</f>
        <v/>
      </c>
      <c r="H399" s="8" t="n">
        <v>4.398273263831422</v>
      </c>
      <c r="I399" s="9">
        <f>DEGREES(H399)</f>
        <v/>
      </c>
      <c r="J399" s="10" t="n">
        <v>0.2456090815869872</v>
      </c>
      <c r="K399" s="10" t="n">
        <v>2.177919393675518</v>
      </c>
      <c r="L399" s="11">
        <f>$B$5*$B$3*$B$6*SIN(F399)</f>
        <v/>
      </c>
      <c r="M399" s="11">
        <f>$B$9*K399*(SIN(F399))^2 + $B$8*($B$10+K399*COS(F399))*COS(F399)</f>
        <v/>
      </c>
      <c r="N399" s="11">
        <f>0.5*$B$9*(J399^2 + (K399*SIN(F399))^2) + 0.5*$B$8*($B$10 + K399*COS(F399))^2</f>
        <v/>
      </c>
      <c r="O399" s="11">
        <f>$B$3*$B$6*$B$5*COS(F399)</f>
        <v/>
      </c>
      <c r="P399" s="11">
        <f>N399+O399</f>
        <v/>
      </c>
      <c r="Q399" s="12">
        <f>ABS(P399-$P$3)</f>
        <v/>
      </c>
    </row>
    <row r="400">
      <c r="D400" s="13" t="n">
        <v>398</v>
      </c>
      <c r="E400" s="14" t="n">
        <v>3.972837741243746</v>
      </c>
      <c r="F400" s="15" t="n">
        <v>1.138007438574797</v>
      </c>
      <c r="G400" s="16">
        <f>DEGREES(F400)</f>
        <v/>
      </c>
      <c r="H400" s="15" t="n">
        <v>4.420000906334923</v>
      </c>
      <c r="I400" s="16">
        <f>DEGREES(H400)</f>
        <v/>
      </c>
      <c r="J400" s="17" t="n">
        <v>0.3128435401437836</v>
      </c>
      <c r="K400" s="17" t="n">
        <v>2.163944441100497</v>
      </c>
      <c r="L400" s="18">
        <f>$B$5*$B$3*$B$6*SIN(F400)</f>
        <v/>
      </c>
      <c r="M400" s="18">
        <f>$B$9*K400*(SIN(F400))^2 + $B$8*($B$10+K400*COS(F400))*COS(F400)</f>
        <v/>
      </c>
      <c r="N400" s="18">
        <f>0.5*$B$9*(J400^2 + (K400*SIN(F400))^2) + 0.5*$B$8*($B$10 + K400*COS(F400))^2</f>
        <v/>
      </c>
      <c r="O400" s="18">
        <f>$B$3*$B$6*$B$5*COS(F400)</f>
        <v/>
      </c>
      <c r="P400" s="18">
        <f>N400+O400</f>
        <v/>
      </c>
      <c r="Q400" s="19">
        <f>ABS(P400-$P$3)</f>
        <v/>
      </c>
    </row>
    <row r="401">
      <c r="D401" s="6" t="n">
        <v>399</v>
      </c>
      <c r="E401" s="7" t="n">
        <v>3.982844889206576</v>
      </c>
      <c r="F401" s="8" t="n">
        <v>1.141470514489711</v>
      </c>
      <c r="G401" s="9">
        <f>DEGREES(F401)</f>
        <v/>
      </c>
      <c r="H401" s="8" t="n">
        <v>4.441571944359967</v>
      </c>
      <c r="I401" s="9">
        <f>DEGREES(H401)</f>
        <v/>
      </c>
      <c r="J401" s="10" t="n">
        <v>0.379095775411698</v>
      </c>
      <c r="K401" s="10" t="n">
        <v>2.146629061525929</v>
      </c>
      <c r="L401" s="11">
        <f>$B$5*$B$3*$B$6*SIN(F401)</f>
        <v/>
      </c>
      <c r="M401" s="11">
        <f>$B$9*K401*(SIN(F401))^2 + $B$8*($B$10+K401*COS(F401))*COS(F401)</f>
        <v/>
      </c>
      <c r="N401" s="11">
        <f>0.5*$B$9*(J401^2 + (K401*SIN(F401))^2) + 0.5*$B$8*($B$10 + K401*COS(F401))^2</f>
        <v/>
      </c>
      <c r="O401" s="11">
        <f>$B$3*$B$6*$B$5*COS(F401)</f>
        <v/>
      </c>
      <c r="P401" s="11">
        <f>N401+O401</f>
        <v/>
      </c>
      <c r="Q401" s="12">
        <f>ABS(P401-$P$3)</f>
        <v/>
      </c>
    </row>
    <row r="402">
      <c r="D402" s="13" t="n">
        <v>400</v>
      </c>
      <c r="E402" s="14" t="n">
        <v>3.992852037169407</v>
      </c>
      <c r="F402" s="15" t="n">
        <v>1.145590802913205</v>
      </c>
      <c r="G402" s="16">
        <f>DEGREES(F402)</f>
        <v/>
      </c>
      <c r="H402" s="15" t="n">
        <v>4.462953213095971</v>
      </c>
      <c r="I402" s="16">
        <f>DEGREES(H402)</f>
        <v/>
      </c>
      <c r="J402" s="17" t="n">
        <v>0.4441577776987537</v>
      </c>
      <c r="K402" s="17" t="n">
        <v>2.126027619408458</v>
      </c>
      <c r="L402" s="18">
        <f>$B$5*$B$3*$B$6*SIN(F402)</f>
        <v/>
      </c>
      <c r="M402" s="18">
        <f>$B$9*K402*(SIN(F402))^2 + $B$8*($B$10+K402*COS(F402))*COS(F402)</f>
        <v/>
      </c>
      <c r="N402" s="18">
        <f>0.5*$B$9*(J402^2 + (K402*SIN(F402))^2) + 0.5*$B$8*($B$10 + K402*COS(F402))^2</f>
        <v/>
      </c>
      <c r="O402" s="18">
        <f>$B$3*$B$6*$B$5*COS(F402)</f>
        <v/>
      </c>
      <c r="P402" s="18">
        <f>N402+O402</f>
        <v/>
      </c>
      <c r="Q402" s="19">
        <f>ABS(P402-$P$3)</f>
        <v/>
      </c>
    </row>
    <row r="403">
      <c r="D403" s="6" t="n">
        <v>401</v>
      </c>
      <c r="E403" s="7" t="n">
        <v>4.002859185132237</v>
      </c>
      <c r="F403" s="8" t="n">
        <v>1.150355367528153</v>
      </c>
      <c r="G403" s="9">
        <f>DEGREES(F403)</f>
        <v/>
      </c>
      <c r="H403" s="8" t="n">
        <v>4.484112143543968</v>
      </c>
      <c r="I403" s="9">
        <f>DEGREES(H403)</f>
        <v/>
      </c>
      <c r="J403" s="10" t="n">
        <v>0.5078252742434337</v>
      </c>
      <c r="K403" s="10" t="n">
        <v>2.102204796333718</v>
      </c>
      <c r="L403" s="11">
        <f>$B$5*$B$3*$B$6*SIN(F403)</f>
        <v/>
      </c>
      <c r="M403" s="11">
        <f>$B$9*K403*(SIN(F403))^2 + $B$8*($B$10+K403*COS(F403))*COS(F403)</f>
        <v/>
      </c>
      <c r="N403" s="11">
        <f>0.5*$B$9*(J403^2 + (K403*SIN(F403))^2) + 0.5*$B$8*($B$10 + K403*COS(F403))^2</f>
        <v/>
      </c>
      <c r="O403" s="11">
        <f>$B$3*$B$6*$B$5*COS(F403)</f>
        <v/>
      </c>
      <c r="P403" s="11">
        <f>N403+O403</f>
        <v/>
      </c>
      <c r="Q403" s="12">
        <f>ABS(P403-$P$3)</f>
        <v/>
      </c>
    </row>
    <row r="404">
      <c r="D404" s="13" t="n">
        <v>402</v>
      </c>
      <c r="E404" s="14" t="n">
        <v>4.012866333095068</v>
      </c>
      <c r="F404" s="15" t="n">
        <v>1.155749249207304</v>
      </c>
      <c r="G404" s="16">
        <f>DEGREES(F404)</f>
        <v/>
      </c>
      <c r="H404" s="15" t="n">
        <v>4.505016864772289</v>
      </c>
      <c r="I404" s="16">
        <f>DEGREES(H404)</f>
        <v/>
      </c>
      <c r="J404" s="17" t="n">
        <v>0.5698983705623046</v>
      </c>
      <c r="K404" s="17" t="n">
        <v>2.07523538793796</v>
      </c>
      <c r="L404" s="18">
        <f>$B$5*$B$3*$B$6*SIN(F404)</f>
        <v/>
      </c>
      <c r="M404" s="18">
        <f>$B$9*K404*(SIN(F404))^2 + $B$8*($B$10+K404*COS(F404))*COS(F404)</f>
        <v/>
      </c>
      <c r="N404" s="18">
        <f>0.5*$B$9*(J404^2 + (K404*SIN(F404))^2) + 0.5*$B$8*($B$10 + K404*COS(F404))^2</f>
        <v/>
      </c>
      <c r="O404" s="18">
        <f>$B$3*$B$6*$B$5*COS(F404)</f>
        <v/>
      </c>
      <c r="P404" s="18">
        <f>N404+O404</f>
        <v/>
      </c>
      <c r="Q404" s="19">
        <f>ABS(P404-$P$3)</f>
        <v/>
      </c>
    </row>
    <row r="405">
      <c r="D405" s="6" t="n">
        <v>403</v>
      </c>
      <c r="E405" s="7" t="n">
        <v>4.022873481057899</v>
      </c>
      <c r="F405" s="8" t="n">
        <v>1.161755512979907</v>
      </c>
      <c r="G405" s="9">
        <f>DEGREES(F405)</f>
        <v/>
      </c>
      <c r="H405" s="8" t="n">
        <v>4.525636303980551</v>
      </c>
      <c r="I405" s="9">
        <f>DEGREES(H405)</f>
        <v/>
      </c>
      <c r="J405" s="10" t="n">
        <v>0.6301821780513507</v>
      </c>
      <c r="K405" s="10" t="n">
        <v>2.045204069074946</v>
      </c>
      <c r="L405" s="11">
        <f>$B$5*$B$3*$B$6*SIN(F405)</f>
        <v/>
      </c>
      <c r="M405" s="11">
        <f>$B$9*K405*(SIN(F405))^2 + $B$8*($B$10+K405*COS(F405))*COS(F405)</f>
        <v/>
      </c>
      <c r="N405" s="11">
        <f>0.5*$B$9*(J405^2 + (K405*SIN(F405))^2) + 0.5*$B$8*($B$10 + K405*COS(F405))^2</f>
        <v/>
      </c>
      <c r="O405" s="11">
        <f>$B$3*$B$6*$B$5*COS(F405)</f>
        <v/>
      </c>
      <c r="P405" s="11">
        <f>N405+O405</f>
        <v/>
      </c>
      <c r="Q405" s="12">
        <f>ABS(P405-$P$3)</f>
        <v/>
      </c>
    </row>
    <row r="406">
      <c r="D406" s="13" t="n">
        <v>404</v>
      </c>
      <c r="E406" s="14" t="n">
        <v>4.032880629020729</v>
      </c>
      <c r="F406" s="15" t="n">
        <v>1.168355301201804</v>
      </c>
      <c r="G406" s="16">
        <f>DEGREES(F406)</f>
        <v/>
      </c>
      <c r="H406" s="15" t="n">
        <v>4.545940284057763</v>
      </c>
      <c r="I406" s="16">
        <f>DEGREES(H406)</f>
        <v/>
      </c>
      <c r="J406" s="17" t="n">
        <v>0.6884874258704704</v>
      </c>
      <c r="K406" s="17" t="n">
        <v>2.012205127965465</v>
      </c>
      <c r="L406" s="18">
        <f>$B$5*$B$3*$B$6*SIN(F406)</f>
        <v/>
      </c>
      <c r="M406" s="18">
        <f>$B$9*K406*(SIN(F406))^2 + $B$8*($B$10+K406*COS(F406))*COS(F406)</f>
        <v/>
      </c>
      <c r="N406" s="18">
        <f>0.5*$B$9*(J406^2 + (K406*SIN(F406))^2) + 0.5*$B$8*($B$10 + K406*COS(F406))^2</f>
        <v/>
      </c>
      <c r="O406" s="18">
        <f>$B$3*$B$6*$B$5*COS(F406)</f>
        <v/>
      </c>
      <c r="P406" s="18">
        <f>N406+O406</f>
        <v/>
      </c>
      <c r="Q406" s="19">
        <f>ABS(P406-$P$3)</f>
        <v/>
      </c>
    </row>
    <row r="407">
      <c r="D407" s="6" t="n">
        <v>405</v>
      </c>
      <c r="E407" s="7" t="n">
        <v>4.04288777698356</v>
      </c>
      <c r="F407" s="8" t="n">
        <v>1.175527892762083</v>
      </c>
      <c r="G407" s="9">
        <f>DEGREES(F407)</f>
        <v/>
      </c>
      <c r="H407" s="8" t="n">
        <v>4.56589961832831</v>
      </c>
      <c r="I407" s="9">
        <f>DEGREES(H407)</f>
        <v/>
      </c>
      <c r="J407" s="10" t="n">
        <v>0.7446310551901855</v>
      </c>
      <c r="K407" s="10" t="n">
        <v>1.976342170164068</v>
      </c>
      <c r="L407" s="11">
        <f>$B$5*$B$3*$B$6*SIN(F407)</f>
        <v/>
      </c>
      <c r="M407" s="11">
        <f>$B$9*K407*(SIN(F407))^2 + $B$8*($B$10+K407*COS(F407))*COS(F407)</f>
        <v/>
      </c>
      <c r="N407" s="11">
        <f>0.5*$B$9*(J407^2 + (K407*SIN(F407))^2) + 0.5*$B$8*($B$10 + K407*COS(F407))^2</f>
        <v/>
      </c>
      <c r="O407" s="11">
        <f>$B$3*$B$6*$B$5*COS(F407)</f>
        <v/>
      </c>
      <c r="P407" s="11">
        <f>N407+O407</f>
        <v/>
      </c>
      <c r="Q407" s="12">
        <f>ABS(P407-$P$3)</f>
        <v/>
      </c>
    </row>
    <row r="408">
      <c r="D408" s="13" t="n">
        <v>406</v>
      </c>
      <c r="E408" s="14" t="n">
        <v>4.052894924946391</v>
      </c>
      <c r="F408" s="15" t="n">
        <v>1.183250768140384</v>
      </c>
      <c r="G408" s="16">
        <f>DEGREES(F408)</f>
        <v/>
      </c>
      <c r="H408" s="15" t="n">
        <v>4.585486202188262</v>
      </c>
      <c r="I408" s="16">
        <f>DEGREES(H408)</f>
        <v/>
      </c>
      <c r="J408" s="17" t="n">
        <v>0.7984367939346356</v>
      </c>
      <c r="K408" s="17" t="n">
        <v>1.937727793272563</v>
      </c>
      <c r="L408" s="18">
        <f>$B$5*$B$3*$B$6*SIN(F408)</f>
        <v/>
      </c>
      <c r="M408" s="18">
        <f>$B$9*K408*(SIN(F408))^2 + $B$8*($B$10+K408*COS(F408))*COS(F408)</f>
        <v/>
      </c>
      <c r="N408" s="18">
        <f>0.5*$B$9*(J408^2 + (K408*SIN(F408))^2) + 0.5*$B$8*($B$10 + K408*COS(F408))^2</f>
        <v/>
      </c>
      <c r="O408" s="18">
        <f>$B$3*$B$6*$B$5*COS(F408)</f>
        <v/>
      </c>
      <c r="P408" s="18">
        <f>N408+O408</f>
        <v/>
      </c>
      <c r="Q408" s="19">
        <f>ABS(P408-$P$3)</f>
        <v/>
      </c>
    </row>
    <row r="409">
      <c r="D409" s="6" t="n">
        <v>407</v>
      </c>
      <c r="E409" s="7" t="n">
        <v>4.062902072909221</v>
      </c>
      <c r="F409" s="8" t="n">
        <v>1.191499680110599</v>
      </c>
      <c r="G409" s="9">
        <f>DEGREES(F409)</f>
        <v/>
      </c>
      <c r="H409" s="8" t="n">
        <v>4.604673101344355</v>
      </c>
      <c r="I409" s="9">
        <f>DEGREES(H409)</f>
        <v/>
      </c>
      <c r="J409" s="10" t="n">
        <v>0.8497357102164965</v>
      </c>
      <c r="K409" s="10" t="n">
        <v>1.896483233421486</v>
      </c>
      <c r="L409" s="11">
        <f>$B$5*$B$3*$B$6*SIN(F409)</f>
        <v/>
      </c>
      <c r="M409" s="11">
        <f>$B$9*K409*(SIN(F409))^2 + $B$8*($B$10+K409*COS(F409))*COS(F409)</f>
        <v/>
      </c>
      <c r="N409" s="11">
        <f>0.5*$B$9*(J409^2 + (K409*SIN(F409))^2) + 0.5*$B$8*($B$10 + K409*COS(F409))^2</f>
        <v/>
      </c>
      <c r="O409" s="11">
        <f>$B$3*$B$6*$B$5*COS(F409)</f>
        <v/>
      </c>
      <c r="P409" s="11">
        <f>N409+O409</f>
        <v/>
      </c>
      <c r="Q409" s="12">
        <f>ABS(P409-$P$3)</f>
        <v/>
      </c>
    </row>
    <row r="410">
      <c r="D410" s="13" t="n">
        <v>408</v>
      </c>
      <c r="E410" s="14" t="n">
        <v>4.072909220872051</v>
      </c>
      <c r="F410" s="15" t="n">
        <v>1.200248729868997</v>
      </c>
      <c r="G410" s="16">
        <f>DEGREES(F410)</f>
        <v/>
      </c>
      <c r="H410" s="15" t="n">
        <v>4.623434636378613</v>
      </c>
      <c r="I410" s="16">
        <f>DEGREES(H410)</f>
        <v/>
      </c>
      <c r="J410" s="17" t="n">
        <v>0.8983667427262036</v>
      </c>
      <c r="K410" s="17" t="n">
        <v>1.852737984629496</v>
      </c>
      <c r="L410" s="18">
        <f>$B$5*$B$3*$B$6*SIN(F410)</f>
        <v/>
      </c>
      <c r="M410" s="18">
        <f>$B$9*K410*(SIN(F410))^2 + $B$8*($B$10+K410*COS(F410))*COS(F410)</f>
        <v/>
      </c>
      <c r="N410" s="18">
        <f>0.5*$B$9*(J410^2 + (K410*SIN(F410))^2) + 0.5*$B$8*($B$10 + K410*COS(F410))^2</f>
        <v/>
      </c>
      <c r="O410" s="18">
        <f>$B$3*$B$6*$B$5*COS(F410)</f>
        <v/>
      </c>
      <c r="P410" s="18">
        <f>N410+O410</f>
        <v/>
      </c>
      <c r="Q410" s="19">
        <f>ABS(P410-$P$3)</f>
        <v/>
      </c>
    </row>
    <row r="411">
      <c r="D411" s="6" t="n">
        <v>409</v>
      </c>
      <c r="E411" s="7" t="n">
        <v>4.082916368834883</v>
      </c>
      <c r="F411" s="8" t="n">
        <v>1.209470448347737</v>
      </c>
      <c r="G411" s="9">
        <f>DEGREES(F411)</f>
        <v/>
      </c>
      <c r="H411" s="8" t="n">
        <v>4.641746463373053</v>
      </c>
      <c r="I411" s="9">
        <f>DEGREES(H411)</f>
        <v/>
      </c>
      <c r="J411" s="10" t="n">
        <v>0.9441772064101677</v>
      </c>
      <c r="K411" s="10" t="n">
        <v>1.806629392235798</v>
      </c>
      <c r="L411" s="11">
        <f>$B$5*$B$3*$B$6*SIN(F411)</f>
        <v/>
      </c>
      <c r="M411" s="11">
        <f>$B$9*K411*(SIN(F411))^2 + $B$8*($B$10+K411*COS(F411))*COS(F411)</f>
        <v/>
      </c>
      <c r="N411" s="11">
        <f>0.5*$B$9*(J411^2 + (K411*SIN(F411))^2) + 0.5*$B$8*($B$10 + K411*COS(F411))^2</f>
        <v/>
      </c>
      <c r="O411" s="11">
        <f>$B$3*$B$6*$B$5*COS(F411)</f>
        <v/>
      </c>
      <c r="P411" s="11">
        <f>N411+O411</f>
        <v/>
      </c>
      <c r="Q411" s="12">
        <f>ABS(P411-$P$3)</f>
        <v/>
      </c>
    </row>
    <row r="412">
      <c r="D412" s="13" t="n">
        <v>410</v>
      </c>
      <c r="E412" s="14" t="n">
        <v>4.092923516797713</v>
      </c>
      <c r="F412" s="15" t="n">
        <v>1.219135882458479</v>
      </c>
      <c r="G412" s="16">
        <f>DEGREES(F412)</f>
        <v/>
      </c>
      <c r="H412" s="15" t="n">
        <v>4.659585650341383</v>
      </c>
      <c r="I412" s="16">
        <f>DEGREES(H412)</f>
        <v/>
      </c>
      <c r="J412" s="17" t="n">
        <v>0.9870232718503762</v>
      </c>
      <c r="K412" s="17" t="n">
        <v>1.758302221682086</v>
      </c>
      <c r="L412" s="18">
        <f>$B$5*$B$3*$B$6*SIN(F412)</f>
        <v/>
      </c>
      <c r="M412" s="18">
        <f>$B$9*K412*(SIN(F412))^2 + $B$8*($B$10+K412*COS(F412))*COS(F412)</f>
        <v/>
      </c>
      <c r="N412" s="18">
        <f>0.5*$B$9*(J412^2 + (K412*SIN(F412))^2) + 0.5*$B$8*($B$10 + K412*COS(F412))^2</f>
        <v/>
      </c>
      <c r="O412" s="18">
        <f>$B$3*$B$6*$B$5*COS(F412)</f>
        <v/>
      </c>
      <c r="P412" s="18">
        <f>N412+O412</f>
        <v/>
      </c>
      <c r="Q412" s="19">
        <f>ABS(P412-$P$3)</f>
        <v/>
      </c>
    </row>
    <row r="413">
      <c r="D413" s="6" t="n">
        <v>411</v>
      </c>
      <c r="E413" s="7" t="n">
        <v>4.102930664760543</v>
      </c>
      <c r="F413" s="8" t="n">
        <v>1.229214685995334</v>
      </c>
      <c r="G413" s="9">
        <f>DEGREES(F413)</f>
        <v/>
      </c>
      <c r="H413" s="8" t="n">
        <v>4.67693074922772</v>
      </c>
      <c r="I413" s="9">
        <f>DEGREES(H413)</f>
        <v/>
      </c>
      <c r="J413" s="10" t="n">
        <v>1.02677041684032</v>
      </c>
      <c r="K413" s="10" t="n">
        <v>1.707908203997814</v>
      </c>
      <c r="L413" s="11">
        <f>$B$5*$B$3*$B$6*SIN(F413)</f>
        <v/>
      </c>
      <c r="M413" s="11">
        <f>$B$9*K413*(SIN(F413))^2 + $B$8*($B$10+K413*COS(F413))*COS(F413)</f>
        <v/>
      </c>
      <c r="N413" s="11">
        <f>0.5*$B$9*(J413^2 + (K413*SIN(F413))^2) + 0.5*$B$8*($B$10 + K413*COS(F413))^2</f>
        <v/>
      </c>
      <c r="O413" s="11">
        <f>$B$3*$B$6*$B$5*COS(F413)</f>
        <v/>
      </c>
      <c r="P413" s="11">
        <f>N413+O413</f>
        <v/>
      </c>
      <c r="Q413" s="12">
        <f>ABS(P413-$P$3)</f>
        <v/>
      </c>
    </row>
    <row r="414">
      <c r="D414" s="13" t="n">
        <v>412</v>
      </c>
      <c r="E414" s="14" t="n">
        <v>4.112937812723374</v>
      </c>
      <c r="F414" s="15" t="n">
        <v>1.239675214911718</v>
      </c>
      <c r="G414" s="16">
        <f>DEGREES(F414)</f>
        <v/>
      </c>
      <c r="H414" s="15" t="n">
        <v>4.693761863246252</v>
      </c>
      <c r="I414" s="16">
        <f>DEGREES(H414)</f>
        <v/>
      </c>
      <c r="J414" s="17" t="n">
        <v>1.063293848739384</v>
      </c>
      <c r="K414" s="17" t="n">
        <v>1.655605559415894</v>
      </c>
      <c r="L414" s="18">
        <f>$B$5*$B$3*$B$6*SIN(F414)</f>
        <v/>
      </c>
      <c r="M414" s="18">
        <f>$B$9*K414*(SIN(F414))^2 + $B$8*($B$10+K414*COS(F414))*COS(F414)</f>
        <v/>
      </c>
      <c r="N414" s="18">
        <f>0.5*$B$9*(J414^2 + (K414*SIN(F414))^2) + 0.5*$B$8*($B$10 + K414*COS(F414))^2</f>
        <v/>
      </c>
      <c r="O414" s="18">
        <f>$B$3*$B$6*$B$5*COS(F414)</f>
        <v/>
      </c>
      <c r="P414" s="18">
        <f>N414+O414</f>
        <v/>
      </c>
      <c r="Q414" s="19">
        <f>ABS(P414-$P$3)</f>
        <v/>
      </c>
    </row>
    <row r="415">
      <c r="D415" s="6" t="n">
        <v>413</v>
      </c>
      <c r="E415" s="7" t="n">
        <v>4.122944960686205</v>
      </c>
      <c r="F415" s="8" t="n">
        <v>1.250484626671992</v>
      </c>
      <c r="G415" s="9">
        <f>DEGREES(F415)</f>
        <v/>
      </c>
      <c r="H415" s="8" t="n">
        <v>4.710060709350436</v>
      </c>
      <c r="I415" s="9">
        <f>DEGREES(H415)</f>
        <v/>
      </c>
      <c r="J415" s="10" t="n">
        <v>1.096478896279665</v>
      </c>
      <c r="K415" s="10" t="n">
        <v>1.601558500614521</v>
      </c>
      <c r="L415" s="11">
        <f>$B$5*$B$3*$B$6*SIN(F415)</f>
        <v/>
      </c>
      <c r="M415" s="11">
        <f>$B$9*K415*(SIN(F415))^2 + $B$8*($B$10+K415*COS(F415))*COS(F415)</f>
        <v/>
      </c>
      <c r="N415" s="11">
        <f>0.5*$B$9*(J415^2 + (K415*SIN(F415))^2) + 0.5*$B$8*($B$10 + K415*COS(F415))^2</f>
        <v/>
      </c>
      <c r="O415" s="11">
        <f>$B$3*$B$6*$B$5*COS(F415)</f>
        <v/>
      </c>
      <c r="P415" s="11">
        <f>N415+O415</f>
        <v/>
      </c>
      <c r="Q415" s="12">
        <f>ABS(P415-$P$3)</f>
        <v/>
      </c>
    </row>
    <row r="416">
      <c r="D416" s="13" t="n">
        <v>414</v>
      </c>
      <c r="E416" s="14" t="n">
        <v>4.132952108649035</v>
      </c>
      <c r="F416" s="15" t="n">
        <v>1.261608983365966</v>
      </c>
      <c r="G416" s="16">
        <f>DEGREES(F416)</f>
        <v/>
      </c>
      <c r="H416" s="15" t="n">
        <v>4.725810675635612</v>
      </c>
      <c r="I416" s="16">
        <f>DEGREES(H416)</f>
        <v/>
      </c>
      <c r="J416" s="17" t="n">
        <v>1.126221369595135</v>
      </c>
      <c r="K416" s="17" t="n">
        <v>1.545936717144654</v>
      </c>
      <c r="L416" s="18">
        <f>$B$5*$B$3*$B$6*SIN(F416)</f>
        <v/>
      </c>
      <c r="M416" s="18">
        <f>$B$9*K416*(SIN(F416))^2 + $B$8*($B$10+K416*COS(F416))*COS(F416)</f>
        <v/>
      </c>
      <c r="N416" s="18">
        <f>0.5*$B$9*(J416^2 + (K416*SIN(F416))^2) + 0.5*$B$8*($B$10 + K416*COS(F416))^2</f>
        <v/>
      </c>
      <c r="O416" s="18">
        <f>$B$3*$B$6*$B$5*COS(F416)</f>
        <v/>
      </c>
      <c r="P416" s="18">
        <f>N416+O416</f>
        <v/>
      </c>
      <c r="Q416" s="19">
        <f>ABS(P416-$P$3)</f>
        <v/>
      </c>
    </row>
    <row r="417">
      <c r="D417" s="6" t="n">
        <v>415</v>
      </c>
      <c r="E417" s="7" t="n">
        <v>4.142959256611866</v>
      </c>
      <c r="F417" s="8" t="n">
        <v>1.273013358262487</v>
      </c>
      <c r="G417" s="9">
        <f>DEGREES(F417)</f>
        <v/>
      </c>
      <c r="H417" s="8" t="n">
        <v>4.740996873494783</v>
      </c>
      <c r="I417" s="9">
        <f>DEGREES(H417)</f>
        <v/>
      </c>
      <c r="J417" s="10" t="n">
        <v>1.15242788734269</v>
      </c>
      <c r="K417" s="10" t="n">
        <v>1.488914842662047</v>
      </c>
      <c r="L417" s="11">
        <f>$B$5*$B$3*$B$6*SIN(F417)</f>
        <v/>
      </c>
      <c r="M417" s="11">
        <f>$B$9*K417*(SIN(F417))^2 + $B$8*($B$10+K417*COS(F417))*COS(F417)</f>
        <v/>
      </c>
      <c r="N417" s="11">
        <f>0.5*$B$9*(J417^2 + (K417*SIN(F417))^2) + 0.5*$B$8*($B$10 + K417*COS(F417))^2</f>
        <v/>
      </c>
      <c r="O417" s="11">
        <f>$B$3*$B$6*$B$5*COS(F417)</f>
        <v/>
      </c>
      <c r="P417" s="11">
        <f>N417+O417</f>
        <v/>
      </c>
      <c r="Q417" s="12">
        <f>ABS(P417-$P$3)</f>
        <v/>
      </c>
    </row>
    <row r="418">
      <c r="D418" s="13" t="n">
        <v>416</v>
      </c>
      <c r="E418" s="14" t="n">
        <v>4.152966404574697</v>
      </c>
      <c r="F418" s="15" t="n">
        <v>1.284661945467615</v>
      </c>
      <c r="G418" s="16">
        <f>DEGREES(F418)</f>
        <v/>
      </c>
      <c r="H418" s="15" t="n">
        <v>4.755606184363816</v>
      </c>
      <c r="I418" s="16">
        <f>DEGREES(H418)</f>
        <v/>
      </c>
      <c r="J418" s="17" t="n">
        <v>1.175016169888106</v>
      </c>
      <c r="K418" s="17" t="n">
        <v>1.430671906636406</v>
      </c>
      <c r="L418" s="18">
        <f>$B$5*$B$3*$B$6*SIN(F418)</f>
        <v/>
      </c>
      <c r="M418" s="18">
        <f>$B$9*K418*(SIN(F418))^2 + $B$8*($B$10+K418*COS(F418))*COS(F418)</f>
        <v/>
      </c>
      <c r="N418" s="18">
        <f>0.5*$B$9*(J418^2 + (K418*SIN(F418))^2) + 0.5*$B$8*($B$10 + K418*COS(F418))^2</f>
        <v/>
      </c>
      <c r="O418" s="18">
        <f>$B$3*$B$6*$B$5*COS(F418)</f>
        <v/>
      </c>
      <c r="P418" s="18">
        <f>N418+O418</f>
        <v/>
      </c>
      <c r="Q418" s="19">
        <f>ABS(P418-$P$3)</f>
        <v/>
      </c>
    </row>
    <row r="419">
      <c r="D419" s="6" t="n">
        <v>417</v>
      </c>
      <c r="E419" s="7" t="n">
        <v>4.162973552537527</v>
      </c>
      <c r="F419" s="8" t="n">
        <v>1.296518172343058</v>
      </c>
      <c r="G419" s="9">
        <f>DEGREES(F419)</f>
        <v/>
      </c>
      <c r="H419" s="8" t="n">
        <v>4.769627300909322</v>
      </c>
      <c r="I419" s="9">
        <f>DEGREES(H419)</f>
        <v/>
      </c>
      <c r="J419" s="10" t="n">
        <v>1.193915297636362</v>
      </c>
      <c r="K419" s="10" t="n">
        <v>1.371390772259193</v>
      </c>
      <c r="L419" s="11">
        <f>$B$5*$B$3*$B$6*SIN(F419)</f>
        <v/>
      </c>
      <c r="M419" s="11">
        <f>$B$9*K419*(SIN(F419))^2 + $B$8*($B$10+K419*COS(F419))*COS(F419)</f>
        <v/>
      </c>
      <c r="N419" s="11">
        <f>0.5*$B$9*(J419^2 + (K419*SIN(F419))^2) + 0.5*$B$8*($B$10 + K419*COS(F419))^2</f>
        <v/>
      </c>
      <c r="O419" s="11">
        <f>$B$3*$B$6*$B$5*COS(F419)</f>
        <v/>
      </c>
      <c r="P419" s="11">
        <f>N419+O419</f>
        <v/>
      </c>
      <c r="Q419" s="12">
        <f>ABS(P419-$P$3)</f>
        <v/>
      </c>
    </row>
    <row r="420">
      <c r="D420" s="13" t="n">
        <v>418</v>
      </c>
      <c r="E420" s="14" t="n">
        <v>4.172980700500358</v>
      </c>
      <c r="F420" s="15" t="n">
        <v>1.308544814331935</v>
      </c>
      <c r="G420" s="16">
        <f>DEGREES(F420)</f>
        <v/>
      </c>
      <c r="H420" s="15" t="n">
        <v>4.78305076252987</v>
      </c>
      <c r="I420" s="16">
        <f>DEGREES(H420)</f>
        <v/>
      </c>
      <c r="J420" s="17" t="n">
        <v>1.209065933695269</v>
      </c>
      <c r="K420" s="17" t="n">
        <v>1.311257562314807</v>
      </c>
      <c r="L420" s="18">
        <f>$B$5*$B$3*$B$6*SIN(F420)</f>
        <v/>
      </c>
      <c r="M420" s="18">
        <f>$B$9*K420*(SIN(F420))^2 + $B$8*($B$10+K420*COS(F420))*COS(F420)</f>
        <v/>
      </c>
      <c r="N420" s="18">
        <f>0.5*$B$9*(J420^2 + (K420*SIN(F420))^2) + 0.5*$B$8*($B$10 + K420*COS(F420))^2</f>
        <v/>
      </c>
      <c r="O420" s="18">
        <f>$B$3*$B$6*$B$5*COS(F420)</f>
        <v/>
      </c>
      <c r="P420" s="18">
        <f>N420+O420</f>
        <v/>
      </c>
      <c r="Q420" s="19">
        <f>ABS(P420-$P$3)</f>
        <v/>
      </c>
    </row>
    <row r="421">
      <c r="D421" s="6" t="n">
        <v>419</v>
      </c>
      <c r="E421" s="7" t="n">
        <v>4.182987848463188</v>
      </c>
      <c r="F421" s="8" t="n">
        <v>1.320704111831334</v>
      </c>
      <c r="G421" s="9">
        <f>DEGREES(F421)</f>
        <v/>
      </c>
      <c r="H421" s="8" t="n">
        <v>4.795868985059079</v>
      </c>
      <c r="I421" s="9">
        <f>DEGREES(H421)</f>
        <v/>
      </c>
      <c r="J421" s="10" t="n">
        <v>1.220420510173309</v>
      </c>
      <c r="K421" s="10" t="n">
        <v>1.250461074817811</v>
      </c>
      <c r="L421" s="11">
        <f>$B$5*$B$3*$B$6*SIN(F421)</f>
        <v/>
      </c>
      <c r="M421" s="11">
        <f>$B$9*K421*(SIN(F421))^2 + $B$8*($B$10+K421*COS(F421))*COS(F421)</f>
        <v/>
      </c>
      <c r="N421" s="11">
        <f>0.5*$B$9*(J421^2 + (K421*SIN(F421))^2) + 0.5*$B$8*($B$10 + K421*COS(F421))^2</f>
        <v/>
      </c>
      <c r="O421" s="11">
        <f>$B$3*$B$6*$B$5*COS(F421)</f>
        <v/>
      </c>
      <c r="P421" s="11">
        <f>N421+O421</f>
        <v/>
      </c>
      <c r="Q421" s="12">
        <f>ABS(P421-$P$3)</f>
        <v/>
      </c>
    </row>
    <row r="422">
      <c r="D422" s="13" t="n">
        <v>420</v>
      </c>
      <c r="E422" s="14" t="n">
        <v>4.192994996426019</v>
      </c>
      <c r="F422" s="15" t="n">
        <v>1.33295788874475</v>
      </c>
      <c r="G422" s="16">
        <f>DEGREES(F422)</f>
        <v/>
      </c>
      <c r="H422" s="15" t="n">
        <v>4.808076284577358</v>
      </c>
      <c r="I422" s="16">
        <f>DEGREES(H422)</f>
        <v/>
      </c>
      <c r="J422" s="17" t="n">
        <v>1.227943377526797</v>
      </c>
      <c r="K422" s="17" t="n">
        <v>1.189192190250733</v>
      </c>
      <c r="L422" s="18">
        <f>$B$5*$B$3*$B$6*SIN(F422)</f>
        <v/>
      </c>
      <c r="M422" s="18">
        <f>$B$9*K422*(SIN(F422))^2 + $B$8*($B$10+K422*COS(F422))*COS(F422)</f>
        <v/>
      </c>
      <c r="N422" s="18">
        <f>0.5*$B$9*(J422^2 + (K422*SIN(F422))^2) + 0.5*$B$8*($B$10 + K422*COS(F422))^2</f>
        <v/>
      </c>
      <c r="O422" s="18">
        <f>$B$3*$B$6*$B$5*COS(F422)</f>
        <v/>
      </c>
      <c r="P422" s="18">
        <f>N422+O422</f>
        <v/>
      </c>
      <c r="Q422" s="19">
        <f>ABS(P422-$P$3)</f>
        <v/>
      </c>
    </row>
    <row r="423">
      <c r="D423" s="6" t="n">
        <v>421</v>
      </c>
      <c r="E423" s="7" t="n">
        <v>4.20300214438885</v>
      </c>
      <c r="F423" s="8" t="n">
        <v>1.345267672342153</v>
      </c>
      <c r="G423" s="9">
        <f>DEGREES(F423)</f>
        <v/>
      </c>
      <c r="H423" s="8" t="n">
        <v>4.81966889525749</v>
      </c>
      <c r="I423" s="9">
        <f>DEGREES(H423)</f>
        <v/>
      </c>
      <c r="J423" s="10" t="n">
        <v>1.231610916487421</v>
      </c>
      <c r="K423" s="10" t="n">
        <v>1.127643272263716</v>
      </c>
      <c r="L423" s="11">
        <f>$B$5*$B$3*$B$6*SIN(F423)</f>
        <v/>
      </c>
      <c r="M423" s="11">
        <f>$B$9*K423*(SIN(F423))^2 + $B$8*($B$10+K423*COS(F423))*COS(F423)</f>
        <v/>
      </c>
      <c r="N423" s="11">
        <f>0.5*$B$9*(J423^2 + (K423*SIN(F423))^2) + 0.5*$B$8*($B$10 + K423*COS(F423))^2</f>
        <v/>
      </c>
      <c r="O423" s="11">
        <f>$B$3*$B$6*$B$5*COS(F423)</f>
        <v/>
      </c>
      <c r="P423" s="11">
        <f>N423+O423</f>
        <v/>
      </c>
      <c r="Q423" s="12">
        <f>ABS(P423-$P$3)</f>
        <v/>
      </c>
    </row>
    <row r="424">
      <c r="D424" s="13" t="n">
        <v>422</v>
      </c>
      <c r="E424" s="14" t="n">
        <v>4.21300929235168</v>
      </c>
      <c r="F424" s="15" t="n">
        <v>1.3575948140514</v>
      </c>
      <c r="G424" s="16">
        <f>DEGREES(F424)</f>
        <v/>
      </c>
      <c r="H424" s="15" t="n">
        <v>4.830644981188059</v>
      </c>
      <c r="I424" s="16">
        <f>DEGREES(H424)</f>
        <v/>
      </c>
      <c r="J424" s="17" t="n">
        <v>1.231411612218793</v>
      </c>
      <c r="K424" s="17" t="n">
        <v>1.066007563717483</v>
      </c>
      <c r="L424" s="18">
        <f>$B$5*$B$3*$B$6*SIN(F424)</f>
        <v/>
      </c>
      <c r="M424" s="18">
        <f>$B$9*K424*(SIN(F424))^2 + $B$8*($B$10+K424*COS(F424))*COS(F424)</f>
        <v/>
      </c>
      <c r="N424" s="18">
        <f>0.5*$B$9*(J424^2 + (K424*SIN(F424))^2) + 0.5*$B$8*($B$10 + K424*COS(F424))^2</f>
        <v/>
      </c>
      <c r="O424" s="18">
        <f>$B$3*$B$6*$B$5*COS(F424)</f>
        <v/>
      </c>
      <c r="P424" s="18">
        <f>N424+O424</f>
        <v/>
      </c>
      <c r="Q424" s="19">
        <f>ABS(P424-$P$3)</f>
        <v/>
      </c>
    </row>
    <row r="425">
      <c r="D425" s="6" t="n">
        <v>423</v>
      </c>
      <c r="E425" s="7" t="n">
        <v>4.223016440314511</v>
      </c>
      <c r="F425" s="8" t="n">
        <v>1.369900610801727</v>
      </c>
      <c r="G425" s="9">
        <f>DEGREES(F425)</f>
        <v/>
      </c>
      <c r="H425" s="8" t="n">
        <v>4.841004642137599</v>
      </c>
      <c r="I425" s="9">
        <f>DEGREES(H425)</f>
        <v/>
      </c>
      <c r="J425" s="10" t="n">
        <v>1.22734609046915</v>
      </c>
      <c r="K425" s="10" t="n">
        <v>1.004478579965846</v>
      </c>
      <c r="L425" s="11">
        <f>$B$5*$B$3*$B$6*SIN(F425)</f>
        <v/>
      </c>
      <c r="M425" s="11">
        <f>$B$9*K425*(SIN(F425))^2 + $B$8*($B$10+K425*COS(F425))*COS(F425)</f>
        <v/>
      </c>
      <c r="N425" s="11">
        <f>0.5*$B$9*(J425^2 + (K425*SIN(F425))^2) + 0.5*$B$8*($B$10 + K425*COS(F425))^2</f>
        <v/>
      </c>
      <c r="O425" s="11">
        <f>$B$3*$B$6*$B$5*COS(F425)</f>
        <v/>
      </c>
      <c r="P425" s="11">
        <f>N425+O425</f>
        <v/>
      </c>
      <c r="Q425" s="12">
        <f>ABS(P425-$P$3)</f>
        <v/>
      </c>
    </row>
    <row r="426">
      <c r="D426" s="13" t="n">
        <v>424</v>
      </c>
      <c r="E426" s="14" t="n">
        <v>4.233023588277341</v>
      </c>
      <c r="F426" s="15" t="n">
        <v>1.38214642653835</v>
      </c>
      <c r="G426" s="16">
        <f>DEGREES(F426)</f>
        <v/>
      </c>
      <c r="H426" s="15" t="n">
        <v>4.850749913241351</v>
      </c>
      <c r="I426" s="16">
        <f>DEGREES(H426)</f>
        <v/>
      </c>
      <c r="J426" s="17" t="n">
        <v>1.219427115606721</v>
      </c>
      <c r="K426" s="17" t="n">
        <v>0.9432495012827332</v>
      </c>
      <c r="L426" s="18">
        <f>$B$5*$B$3*$B$6*SIN(F426)</f>
        <v/>
      </c>
      <c r="M426" s="18">
        <f>$B$9*K426*(SIN(F426))^2 + $B$8*($B$10+K426*COS(F426))*COS(F426)</f>
        <v/>
      </c>
      <c r="N426" s="18">
        <f>0.5*$B$9*(J426^2 + (K426*SIN(F426))^2) + 0.5*$B$8*($B$10 + K426*COS(F426))^2</f>
        <v/>
      </c>
      <c r="O426" s="18">
        <f>$B$3*$B$6*$B$5*COS(F426)</f>
        <v/>
      </c>
      <c r="P426" s="18">
        <f>N426+O426</f>
        <v/>
      </c>
      <c r="Q426" s="19">
        <f>ABS(P426-$P$3)</f>
        <v/>
      </c>
    </row>
    <row r="427">
      <c r="D427" s="6" t="n">
        <v>425</v>
      </c>
      <c r="E427" s="7" t="n">
        <v>4.243030736240172</v>
      </c>
      <c r="F427" s="8" t="n">
        <v>1.394293813526652</v>
      </c>
      <c r="G427" s="9">
        <f>DEGREES(F427)</f>
        <v/>
      </c>
      <c r="H427" s="8" t="n">
        <v>4.859884758611623</v>
      </c>
      <c r="I427" s="9">
        <f>DEGREES(H427)</f>
        <v/>
      </c>
      <c r="J427" s="10" t="n">
        <v>1.207679550543907</v>
      </c>
      <c r="K427" s="10" t="n">
        <v>0.8825125663412253</v>
      </c>
      <c r="L427" s="11">
        <f>$B$5*$B$3*$B$6*SIN(F427)</f>
        <v/>
      </c>
      <c r="M427" s="11">
        <f>$B$9*K427*(SIN(F427))^2 + $B$8*($B$10+K427*COS(F427))*COS(F427)</f>
        <v/>
      </c>
      <c r="N427" s="11">
        <f>0.5*$B$9*(J427^2 + (K427*SIN(F427))^2) + 0.5*$B$8*($B$10 + K427*COS(F427))^2</f>
        <v/>
      </c>
      <c r="O427" s="11">
        <f>$B$3*$B$6*$B$5*COS(F427)</f>
        <v/>
      </c>
      <c r="P427" s="11">
        <f>N427+O427</f>
        <v/>
      </c>
      <c r="Q427" s="12">
        <f>ABS(P427-$P$3)</f>
        <v/>
      </c>
    </row>
    <row r="428">
      <c r="D428" s="13" t="n">
        <v>426</v>
      </c>
      <c r="E428" s="14" t="n">
        <v>4.253037884203002</v>
      </c>
      <c r="F428" s="15" t="n">
        <v>1.406304633065113</v>
      </c>
      <c r="G428" s="16">
        <f>DEGREES(F428)</f>
        <v/>
      </c>
      <c r="H428" s="15" t="n">
        <v>4.868415058891817</v>
      </c>
      <c r="I428" s="16">
        <f>DEGREES(H428)</f>
        <v/>
      </c>
      <c r="J428" s="17" t="n">
        <v>1.192140278676118</v>
      </c>
      <c r="K428" s="17" t="n">
        <v>0.8224584686489186</v>
      </c>
      <c r="L428" s="18">
        <f>$B$5*$B$3*$B$6*SIN(F428)</f>
        <v/>
      </c>
      <c r="M428" s="18">
        <f>$B$9*K428*(SIN(F428))^2 + $B$8*($B$10+K428*COS(F428))*COS(F428)</f>
        <v/>
      </c>
      <c r="N428" s="18">
        <f>0.5*$B$9*(J428^2 + (K428*SIN(F428))^2) + 0.5*$B$8*($B$10 + K428*COS(F428))^2</f>
        <v/>
      </c>
      <c r="O428" s="18">
        <f>$B$3*$B$6*$B$5*COS(F428)</f>
        <v/>
      </c>
      <c r="P428" s="18">
        <f>N428+O428</f>
        <v/>
      </c>
      <c r="Q428" s="19">
        <f>ABS(P428-$P$3)</f>
        <v/>
      </c>
    </row>
    <row r="429">
      <c r="D429" s="6" t="n">
        <v>427</v>
      </c>
      <c r="E429" s="7" t="n">
        <v>4.263045032165833</v>
      </c>
      <c r="F429" s="8" t="n">
        <v>1.418141175227988</v>
      </c>
      <c r="G429" s="9">
        <f>DEGREES(F429)</f>
        <v/>
      </c>
      <c r="H429" s="8" t="n">
        <v>4.876348592793185</v>
      </c>
      <c r="I429" s="9">
        <f>DEGREES(H429)</f>
        <v/>
      </c>
      <c r="J429" s="10" t="n">
        <v>1.172858088080339</v>
      </c>
      <c r="K429" s="10" t="n">
        <v>0.7632757578345408</v>
      </c>
      <c r="L429" s="11">
        <f>$B$5*$B$3*$B$6*SIN(F429)</f>
        <v/>
      </c>
      <c r="M429" s="11">
        <f>$B$9*K429*(SIN(F429))^2 + $B$8*($B$10+K429*COS(F429))*COS(F429)</f>
        <v/>
      </c>
      <c r="N429" s="11">
        <f>0.5*$B$9*(J429^2 + (K429*SIN(F429))^2) + 0.5*$B$8*($B$10 + K429*COS(F429))^2</f>
        <v/>
      </c>
      <c r="O429" s="11">
        <f>$B$3*$B$6*$B$5*COS(F429)</f>
        <v/>
      </c>
      <c r="P429" s="11">
        <f>N429+O429</f>
        <v/>
      </c>
      <c r="Q429" s="12">
        <f>ABS(P429-$P$3)</f>
        <v/>
      </c>
    </row>
    <row r="430">
      <c r="D430" s="13" t="n">
        <v>428</v>
      </c>
      <c r="E430" s="14" t="n">
        <v>4.273052180128664</v>
      </c>
      <c r="F430" s="15" t="n">
        <v>1.429766277261761</v>
      </c>
      <c r="G430" s="16">
        <f>DEGREES(F430)</f>
        <v/>
      </c>
      <c r="H430" s="15" t="n">
        <v>4.883695012672304</v>
      </c>
      <c r="I430" s="16">
        <f>DEGREES(H430)</f>
        <v/>
      </c>
      <c r="J430" s="17" t="n">
        <v>1.149893518337008</v>
      </c>
      <c r="K430" s="17" t="n">
        <v>0.7051502476656778</v>
      </c>
      <c r="L430" s="18">
        <f>$B$5*$B$3*$B$6*SIN(F430)</f>
        <v/>
      </c>
      <c r="M430" s="18">
        <f>$B$9*K430*(SIN(F430))^2 + $B$8*($B$10+K430*COS(F430))*COS(F430)</f>
        <v/>
      </c>
      <c r="N430" s="18">
        <f>0.5*$B$9*(J430^2 + (K430*SIN(F430))^2) + 0.5*$B$8*($B$10 + K430*COS(F430))^2</f>
        <v/>
      </c>
      <c r="O430" s="18">
        <f>$B$3*$B$6*$B$5*COS(F430)</f>
        <v/>
      </c>
      <c r="P430" s="18">
        <f>N430+O430</f>
        <v/>
      </c>
      <c r="Q430" s="19">
        <f>ABS(P430-$P$3)</f>
        <v/>
      </c>
    </row>
    <row r="431">
      <c r="D431" s="6" t="n">
        <v>429</v>
      </c>
      <c r="E431" s="7" t="n">
        <v>4.283059328091494</v>
      </c>
      <c r="F431" s="8" t="n">
        <v>1.44114344026366</v>
      </c>
      <c r="G431" s="9">
        <f>DEGREES(F431)</f>
        <v/>
      </c>
      <c r="H431" s="8" t="n">
        <v>4.890465814225922</v>
      </c>
      <c r="I431" s="9">
        <f>DEGREES(H431)</f>
        <v/>
      </c>
      <c r="J431" s="10" t="n">
        <v>1.123318670456145</v>
      </c>
      <c r="K431" s="10" t="n">
        <v>0.6482644326561799</v>
      </c>
      <c r="L431" s="11">
        <f>$B$5*$B$3*$B$6*SIN(F431)</f>
        <v/>
      </c>
      <c r="M431" s="11">
        <f>$B$9*K431*(SIN(F431))^2 + $B$8*($B$10+K431*COS(F431))*COS(F431)</f>
        <v/>
      </c>
      <c r="N431" s="11">
        <f>0.5*$B$9*(J431^2 + (K431*SIN(F431))^2) + 0.5*$B$8*($B$10 + K431*COS(F431))^2</f>
        <v/>
      </c>
      <c r="O431" s="11">
        <f>$B$3*$B$6*$B$5*COS(F431)</f>
        <v/>
      </c>
      <c r="P431" s="11">
        <f>N431+O431</f>
        <v/>
      </c>
      <c r="Q431" s="12">
        <f>ABS(P431-$P$3)</f>
        <v/>
      </c>
    </row>
    <row r="432">
      <c r="D432" s="13" t="n">
        <v>430</v>
      </c>
      <c r="E432" s="14" t="n">
        <v>4.293066476054324</v>
      </c>
      <c r="F432" s="15" t="n">
        <v>1.452236943775925</v>
      </c>
      <c r="G432" s="16">
        <f>DEGREES(F432)</f>
        <v/>
      </c>
      <c r="H432" s="15" t="n">
        <v>4.896674300398351</v>
      </c>
      <c r="I432" s="16">
        <f>DEGREES(H432)</f>
        <v/>
      </c>
      <c r="J432" s="17" t="n">
        <v>1.093216980504465</v>
      </c>
      <c r="K432" s="17" t="n">
        <v>0.5927969150948585</v>
      </c>
      <c r="L432" s="18">
        <f>$B$5*$B$3*$B$6*SIN(F432)</f>
        <v/>
      </c>
      <c r="M432" s="18">
        <f>$B$9*K432*(SIN(F432))^2 + $B$8*($B$10+K432*COS(F432))*COS(F432)</f>
        <v/>
      </c>
      <c r="N432" s="18">
        <f>0.5*$B$9*(J432^2 + (K432*SIN(F432))^2) + 0.5*$B$8*($B$10 + K432*COS(F432))^2</f>
        <v/>
      </c>
      <c r="O432" s="18">
        <f>$B$3*$B$6*$B$5*COS(F432)</f>
        <v/>
      </c>
      <c r="P432" s="18">
        <f>N432+O432</f>
        <v/>
      </c>
      <c r="Q432" s="19">
        <f>ABS(P432-$P$3)</f>
        <v/>
      </c>
    </row>
    <row r="433">
      <c r="D433" s="6" t="n">
        <v>431</v>
      </c>
      <c r="E433" s="7" t="n">
        <v>4.303073624017156</v>
      </c>
      <c r="F433" s="8" t="n">
        <v>1.463011957935999</v>
      </c>
      <c r="G433" s="9">
        <f>DEGREES(F433)</f>
        <v/>
      </c>
      <c r="H433" s="8" t="n">
        <v>4.902335539614702</v>
      </c>
      <c r="I433" s="9">
        <f>DEGREES(H433)</f>
        <v/>
      </c>
      <c r="J433" s="10" t="n">
        <v>1.059682957644249</v>
      </c>
      <c r="K433" s="10" t="n">
        <v>0.5389218442944886</v>
      </c>
      <c r="L433" s="11">
        <f>$B$5*$B$3*$B$6*SIN(F433)</f>
        <v/>
      </c>
      <c r="M433" s="11">
        <f>$B$9*K433*(SIN(F433))^2 + $B$8*($B$10+K433*COS(F433))*COS(F433)</f>
        <v/>
      </c>
      <c r="N433" s="11">
        <f>0.5*$B$9*(J433^2 + (K433*SIN(F433))^2) + 0.5*$B$8*($B$10 + K433*COS(F433))^2</f>
        <v/>
      </c>
      <c r="O433" s="11">
        <f>$B$3*$B$6*$B$5*COS(F433)</f>
        <v/>
      </c>
      <c r="P433" s="11">
        <f>N433+O433</f>
        <v/>
      </c>
      <c r="Q433" s="12">
        <f>ABS(P433-$P$3)</f>
        <v/>
      </c>
    </row>
    <row r="434">
      <c r="D434" s="13" t="n">
        <v>432</v>
      </c>
      <c r="E434" s="14" t="n">
        <v>4.313080771979986</v>
      </c>
      <c r="F434" s="15" t="n">
        <v>1.473434652830559</v>
      </c>
      <c r="G434" s="16">
        <f>DEGREES(F434)</f>
        <v/>
      </c>
      <c r="H434" s="15" t="n">
        <v>4.907466318471103</v>
      </c>
      <c r="I434" s="16">
        <f>DEGREES(H434)</f>
        <v/>
      </c>
      <c r="J434" s="17" t="n">
        <v>1.022821887406439</v>
      </c>
      <c r="K434" s="17" t="n">
        <v>0.4868083698216888</v>
      </c>
      <c r="L434" s="18">
        <f>$B$5*$B$3*$B$6*SIN(F434)</f>
        <v/>
      </c>
      <c r="M434" s="18">
        <f>$B$9*K434*(SIN(F434))^2 + $B$8*($B$10+K434*COS(F434))*COS(F434)</f>
        <v/>
      </c>
      <c r="N434" s="18">
        <f>0.5*$B$9*(J434^2 + (K434*SIN(F434))^2) + 0.5*$B$8*($B$10 + K434*COS(F434))^2</f>
        <v/>
      </c>
      <c r="O434" s="18">
        <f>$B$3*$B$6*$B$5*COS(F434)</f>
        <v/>
      </c>
      <c r="P434" s="18">
        <f>N434+O434</f>
        <v/>
      </c>
      <c r="Q434" s="19">
        <f>ABS(P434-$P$3)</f>
        <v/>
      </c>
    </row>
    <row r="435">
      <c r="D435" s="6" t="n">
        <v>433</v>
      </c>
      <c r="E435" s="7" t="n">
        <v>4.323087919942816</v>
      </c>
      <c r="F435" s="8" t="n">
        <v>1.483472304710049</v>
      </c>
      <c r="G435" s="9">
        <f>DEGREES(F435)</f>
        <v/>
      </c>
      <c r="H435" s="8" t="n">
        <v>4.912085089030453</v>
      </c>
      <c r="I435" s="9">
        <f>DEGREES(H435)</f>
        <v/>
      </c>
      <c r="J435" s="10" t="n">
        <v>0.982749501129525</v>
      </c>
      <c r="K435" s="10" t="n">
        <v>0.4366201104242378</v>
      </c>
      <c r="L435" s="11">
        <f>$B$5*$B$3*$B$6*SIN(F435)</f>
        <v/>
      </c>
      <c r="M435" s="11">
        <f>$B$9*K435*(SIN(F435))^2 + $B$8*($B$10+K435*COS(F435))*COS(F435)</f>
        <v/>
      </c>
      <c r="N435" s="11">
        <f>0.5*$B$9*(J435^2 + (K435*SIN(F435))^2) + 0.5*$B$8*($B$10 + K435*COS(F435))^2</f>
        <v/>
      </c>
      <c r="O435" s="11">
        <f>$B$3*$B$6*$B$5*COS(F435)</f>
        <v/>
      </c>
      <c r="P435" s="11">
        <f>N435+O435</f>
        <v/>
      </c>
      <c r="Q435" s="12">
        <f>ABS(P435-$P$3)</f>
        <v/>
      </c>
    </row>
    <row r="436">
      <c r="D436" s="13" t="n">
        <v>434</v>
      </c>
      <c r="E436" s="14" t="n">
        <v>4.333095067905647</v>
      </c>
      <c r="F436" s="15" t="n">
        <v>1.49309339873022</v>
      </c>
      <c r="G436" s="16">
        <f>DEGREES(F436)</f>
        <v/>
      </c>
      <c r="H436" s="15" t="n">
        <v>4.91621191088916</v>
      </c>
      <c r="I436" s="16">
        <f>DEGREES(H436)</f>
        <v/>
      </c>
      <c r="J436" s="17" t="n">
        <v>0.9395916126021659</v>
      </c>
      <c r="K436" s="17" t="n">
        <v>0.3885146403233806</v>
      </c>
      <c r="L436" s="18">
        <f>$B$5*$B$3*$B$6*SIN(F436)</f>
        <v/>
      </c>
      <c r="M436" s="18">
        <f>$B$9*K436*(SIN(F436))^2 + $B$8*($B$10+K436*COS(F436))*COS(F436)</f>
        <v/>
      </c>
      <c r="N436" s="18">
        <f>0.5*$B$9*(J436^2 + (K436*SIN(F436))^2) + 0.5*$B$8*($B$10 + K436*COS(F436))^2</f>
        <v/>
      </c>
      <c r="O436" s="18">
        <f>$B$3*$B$6*$B$5*COS(F436)</f>
        <v/>
      </c>
      <c r="P436" s="18">
        <f>N436+O436</f>
        <v/>
      </c>
      <c r="Q436" s="19">
        <f>ABS(P436-$P$3)</f>
        <v/>
      </c>
    </row>
    <row r="437">
      <c r="D437" s="6" t="n">
        <v>435</v>
      </c>
      <c r="E437" s="7" t="n">
        <v>4.343102215868478</v>
      </c>
      <c r="F437" s="8" t="n">
        <v>1.502267727898124</v>
      </c>
      <c r="G437" s="9">
        <f>DEGREES(F437)</f>
        <v/>
      </c>
      <c r="H437" s="8" t="n">
        <v>4.919868388196762</v>
      </c>
      <c r="I437" s="9">
        <f>DEGREES(H437)</f>
        <v/>
      </c>
      <c r="J437" s="10" t="n">
        <v>0.8934837230502829</v>
      </c>
      <c r="K437" s="10" t="n">
        <v>0.342642994483861</v>
      </c>
      <c r="L437" s="11">
        <f>$B$5*$B$3*$B$6*SIN(F437)</f>
        <v/>
      </c>
      <c r="M437" s="11">
        <f>$B$9*K437*(SIN(F437))^2 + $B$8*($B$10+K437*COS(F437))*COS(F437)</f>
        <v/>
      </c>
      <c r="N437" s="11">
        <f>0.5*$B$9*(J437^2 + (K437*SIN(F437))^2) + 0.5*$B$8*($B$10 + K437*COS(F437))^2</f>
        <v/>
      </c>
      <c r="O437" s="11">
        <f>$B$3*$B$6*$B$5*COS(F437)</f>
        <v/>
      </c>
      <c r="P437" s="11">
        <f>N437+O437</f>
        <v/>
      </c>
      <c r="Q437" s="12">
        <f>ABS(P437-$P$3)</f>
        <v/>
      </c>
    </row>
    <row r="438">
      <c r="D438" s="13" t="n">
        <v>436</v>
      </c>
      <c r="E438" s="14" t="n">
        <v>4.353109363831308</v>
      </c>
      <c r="F438" s="15" t="n">
        <v>1.510966487911889</v>
      </c>
      <c r="G438" s="16">
        <f>DEGREES(F438)</f>
        <v/>
      </c>
      <c r="H438" s="15" t="n">
        <v>4.923077601826186</v>
      </c>
      <c r="I438" s="16">
        <f>DEGREES(H438)</f>
        <v/>
      </c>
      <c r="J438" s="17" t="n">
        <v>0.8445705957088757</v>
      </c>
      <c r="K438" s="17" t="n">
        <v>0.2991491944150357</v>
      </c>
      <c r="L438" s="18">
        <f>$B$5*$B$3*$B$6*SIN(F438)</f>
        <v/>
      </c>
      <c r="M438" s="18">
        <f>$B$9*K438*(SIN(F438))^2 + $B$8*($B$10+K438*COS(F438))*COS(F438)</f>
        <v/>
      </c>
      <c r="N438" s="18">
        <f>0.5*$B$9*(J438^2 + (K438*SIN(F438))^2) + 0.5*$B$8*($B$10 + K438*COS(F438))^2</f>
        <v/>
      </c>
      <c r="O438" s="18">
        <f>$B$3*$B$6*$B$5*COS(F438)</f>
        <v/>
      </c>
      <c r="P438" s="18">
        <f>N438+O438</f>
        <v/>
      </c>
      <c r="Q438" s="19">
        <f>ABS(P438-$P$3)</f>
        <v/>
      </c>
    </row>
    <row r="439">
      <c r="D439" s="6" t="n">
        <v>437</v>
      </c>
      <c r="E439" s="7" t="n">
        <v>4.363116511794139</v>
      </c>
      <c r="F439" s="8" t="n">
        <v>1.519162367596525</v>
      </c>
      <c r="G439" s="9">
        <f>DEGREES(F439)</f>
        <v/>
      </c>
      <c r="H439" s="8" t="n">
        <v>4.925864036907583</v>
      </c>
      <c r="I439" s="9">
        <f>DEGREES(H439)</f>
        <v/>
      </c>
      <c r="J439" s="10" t="n">
        <v>0.7930058013142368</v>
      </c>
      <c r="K439" s="10" t="n">
        <v>0.2581697959918562</v>
      </c>
      <c r="L439" s="11">
        <f>$B$5*$B$3*$B$6*SIN(F439)</f>
        <v/>
      </c>
      <c r="M439" s="11">
        <f>$B$9*K439*(SIN(F439))^2 + $B$8*($B$10+K439*COS(F439))*COS(F439)</f>
        <v/>
      </c>
      <c r="N439" s="11">
        <f>0.5*$B$9*(J439^2 + (K439*SIN(F439))^2) + 0.5*$B$8*($B$10 + K439*COS(F439))^2</f>
        <v/>
      </c>
      <c r="O439" s="11">
        <f>$B$3*$B$6*$B$5*COS(F439)</f>
        <v/>
      </c>
      <c r="P439" s="11">
        <f>N439+O439</f>
        <v/>
      </c>
      <c r="Q439" s="12">
        <f>ABS(P439-$P$3)</f>
        <v/>
      </c>
    </row>
    <row r="440">
      <c r="D440" s="13" t="n">
        <v>438</v>
      </c>
      <c r="E440" s="14" t="n">
        <v>4.37312365975697</v>
      </c>
      <c r="F440" s="15" t="n">
        <v>1.526829634651803</v>
      </c>
      <c r="G440" s="16">
        <f>DEGREES(F440)</f>
        <v/>
      </c>
      <c r="H440" s="15" t="n">
        <v>4.92825350595327</v>
      </c>
      <c r="I440" s="16">
        <f>DEGREES(H440)</f>
        <v/>
      </c>
      <c r="J440" s="17" t="n">
        <v>0.738951235943625</v>
      </c>
      <c r="K440" s="17" t="n">
        <v>0.2198334607154692</v>
      </c>
      <c r="L440" s="18">
        <f>$B$5*$B$3*$B$6*SIN(F440)</f>
        <v/>
      </c>
      <c r="M440" s="18">
        <f>$B$9*K440*(SIN(F440))^2 + $B$8*($B$10+K440*COS(F440))*COS(F440)</f>
        <v/>
      </c>
      <c r="N440" s="18">
        <f>0.5*$B$9*(J440^2 + (K440*SIN(F440))^2) + 0.5*$B$8*($B$10 + K440*COS(F440))^2</f>
        <v/>
      </c>
      <c r="O440" s="18">
        <f>$B$3*$B$6*$B$5*COS(F440)</f>
        <v/>
      </c>
      <c r="P440" s="18">
        <f>N440+O440</f>
        <v/>
      </c>
      <c r="Q440" s="19">
        <f>ABS(P440-$P$3)</f>
        <v/>
      </c>
    </row>
    <row r="441">
      <c r="D441" s="6" t="n">
        <v>439</v>
      </c>
      <c r="E441" s="7" t="n">
        <v>4.3831308077198</v>
      </c>
      <c r="F441" s="8" t="n">
        <v>1.533944216443011</v>
      </c>
      <c r="G441" s="9">
        <f>DEGREES(F441)</f>
        <v/>
      </c>
      <c r="H441" s="8" t="n">
        <v>4.930273067815137</v>
      </c>
      <c r="I441" s="9">
        <f>DEGREES(H441)</f>
        <v/>
      </c>
      <c r="J441" s="10" t="n">
        <v>0.6825766127160966</v>
      </c>
      <c r="K441" s="10" t="n">
        <v>0.1842605517594261</v>
      </c>
      <c r="L441" s="11">
        <f>$B$5*$B$3*$B$6*SIN(F441)</f>
        <v/>
      </c>
      <c r="M441" s="11">
        <f>$B$9*K441*(SIN(F441))^2 + $B$8*($B$10+K441*COS(F441))*COS(F441)</f>
        <v/>
      </c>
      <c r="N441" s="11">
        <f>0.5*$B$9*(J441^2 + (K441*SIN(F441))^2) + 0.5*$B$8*($B$10 + K441*COS(F441))^2</f>
        <v/>
      </c>
      <c r="O441" s="11">
        <f>$B$3*$B$6*$B$5*COS(F441)</f>
        <v/>
      </c>
      <c r="P441" s="11">
        <f>N441+O441</f>
        <v/>
      </c>
      <c r="Q441" s="12">
        <f>ABS(P441-$P$3)</f>
        <v/>
      </c>
    </row>
    <row r="442">
      <c r="D442" s="13" t="n">
        <v>440</v>
      </c>
      <c r="E442" s="14" t="n">
        <v>4.393137955682631</v>
      </c>
      <c r="F442" s="15" t="n">
        <v>1.540483775580916</v>
      </c>
      <c r="G442" s="16">
        <f>DEGREES(F442)</f>
        <v/>
      </c>
      <c r="H442" s="15" t="n">
        <v>4.931950942728977</v>
      </c>
      <c r="I442" s="16">
        <f>DEGREES(H442)</f>
        <v/>
      </c>
      <c r="J442" s="17" t="n">
        <v>0.6240589289505376</v>
      </c>
      <c r="K442" s="17" t="n">
        <v>0.1515627560699048</v>
      </c>
      <c r="L442" s="18">
        <f>$B$5*$B$3*$B$6*SIN(F442)</f>
        <v/>
      </c>
      <c r="M442" s="18">
        <f>$B$9*K442*(SIN(F442))^2 + $B$8*($B$10+K442*COS(F442))*COS(F442)</f>
        <v/>
      </c>
      <c r="N442" s="18">
        <f>0.5*$B$9*(J442^2 + (K442*SIN(F442))^2) + 0.5*$B$8*($B$10 + K442*COS(F442))^2</f>
        <v/>
      </c>
      <c r="O442" s="18">
        <f>$B$3*$B$6*$B$5*COS(F442)</f>
        <v/>
      </c>
      <c r="P442" s="18">
        <f>N442+O442</f>
        <v/>
      </c>
      <c r="Q442" s="19">
        <f>ABS(P442-$P$3)</f>
        <v/>
      </c>
    </row>
    <row r="443">
      <c r="D443" s="6" t="n">
        <v>441</v>
      </c>
      <c r="E443" s="7" t="n">
        <v>4.403145103645461</v>
      </c>
      <c r="F443" s="8" t="n">
        <v>1.546427780053629</v>
      </c>
      <c r="G443" s="9">
        <f>DEGREES(F443)</f>
        <v/>
      </c>
      <c r="H443" s="8" t="n">
        <v>4.933316423712452</v>
      </c>
      <c r="I443" s="9">
        <f>DEGREES(H443)</f>
        <v/>
      </c>
      <c r="J443" s="10" t="n">
        <v>0.5635819104537307</v>
      </c>
      <c r="K443" s="10" t="n">
        <v>0.1218427337063351</v>
      </c>
      <c r="L443" s="11">
        <f>$B$5*$B$3*$B$6*SIN(F443)</f>
        <v/>
      </c>
      <c r="M443" s="11">
        <f>$B$9*K443*(SIN(F443))^2 + $B$8*($B$10+K443*COS(F443))*COS(F443)</f>
        <v/>
      </c>
      <c r="N443" s="11">
        <f>0.5*$B$9*(J443^2 + (K443*SIN(F443))^2) + 0.5*$B$8*($B$10 + K443*COS(F443))^2</f>
        <v/>
      </c>
      <c r="O443" s="11">
        <f>$B$3*$B$6*$B$5*COS(F443)</f>
        <v/>
      </c>
      <c r="P443" s="11">
        <f>N443+O443</f>
        <v/>
      </c>
      <c r="Q443" s="12">
        <f>ABS(P443-$P$3)</f>
        <v/>
      </c>
    </row>
    <row r="444">
      <c r="D444" s="13" t="n">
        <v>442</v>
      </c>
      <c r="E444" s="14" t="n">
        <v>4.413152251608292</v>
      </c>
      <c r="F444" s="15" t="n">
        <v>1.551757567690218</v>
      </c>
      <c r="G444" s="16">
        <f>DEGREES(F444)</f>
        <v/>
      </c>
      <c r="H444" s="15" t="n">
        <v>4.934399784594888</v>
      </c>
      <c r="I444" s="16">
        <f>DEGREES(H444)</f>
        <v/>
      </c>
      <c r="J444" s="17" t="n">
        <v>0.5013354346832076</v>
      </c>
      <c r="K444" s="17" t="n">
        <v>0.09519379552339213</v>
      </c>
      <c r="L444" s="18">
        <f>$B$5*$B$3*$B$6*SIN(F444)</f>
        <v/>
      </c>
      <c r="M444" s="18">
        <f>$B$9*K444*(SIN(F444))^2 + $B$8*($B$10+K444*COS(F444))*COS(F444)</f>
        <v/>
      </c>
      <c r="N444" s="18">
        <f>0.5*$B$9*(J444^2 + (K444*SIN(F444))^2) + 0.5*$B$8*($B$10 + K444*COS(F444))^2</f>
        <v/>
      </c>
      <c r="O444" s="18">
        <f>$B$3*$B$6*$B$5*COS(F444)</f>
        <v/>
      </c>
      <c r="P444" s="18">
        <f>N444+O444</f>
        <v/>
      </c>
      <c r="Q444" s="19">
        <f>ABS(P444-$P$3)</f>
        <v/>
      </c>
    </row>
    <row r="445">
      <c r="D445" s="6" t="n">
        <v>443</v>
      </c>
      <c r="E445" s="7" t="n">
        <v>4.423159399571123</v>
      </c>
      <c r="F445" s="8" t="n">
        <v>1.556456404753623</v>
      </c>
      <c r="G445" s="9">
        <f>DEGREES(F445)</f>
        <v/>
      </c>
      <c r="H445" s="8" t="n">
        <v>4.935232184967655</v>
      </c>
      <c r="I445" s="9">
        <f>DEGREES(H445)</f>
        <v/>
      </c>
      <c r="J445" s="10" t="n">
        <v>0.4375149345960375</v>
      </c>
      <c r="K445" s="10" t="n">
        <v>0.07169961020636917</v>
      </c>
      <c r="L445" s="11">
        <f>$B$5*$B$3*$B$6*SIN(F445)</f>
        <v/>
      </c>
      <c r="M445" s="11">
        <f>$B$9*K445*(SIN(F445))^2 + $B$8*($B$10+K445*COS(F445))*COS(F445)</f>
        <v/>
      </c>
      <c r="N445" s="11">
        <f>0.5*$B$9*(J445^2 + (K445*SIN(F445))^2) + 0.5*$B$8*($B$10 + K445*COS(F445))^2</f>
        <v/>
      </c>
      <c r="O445" s="11">
        <f>$B$3*$B$6*$B$5*COS(F445)</f>
        <v/>
      </c>
      <c r="P445" s="11">
        <f>N445+O445</f>
        <v/>
      </c>
      <c r="Q445" s="12">
        <f>ABS(P445-$P$3)</f>
        <v/>
      </c>
    </row>
    <row r="446">
      <c r="D446" s="13" t="n">
        <v>444</v>
      </c>
      <c r="E446" s="14" t="n">
        <v>4.433166547533953</v>
      </c>
      <c r="F446" s="15" t="n">
        <v>1.560509538478955</v>
      </c>
      <c r="G446" s="16">
        <f>DEGREES(F446)</f>
        <v/>
      </c>
      <c r="H446" s="15" t="n">
        <v>4.935845572353552</v>
      </c>
      <c r="I446" s="16">
        <f>DEGREES(H446)</f>
        <v/>
      </c>
      <c r="J446" s="17" t="n">
        <v>0.3723207850552236</v>
      </c>
      <c r="K446" s="17" t="n">
        <v>0.05143394157970982</v>
      </c>
      <c r="L446" s="18">
        <f>$B$5*$B$3*$B$6*SIN(F446)</f>
        <v/>
      </c>
      <c r="M446" s="18">
        <f>$B$9*K446*(SIN(F446))^2 + $B$8*($B$10+K446*COS(F446))*COS(F446)</f>
        <v/>
      </c>
      <c r="N446" s="18">
        <f>0.5*$B$9*(J446^2 + (K446*SIN(F446))^2) + 0.5*$B$8*($B$10 + K446*COS(F446))^2</f>
        <v/>
      </c>
      <c r="O446" s="18">
        <f>$B$3*$B$6*$B$5*COS(F446)</f>
        <v/>
      </c>
      <c r="P446" s="18">
        <f>N446+O446</f>
        <v/>
      </c>
      <c r="Q446" s="19">
        <f>ABS(P446-$P$3)</f>
        <v/>
      </c>
    </row>
    <row r="447">
      <c r="D447" s="6" t="n">
        <v>445</v>
      </c>
      <c r="E447" s="7" t="n">
        <v>4.443173695496784</v>
      </c>
      <c r="F447" s="8" t="n">
        <v>1.563904243392208</v>
      </c>
      <c r="G447" s="9">
        <f>DEGREES(F447)</f>
        <v/>
      </c>
      <c r="H447" s="8" t="n">
        <v>4.93627258190235</v>
      </c>
      <c r="I447" s="9">
        <f>DEGREES(H447)</f>
        <v/>
      </c>
      <c r="J447" s="10" t="n">
        <v>0.3059576737201268</v>
      </c>
      <c r="K447" s="10" t="n">
        <v>0.03446041701344238</v>
      </c>
      <c r="L447" s="11">
        <f>$B$5*$B$3*$B$6*SIN(F447)</f>
        <v/>
      </c>
      <c r="M447" s="11">
        <f>$B$9*K447*(SIN(F447))^2 + $B$8*($B$10+K447*COS(F447))*COS(F447)</f>
        <v/>
      </c>
      <c r="N447" s="11">
        <f>0.5*$B$9*(J447^2 + (K447*SIN(F447))^2) + 0.5*$B$8*($B$10 + K447*COS(F447))^2</f>
        <v/>
      </c>
      <c r="O447" s="11">
        <f>$B$3*$B$6*$B$5*COS(F447)</f>
        <v/>
      </c>
      <c r="P447" s="11">
        <f>N447+O447</f>
        <v/>
      </c>
      <c r="Q447" s="12">
        <f>ABS(P447-$P$3)</f>
        <v/>
      </c>
    </row>
    <row r="448">
      <c r="D448" s="13" t="n">
        <v>446</v>
      </c>
      <c r="E448" s="14" t="n">
        <v>4.453180843459615</v>
      </c>
      <c r="F448" s="15" t="n">
        <v>1.56662986126396</v>
      </c>
      <c r="G448" s="16">
        <f>DEGREES(F448)</f>
        <v/>
      </c>
      <c r="H448" s="15" t="n">
        <v>4.936546433927418</v>
      </c>
      <c r="I448" s="16">
        <f>DEGREES(H448)</f>
        <v/>
      </c>
      <c r="J448" s="17" t="n">
        <v>0.238633958396193</v>
      </c>
      <c r="K448" s="17" t="n">
        <v>0.02083232765468401</v>
      </c>
      <c r="L448" s="18">
        <f>$B$5*$B$3*$B$6*SIN(F448)</f>
        <v/>
      </c>
      <c r="M448" s="18">
        <f>$B$9*K448*(SIN(F448))^2 + $B$8*($B$10+K448*COS(F448))*COS(F448)</f>
        <v/>
      </c>
      <c r="N448" s="18">
        <f>0.5*$B$9*(J448^2 + (K448*SIN(F448))^2) + 0.5*$B$8*($B$10 + K448*COS(F448))^2</f>
        <v/>
      </c>
      <c r="O448" s="18">
        <f>$B$3*$B$6*$B$5*COS(F448)</f>
        <v/>
      </c>
      <c r="P448" s="18">
        <f>N448+O448</f>
        <v/>
      </c>
      <c r="Q448" s="19">
        <f>ABS(P448-$P$3)</f>
        <v/>
      </c>
    </row>
    <row r="449">
      <c r="D449" s="6" t="n">
        <v>447</v>
      </c>
      <c r="E449" s="7" t="n">
        <v>4.463187991422445</v>
      </c>
      <c r="F449" s="8" t="n">
        <v>1.568677834572615</v>
      </c>
      <c r="G449" s="9">
        <f>DEGREES(F449)</f>
        <v/>
      </c>
      <c r="H449" s="8" t="n">
        <v>4.936700829605139</v>
      </c>
      <c r="I449" s="9">
        <f>DEGREES(H449)</f>
        <v/>
      </c>
      <c r="J449" s="10" t="n">
        <v>0.1705610128617027</v>
      </c>
      <c r="K449" s="10" t="n">
        <v>0.01059246111140721</v>
      </c>
      <c r="L449" s="11">
        <f>$B$5*$B$3*$B$6*SIN(F449)</f>
        <v/>
      </c>
      <c r="M449" s="11">
        <f>$B$9*K449*(SIN(F449))^2 + $B$8*($B$10+K449*COS(F449))*COS(F449)</f>
        <v/>
      </c>
      <c r="N449" s="11">
        <f>0.5*$B$9*(J449^2 + (K449*SIN(F449))^2) + 0.5*$B$8*($B$10 + K449*COS(F449))^2</f>
        <v/>
      </c>
      <c r="O449" s="11">
        <f>$B$3*$B$6*$B$5*COS(F449)</f>
        <v/>
      </c>
      <c r="P449" s="11">
        <f>N449+O449</f>
        <v/>
      </c>
      <c r="Q449" s="12">
        <f>ABS(P449-$P$3)</f>
        <v/>
      </c>
    </row>
    <row r="450">
      <c r="D450" s="13" t="n">
        <v>448</v>
      </c>
      <c r="E450" s="14" t="n">
        <v>4.473195139385275</v>
      </c>
      <c r="F450" s="15" t="n">
        <v>1.570041733372145</v>
      </c>
      <c r="G450" s="16">
        <f>DEGREES(F450)</f>
        <v/>
      </c>
      <c r="H450" s="15" t="n">
        <v>4.936769845164569</v>
      </c>
      <c r="I450" s="16">
        <f>DEGREES(H450)</f>
        <v/>
      </c>
      <c r="J450" s="17" t="n">
        <v>0.1019525632252798</v>
      </c>
      <c r="K450" s="17" t="n">
        <v>0.003772967113756742</v>
      </c>
      <c r="L450" s="18">
        <f>$B$5*$B$3*$B$6*SIN(F450)</f>
        <v/>
      </c>
      <c r="M450" s="18">
        <f>$B$9*K450*(SIN(F450))^2 + $B$8*($B$10+K450*COS(F450))*COS(F450)</f>
        <v/>
      </c>
      <c r="N450" s="18">
        <f>0.5*$B$9*(J450^2 + (K450*SIN(F450))^2) + 0.5*$B$8*($B$10 + K450*COS(F450))^2</f>
        <v/>
      </c>
      <c r="O450" s="18">
        <f>$B$3*$B$6*$B$5*COS(F450)</f>
        <v/>
      </c>
      <c r="P450" s="18">
        <f>N450+O450</f>
        <v/>
      </c>
      <c r="Q450" s="19">
        <f>ABS(P450-$P$3)</f>
        <v/>
      </c>
    </row>
    <row r="451">
      <c r="D451" s="6" t="n">
        <v>449</v>
      </c>
      <c r="E451" s="7" t="n">
        <v>4.483202287348107</v>
      </c>
      <c r="F451" s="8" t="n">
        <v>1.570717275479948</v>
      </c>
      <c r="G451" s="9">
        <f>DEGREES(F451)</f>
        <v/>
      </c>
      <c r="H451" s="8" t="n">
        <v>4.936787824899561</v>
      </c>
      <c r="I451" s="9">
        <f>DEGREES(H451)</f>
        <v/>
      </c>
      <c r="J451" s="10" t="n">
        <v>0.03302401689798234</v>
      </c>
      <c r="K451" s="10" t="n">
        <v>0.00039525657474071</v>
      </c>
      <c r="L451" s="11">
        <f>$B$5*$B$3*$B$6*SIN(F451)</f>
        <v/>
      </c>
      <c r="M451" s="11">
        <f>$B$9*K451*(SIN(F451))^2 + $B$8*($B$10+K451*COS(F451))*COS(F451)</f>
        <v/>
      </c>
      <c r="N451" s="11">
        <f>0.5*$B$9*(J451^2 + (K451*SIN(F451))^2) + 0.5*$B$8*($B$10 + K451*COS(F451))^2</f>
        <v/>
      </c>
      <c r="O451" s="11">
        <f>$B$3*$B$6*$B$5*COS(F451)</f>
        <v/>
      </c>
      <c r="P451" s="11">
        <f>N451+O451</f>
        <v/>
      </c>
      <c r="Q451" s="12">
        <f>ABS(P451-$P$3)</f>
        <v/>
      </c>
    </row>
    <row r="452">
      <c r="D452" s="13" t="n">
        <v>450</v>
      </c>
      <c r="E452" s="14" t="n">
        <v>4.493209435310937</v>
      </c>
      <c r="F452" s="15" t="n">
        <v>1.570702339921462</v>
      </c>
      <c r="G452" s="16">
        <f>DEGREES(F452)</f>
        <v/>
      </c>
      <c r="H452" s="15" t="n">
        <v>4.936789273339257</v>
      </c>
      <c r="I452" s="16">
        <f>DEGREES(H452)</f>
        <v/>
      </c>
      <c r="J452" s="17" t="n">
        <v>-0.03600821371339805</v>
      </c>
      <c r="K452" s="17" t="n">
        <v>0.0004699343671747958</v>
      </c>
      <c r="L452" s="18">
        <f>$B$5*$B$3*$B$6*SIN(F452)</f>
        <v/>
      </c>
      <c r="M452" s="18">
        <f>$B$9*K452*(SIN(F452))^2 + $B$8*($B$10+K452*COS(F452))*COS(F452)</f>
        <v/>
      </c>
      <c r="N452" s="18">
        <f>0.5*$B$9*(J452^2 + (K452*SIN(F452))^2) + 0.5*$B$8*($B$10 + K452*COS(F452))^2</f>
        <v/>
      </c>
      <c r="O452" s="18">
        <f>$B$3*$B$6*$B$5*COS(F452)</f>
        <v/>
      </c>
      <c r="P452" s="18">
        <f>N452+O452</f>
        <v/>
      </c>
      <c r="Q452" s="19">
        <f>ABS(P452-$P$3)</f>
        <v/>
      </c>
    </row>
    <row r="453">
      <c r="D453" s="6" t="n">
        <v>451</v>
      </c>
      <c r="E453" s="7" t="n">
        <v>4.503216583273767</v>
      </c>
      <c r="F453" s="8" t="n">
        <v>1.569996973589305</v>
      </c>
      <c r="G453" s="9">
        <f>DEGREES(F453)</f>
        <v/>
      </c>
      <c r="H453" s="8" t="n">
        <v>4.936808746915501</v>
      </c>
      <c r="I453" s="9">
        <f>DEGREES(H453)</f>
        <v/>
      </c>
      <c r="J453" s="10" t="n">
        <v>-0.1049273906683545</v>
      </c>
      <c r="K453" s="10" t="n">
        <v>0.003996766027956955</v>
      </c>
      <c r="L453" s="11">
        <f>$B$5*$B$3*$B$6*SIN(F453)</f>
        <v/>
      </c>
      <c r="M453" s="11">
        <f>$B$9*K453*(SIN(F453))^2 + $B$8*($B$10+K453*COS(F453))*COS(F453)</f>
        <v/>
      </c>
      <c r="N453" s="11">
        <f>0.5*$B$9*(J453^2 + (K453*SIN(F453))^2) + 0.5*$B$8*($B$10 + K453*COS(F453))^2</f>
        <v/>
      </c>
      <c r="O453" s="11">
        <f>$B$3*$B$6*$B$5*COS(F453)</f>
        <v/>
      </c>
      <c r="P453" s="11">
        <f>N453+O453</f>
        <v/>
      </c>
      <c r="Q453" s="12">
        <f>ABS(P453-$P$3)</f>
        <v/>
      </c>
    </row>
    <row r="454">
      <c r="D454" s="13" t="n">
        <v>452</v>
      </c>
      <c r="E454" s="14" t="n">
        <v>4.513223731236597</v>
      </c>
      <c r="F454" s="15" t="n">
        <v>1.568603391096056</v>
      </c>
      <c r="G454" s="16">
        <f>DEGREES(F454)</f>
        <v/>
      </c>
      <c r="H454" s="15" t="n">
        <v>4.936880745467277</v>
      </c>
      <c r="I454" s="16">
        <f>DEGREES(H454)</f>
        <v/>
      </c>
      <c r="J454" s="17" t="n">
        <v>-0.1735171309767759</v>
      </c>
      <c r="K454" s="17" t="n">
        <v>0.01096467849420257</v>
      </c>
      <c r="L454" s="18">
        <f>$B$5*$B$3*$B$6*SIN(F454)</f>
        <v/>
      </c>
      <c r="M454" s="18">
        <f>$B$9*K454*(SIN(F454))^2 + $B$8*($B$10+K454*COS(F454))*COS(F454)</f>
        <v/>
      </c>
      <c r="N454" s="18">
        <f>0.5*$B$9*(J454^2 + (K454*SIN(F454))^2) + 0.5*$B$8*($B$10 + K454*COS(F454))^2</f>
        <v/>
      </c>
      <c r="O454" s="18">
        <f>$B$3*$B$6*$B$5*COS(F454)</f>
        <v/>
      </c>
      <c r="P454" s="18">
        <f>N454+O454</f>
        <v/>
      </c>
      <c r="Q454" s="19">
        <f>ABS(P454-$P$3)</f>
        <v/>
      </c>
    </row>
    <row r="455">
      <c r="D455" s="6" t="n">
        <v>453</v>
      </c>
      <c r="E455" s="7" t="n">
        <v>4.523230879199429</v>
      </c>
      <c r="F455" s="8" t="n">
        <v>1.566525967821111</v>
      </c>
      <c r="G455" s="9">
        <f>DEGREES(F455)</f>
        <v/>
      </c>
      <c r="H455" s="8" t="n">
        <v>4.937039603922849</v>
      </c>
      <c r="I455" s="9">
        <f>DEGREES(H455)</f>
        <v/>
      </c>
      <c r="J455" s="10" t="n">
        <v>-0.2415620859685889</v>
      </c>
      <c r="K455" s="10" t="n">
        <v>0.02135179486892902</v>
      </c>
      <c r="L455" s="11">
        <f>$B$5*$B$3*$B$6*SIN(F455)</f>
        <v/>
      </c>
      <c r="M455" s="11">
        <f>$B$9*K455*(SIN(F455))^2 + $B$8*($B$10+K455*COS(F455))*COS(F455)</f>
        <v/>
      </c>
      <c r="N455" s="11">
        <f>0.5*$B$9*(J455^2 + (K455*SIN(F455))^2) + 0.5*$B$8*($B$10 + K455*COS(F455))^2</f>
        <v/>
      </c>
      <c r="O455" s="11">
        <f>$B$3*$B$6*$B$5*COS(F455)</f>
        <v/>
      </c>
      <c r="P455" s="11">
        <f>N455+O455</f>
        <v/>
      </c>
      <c r="Q455" s="12">
        <f>ABS(P455-$P$3)</f>
        <v/>
      </c>
    </row>
    <row r="456">
      <c r="D456" s="13" t="n">
        <v>454</v>
      </c>
      <c r="E456" s="14" t="n">
        <v>4.533238027162259</v>
      </c>
      <c r="F456" s="15" t="n">
        <v>1.563771226173468</v>
      </c>
      <c r="G456" s="16">
        <f>DEGREES(F456)</f>
        <v/>
      </c>
      <c r="H456" s="15" t="n">
        <v>4.937319384499654</v>
      </c>
      <c r="I456" s="16">
        <f>DEGREES(H456)</f>
        <v/>
      </c>
      <c r="J456" s="17" t="n">
        <v>-0.3088486174160281</v>
      </c>
      <c r="K456" s="17" t="n">
        <v>0.03512550310714135</v>
      </c>
      <c r="L456" s="18">
        <f>$B$5*$B$3*$B$6*SIN(F456)</f>
        <v/>
      </c>
      <c r="M456" s="18">
        <f>$B$9*K456*(SIN(F456))^2 + $B$8*($B$10+K456*COS(F456))*COS(F456)</f>
        <v/>
      </c>
      <c r="N456" s="18">
        <f>0.5*$B$9*(J456^2 + (K456*SIN(F456))^2) + 0.5*$B$8*($B$10 + K456*COS(F456))^2</f>
        <v/>
      </c>
      <c r="O456" s="18">
        <f>$B$3*$B$6*$B$5*COS(F456)</f>
        <v/>
      </c>
      <c r="P456" s="18">
        <f>N456+O456</f>
        <v/>
      </c>
      <c r="Q456" s="19">
        <f>ABS(P456-$P$3)</f>
        <v/>
      </c>
    </row>
    <row r="457">
      <c r="D457" s="6" t="n">
        <v>455</v>
      </c>
      <c r="E457" s="7" t="n">
        <v>4.543245175125089</v>
      </c>
      <c r="F457" s="8" t="n">
        <v>1.560347815113564</v>
      </c>
      <c r="G457" s="9">
        <f>DEGREES(F457)</f>
        <v/>
      </c>
      <c r="H457" s="8" t="n">
        <v>4.937753769760419</v>
      </c>
      <c r="I457" s="9">
        <f>DEGREES(H457)</f>
        <v/>
      </c>
      <c r="J457" s="10" t="n">
        <v>-0.3751654682856674</v>
      </c>
      <c r="K457" s="10" t="n">
        <v>0.05224255840666125</v>
      </c>
      <c r="L457" s="11">
        <f>$B$5*$B$3*$B$6*SIN(F457)</f>
        <v/>
      </c>
      <c r="M457" s="11">
        <f>$B$9*K457*(SIN(F457))^2 + $B$8*($B$10+K457*COS(F457))*COS(F457)</f>
        <v/>
      </c>
      <c r="N457" s="11">
        <f>0.5*$B$9*(J457^2 + (K457*SIN(F457))^2) + 0.5*$B$8*($B$10 + K457*COS(F457))^2</f>
        <v/>
      </c>
      <c r="O457" s="11">
        <f>$B$3*$B$6*$B$5*COS(F457)</f>
        <v/>
      </c>
      <c r="P457" s="11">
        <f>N457+O457</f>
        <v/>
      </c>
      <c r="Q457" s="12">
        <f>ABS(P457-$P$3)</f>
        <v/>
      </c>
    </row>
    <row r="458">
      <c r="D458" s="13" t="n">
        <v>456</v>
      </c>
      <c r="E458" s="14" t="n">
        <v>4.55325232308792</v>
      </c>
      <c r="F458" s="15" t="n">
        <v>1.556266482998449</v>
      </c>
      <c r="G458" s="16">
        <f>DEGREES(F458)</f>
        <v/>
      </c>
      <c r="H458" s="15" t="n">
        <v>4.938375956861265</v>
      </c>
      <c r="I458" s="16">
        <f>DEGREES(H458)</f>
        <v/>
      </c>
      <c r="J458" s="17" t="n">
        <v>-0.4403044260143323</v>
      </c>
      <c r="K458" s="17" t="n">
        <v>0.07264921898223875</v>
      </c>
      <c r="L458" s="18">
        <f>$B$5*$B$3*$B$6*SIN(F458)</f>
        <v/>
      </c>
      <c r="M458" s="18">
        <f>$B$9*K458*(SIN(F458))^2 + $B$8*($B$10+K458*COS(F458))*COS(F458)</f>
        <v/>
      </c>
      <c r="N458" s="18">
        <f>0.5*$B$9*(J458^2 + (K458*SIN(F458))^2) + 0.5*$B$8*($B$10 + K458*COS(F458))^2</f>
        <v/>
      </c>
      <c r="O458" s="18">
        <f>$B$3*$B$6*$B$5*COS(F458)</f>
        <v/>
      </c>
      <c r="P458" s="18">
        <f>N458+O458</f>
        <v/>
      </c>
      <c r="Q458" s="19">
        <f>ABS(P458-$P$3)</f>
        <v/>
      </c>
    </row>
    <row r="459">
      <c r="D459" s="6" t="n">
        <v>457</v>
      </c>
      <c r="E459" s="7" t="n">
        <v>4.563259471050751</v>
      </c>
      <c r="F459" s="8" t="n">
        <v>1.55154004383557</v>
      </c>
      <c r="G459" s="9">
        <f>DEGREES(F459)</f>
        <v/>
      </c>
      <c r="H459" s="8" t="n">
        <v>4.939218553323822</v>
      </c>
      <c r="I459" s="9">
        <f>DEGREES(H459)</f>
        <v/>
      </c>
      <c r="J459" s="10" t="n">
        <v>-0.5040609762263366</v>
      </c>
      <c r="K459" s="10" t="n">
        <v>0.09628141479663377</v>
      </c>
      <c r="L459" s="11">
        <f>$B$5*$B$3*$B$6*SIN(F459)</f>
        <v/>
      </c>
      <c r="M459" s="11">
        <f>$B$9*K459*(SIN(F459))^2 + $B$8*($B$10+K459*COS(F459))*COS(F459)</f>
        <v/>
      </c>
      <c r="N459" s="11">
        <f>0.5*$B$9*(J459^2 + (K459*SIN(F459))^2) + 0.5*$B$8*($B$10 + K459*COS(F459))^2</f>
        <v/>
      </c>
      <c r="O459" s="11">
        <f>$B$3*$B$6*$B$5*COS(F459)</f>
        <v/>
      </c>
      <c r="P459" s="11">
        <f>N459+O459</f>
        <v/>
      </c>
      <c r="Q459" s="12">
        <f>ABS(P459-$P$3)</f>
        <v/>
      </c>
    </row>
    <row r="460">
      <c r="D460" s="13" t="n">
        <v>458</v>
      </c>
      <c r="E460" s="14" t="n">
        <v>4.573266619013581</v>
      </c>
      <c r="F460" s="15" t="n">
        <v>1.546183337051105</v>
      </c>
      <c r="G460" s="16">
        <f>DEGREES(F460)</f>
        <v/>
      </c>
      <c r="H460" s="15" t="n">
        <v>4.940313474658601</v>
      </c>
      <c r="I460" s="16">
        <f>DEGREES(H460)</f>
        <v/>
      </c>
      <c r="J460" s="17" t="n">
        <v>-0.5662349448397584</v>
      </c>
      <c r="K460" s="17" t="n">
        <v>0.1230649487189596</v>
      </c>
      <c r="L460" s="18">
        <f>$B$5*$B$3*$B$6*SIN(F460)</f>
        <v/>
      </c>
      <c r="M460" s="18">
        <f>$B$9*K460*(SIN(F460))^2 + $B$8*($B$10+K460*COS(F460))*COS(F460)</f>
        <v/>
      </c>
      <c r="N460" s="18">
        <f>0.5*$B$9*(J460^2 + (K460*SIN(F460))^2) + 0.5*$B$8*($B$10 + K460*COS(F460))^2</f>
        <v/>
      </c>
      <c r="O460" s="18">
        <f>$B$3*$B$6*$B$5*COS(F460)</f>
        <v/>
      </c>
      <c r="P460" s="18">
        <f>N460+O460</f>
        <v/>
      </c>
      <c r="Q460" s="19">
        <f>ABS(P460-$P$3)</f>
        <v/>
      </c>
    </row>
    <row r="461">
      <c r="D461" s="6" t="n">
        <v>459</v>
      </c>
      <c r="E461" s="7" t="n">
        <v>4.583273766976412</v>
      </c>
      <c r="F461" s="8" t="n">
        <v>1.540213180899165</v>
      </c>
      <c r="G461" s="9">
        <f>DEGREES(F461)</f>
        <v/>
      </c>
      <c r="H461" s="8" t="n">
        <v>4.94169184416105</v>
      </c>
      <c r="I461" s="9">
        <f>DEGREES(H461)</f>
        <v/>
      </c>
      <c r="J461" s="10" t="n">
        <v>-0.6266311265455586</v>
      </c>
      <c r="K461" s="10" t="n">
        <v>0.1529157294786569</v>
      </c>
      <c r="L461" s="11">
        <f>$B$5*$B$3*$B$6*SIN(F461)</f>
        <v/>
      </c>
      <c r="M461" s="11">
        <f>$B$9*K461*(SIN(F461))^2 + $B$8*($B$10+K461*COS(F461))*COS(F461)</f>
        <v/>
      </c>
      <c r="N461" s="11">
        <f>0.5*$B$9*(J461^2 + (K461*SIN(F461))^2) + 0.5*$B$8*($B$10 + K461*COS(F461))^2</f>
        <v/>
      </c>
      <c r="O461" s="11">
        <f>$B$3*$B$6*$B$5*COS(F461)</f>
        <v/>
      </c>
      <c r="P461" s="11">
        <f>N461+O461</f>
        <v/>
      </c>
      <c r="Q461" s="12">
        <f>ABS(P461-$P$3)</f>
        <v/>
      </c>
    </row>
    <row r="462">
      <c r="D462" s="13" t="n">
        <v>460</v>
      </c>
      <c r="E462" s="14" t="n">
        <v>4.593280914939243</v>
      </c>
      <c r="F462" s="15" t="n">
        <v>1.533648319658148</v>
      </c>
      <c r="G462" s="16">
        <f>DEGREES(F462)</f>
        <v/>
      </c>
      <c r="H462" s="15" t="n">
        <v>4.943383895194891</v>
      </c>
      <c r="I462" s="16">
        <f>DEGREES(H462)</f>
        <v/>
      </c>
      <c r="J462" s="17" t="n">
        <v>-0.6850598976864691</v>
      </c>
      <c r="K462" s="17" t="n">
        <v>0.1857400356837416</v>
      </c>
      <c r="L462" s="18">
        <f>$B$5*$B$3*$B$6*SIN(F462)</f>
        <v/>
      </c>
      <c r="M462" s="18">
        <f>$B$9*K462*(SIN(F462))^2 + $B$8*($B$10+K462*COS(F462))*COS(F462)</f>
        <v/>
      </c>
      <c r="N462" s="18">
        <f>0.5*$B$9*(J462^2 + (K462*SIN(F462))^2) + 0.5*$B$8*($B$10 + K462*COS(F462))^2</f>
        <v/>
      </c>
      <c r="O462" s="18">
        <f>$B$3*$B$6*$B$5*COS(F462)</f>
        <v/>
      </c>
      <c r="P462" s="18">
        <f>N462+O462</f>
        <v/>
      </c>
      <c r="Q462" s="19">
        <f>ABS(P462-$P$3)</f>
        <v/>
      </c>
    </row>
    <row r="463">
      <c r="D463" s="6" t="n">
        <v>461</v>
      </c>
      <c r="E463" s="7" t="n">
        <v>4.603288062902073</v>
      </c>
      <c r="F463" s="8" t="n">
        <v>1.526509364780015</v>
      </c>
      <c r="G463" s="9">
        <f>DEGREES(F463)</f>
        <v/>
      </c>
      <c r="H463" s="8" t="n">
        <v>4.945418876269544</v>
      </c>
      <c r="I463" s="9">
        <f>DEGREES(H463)</f>
        <v/>
      </c>
      <c r="J463" s="10" t="n">
        <v>-0.7413378116114041</v>
      </c>
      <c r="K463" s="10" t="n">
        <v>0.2214348100744084</v>
      </c>
      <c r="L463" s="11">
        <f>$B$5*$B$3*$B$6*SIN(F463)</f>
        <v/>
      </c>
      <c r="M463" s="11">
        <f>$B$9*K463*(SIN(F463))^2 + $B$8*($B$10+K463*COS(F463))*COS(F463)</f>
        <v/>
      </c>
      <c r="N463" s="11">
        <f>0.5*$B$9*(J463^2 + (K463*SIN(F463))^2) + 0.5*$B$8*($B$10 + K463*COS(F463))^2</f>
        <v/>
      </c>
      <c r="O463" s="11">
        <f>$B$3*$B$6*$B$5*COS(F463)</f>
        <v/>
      </c>
      <c r="P463" s="11">
        <f>N463+O463</f>
        <v/>
      </c>
      <c r="Q463" s="12">
        <f>ABS(P463-$P$3)</f>
        <v/>
      </c>
    </row>
    <row r="464">
      <c r="D464" s="13" t="n">
        <v>462</v>
      </c>
      <c r="E464" s="14" t="n">
        <v>4.613295210864904</v>
      </c>
      <c r="F464" s="15" t="n">
        <v>1.518818730177279</v>
      </c>
      <c r="G464" s="16">
        <f>DEGREES(F464)</f>
        <v/>
      </c>
      <c r="H464" s="15" t="n">
        <v>4.947824959209669</v>
      </c>
      <c r="I464" s="16">
        <f>DEGREES(H464)</f>
        <v/>
      </c>
      <c r="J464" s="17" t="n">
        <v>-0.7952881746361037</v>
      </c>
      <c r="K464" s="17" t="n">
        <v>0.2598879830880879</v>
      </c>
      <c r="L464" s="18">
        <f>$B$5*$B$3*$B$6*SIN(F464)</f>
        <v/>
      </c>
      <c r="M464" s="18">
        <f>$B$9*K464*(SIN(F464))^2 + $B$8*($B$10+K464*COS(F464))*COS(F464)</f>
        <v/>
      </c>
      <c r="N464" s="18">
        <f>0.5*$B$9*(J464^2 + (K464*SIN(F464))^2) + 0.5*$B$8*($B$10 + K464*COS(F464))^2</f>
        <v/>
      </c>
      <c r="O464" s="18">
        <f>$B$3*$B$6*$B$5*COS(F464)</f>
        <v/>
      </c>
      <c r="P464" s="18">
        <f>N464+O464</f>
        <v/>
      </c>
      <c r="Q464" s="19">
        <f>ABS(P464-$P$3)</f>
        <v/>
      </c>
    </row>
    <row r="465">
      <c r="D465" s="6" t="n">
        <v>463</v>
      </c>
      <c r="E465" s="7" t="n">
        <v>4.623302358827734</v>
      </c>
      <c r="F465" s="8" t="n">
        <v>1.510600561850878</v>
      </c>
      <c r="G465" s="9">
        <f>DEGREES(F465)</f>
        <v/>
      </c>
      <c r="H465" s="8" t="n">
        <v>4.950629150705129</v>
      </c>
      <c r="I465" s="9">
        <f>DEGREES(H465)</f>
        <v/>
      </c>
      <c r="J465" s="10" t="n">
        <v>-0.8467416008017413</v>
      </c>
      <c r="K465" s="10" t="n">
        <v>0.3009788247200936</v>
      </c>
      <c r="L465" s="11">
        <f>$B$5*$B$3*$B$6*SIN(F465)</f>
        <v/>
      </c>
      <c r="M465" s="11">
        <f>$B$9*K465*(SIN(F465))^2 + $B$8*($B$10+K465*COS(F465))*COS(F465)</f>
        <v/>
      </c>
      <c r="N465" s="11">
        <f>0.5*$B$9*(J465^2 + (K465*SIN(F465))^2) + 0.5*$B$8*($B$10 + K465*COS(F465))^2</f>
        <v/>
      </c>
      <c r="O465" s="11">
        <f>$B$3*$B$6*$B$5*COS(F465)</f>
        <v/>
      </c>
      <c r="P465" s="11">
        <f>N465+O465</f>
        <v/>
      </c>
      <c r="Q465" s="12">
        <f>ABS(P465-$P$3)</f>
        <v/>
      </c>
    </row>
    <row r="466">
      <c r="D466" s="13" t="n">
        <v>464</v>
      </c>
      <c r="E466" s="14" t="n">
        <v>4.633309506790565</v>
      </c>
      <c r="F466" s="15" t="n">
        <v>1.501880662079863</v>
      </c>
      <c r="G466" s="16">
        <f>DEGREES(F466)</f>
        <v/>
      </c>
      <c r="H466" s="15" t="n">
        <v>4.953857207519083</v>
      </c>
      <c r="I466" s="16">
        <f>DEGREES(H466)</f>
        <v/>
      </c>
      <c r="J466" s="17" t="n">
        <v>-0.8955365436897798</v>
      </c>
      <c r="K466" s="17" t="n">
        <v>0.3445783235751687</v>
      </c>
      <c r="L466" s="18">
        <f>$B$5*$B$3*$B$6*SIN(F466)</f>
        <v/>
      </c>
      <c r="M466" s="18">
        <f>$B$9*K466*(SIN(F466))^2 + $B$8*($B$10+K466*COS(F466))*COS(F466)</f>
        <v/>
      </c>
      <c r="N466" s="18">
        <f>0.5*$B$9*(J466^2 + (K466*SIN(F466))^2) + 0.5*$B$8*($B$10 + K466*COS(F466))^2</f>
        <v/>
      </c>
      <c r="O466" s="18">
        <f>$B$3*$B$6*$B$5*COS(F466)</f>
        <v/>
      </c>
      <c r="P466" s="18">
        <f>N466+O466</f>
        <v/>
      </c>
      <c r="Q466" s="19">
        <f>ABS(P466-$P$3)</f>
        <v/>
      </c>
    </row>
    <row r="467">
      <c r="D467" s="6" t="n">
        <v>465</v>
      </c>
      <c r="E467" s="7" t="n">
        <v>4.643316654753396</v>
      </c>
      <c r="F467" s="8" t="n">
        <v>1.492686408410938</v>
      </c>
      <c r="G467" s="9">
        <f>DEGREES(F467)</f>
        <v/>
      </c>
      <c r="H467" s="8" t="n">
        <v>4.957533555620432</v>
      </c>
      <c r="I467" s="9">
        <f>DEGREES(H467)</f>
        <v/>
      </c>
      <c r="J467" s="10" t="n">
        <v>-0.9415198036232824</v>
      </c>
      <c r="K467" s="10" t="n">
        <v>0.3905495919197932</v>
      </c>
      <c r="L467" s="11">
        <f>$B$5*$B$3*$B$6*SIN(F467)</f>
        <v/>
      </c>
      <c r="M467" s="11">
        <f>$B$9*K467*(SIN(F467))^2 + $B$8*($B$10+K467*COS(F467))*COS(F467)</f>
        <v/>
      </c>
      <c r="N467" s="11">
        <f>0.5*$B$9*(J467^2 + (K467*SIN(F467))^2) + 0.5*$B$8*($B$10 + K467*COS(F467))^2</f>
        <v/>
      </c>
      <c r="O467" s="11">
        <f>$B$3*$B$6*$B$5*COS(F467)</f>
        <v/>
      </c>
      <c r="P467" s="11">
        <f>N467+O467</f>
        <v/>
      </c>
      <c r="Q467" s="12">
        <f>ABS(P467-$P$3)</f>
        <v/>
      </c>
    </row>
    <row r="468">
      <c r="D468" s="13" t="n">
        <v>466</v>
      </c>
      <c r="E468" s="14" t="n">
        <v>4.653323802716226</v>
      </c>
      <c r="F468" s="15" t="n">
        <v>1.483046667702195</v>
      </c>
      <c r="G468" s="16">
        <f>DEGREES(F468)</f>
        <v/>
      </c>
      <c r="H468" s="15" t="n">
        <v>4.961681213494507</v>
      </c>
      <c r="I468" s="16">
        <f>DEGREES(H468)</f>
        <v/>
      </c>
      <c r="J468" s="17" t="n">
        <v>-0.9845470086622423</v>
      </c>
      <c r="K468" s="17" t="n">
        <v>0.4387482954635082</v>
      </c>
      <c r="L468" s="18">
        <f>$B$5*$B$3*$B$6*SIN(F468)</f>
        <v/>
      </c>
      <c r="M468" s="18">
        <f>$B$9*K468*(SIN(F468))^2 + $B$8*($B$10+K468*COS(F468))*COS(F468)</f>
        <v/>
      </c>
      <c r="N468" s="18">
        <f>0.5*$B$9*(J468^2 + (K468*SIN(F468))^2) + 0.5*$B$8*($B$10 + K468*COS(F468))^2</f>
        <v/>
      </c>
      <c r="O468" s="18">
        <f>$B$3*$B$6*$B$5*COS(F468)</f>
        <v/>
      </c>
      <c r="P468" s="18">
        <f>N468+O468</f>
        <v/>
      </c>
      <c r="Q468" s="19">
        <f>ABS(P468-$P$3)</f>
        <v/>
      </c>
    </row>
    <row r="469">
      <c r="D469" s="6" t="n">
        <v>467</v>
      </c>
      <c r="E469" s="7" t="n">
        <v>4.663330950679057</v>
      </c>
      <c r="F469" s="8" t="n">
        <v>1.472991705490899</v>
      </c>
      <c r="G469" s="9">
        <f>DEGREES(F469)</f>
        <v/>
      </c>
      <c r="H469" s="8" t="n">
        <v>4.966321719872782</v>
      </c>
      <c r="I469" s="9">
        <f>DEGREES(H469)</f>
        <v/>
      </c>
      <c r="J469" s="10" t="n">
        <v>-1.024483067882861</v>
      </c>
      <c r="K469" s="10" t="n">
        <v>0.4890231065199877</v>
      </c>
      <c r="L469" s="11">
        <f>$B$5*$B$3*$B$6*SIN(F469)</f>
        <v/>
      </c>
      <c r="M469" s="11">
        <f>$B$9*K469*(SIN(F469))^2 + $B$8*($B$10+K469*COS(F469))*COS(F469)</f>
        <v/>
      </c>
      <c r="N469" s="11">
        <f>0.5*$B$9*(J469^2 + (K469*SIN(F469))^2) + 0.5*$B$8*($B$10 + K469*COS(F469))^2</f>
        <v/>
      </c>
      <c r="O469" s="11">
        <f>$B$3*$B$6*$B$5*COS(F469)</f>
        <v/>
      </c>
      <c r="P469" s="11">
        <f>N469+O469</f>
        <v/>
      </c>
      <c r="Q469" s="12">
        <f>ABS(P469-$P$3)</f>
        <v/>
      </c>
    </row>
    <row r="470">
      <c r="D470" s="13" t="n">
        <v>468</v>
      </c>
      <c r="E470" s="14" t="n">
        <v>4.673338098641888</v>
      </c>
      <c r="F470" s="15" t="n">
        <v>1.462553090969908</v>
      </c>
      <c r="G470" s="16">
        <f>DEGREES(F470)</f>
        <v/>
      </c>
      <c r="H470" s="15" t="n">
        <v>4.971475066108517</v>
      </c>
      <c r="I470" s="16">
        <f>DEGREES(H470)</f>
        <v/>
      </c>
      <c r="J470" s="17" t="n">
        <v>-1.061202595517495</v>
      </c>
      <c r="K470" s="17" t="n">
        <v>0.5412161791249449</v>
      </c>
      <c r="L470" s="18">
        <f>$B$5*$B$3*$B$6*SIN(F470)</f>
        <v/>
      </c>
      <c r="M470" s="18">
        <f>$B$9*K470*(SIN(F470))^2 + $B$8*($B$10+K470*COS(F470))*COS(F470)</f>
        <v/>
      </c>
      <c r="N470" s="18">
        <f>0.5*$B$9*(J470^2 + (K470*SIN(F470))^2) + 0.5*$B$8*($B$10 + K470*COS(F470))^2</f>
        <v/>
      </c>
      <c r="O470" s="18">
        <f>$B$3*$B$6*$B$5*COS(F470)</f>
        <v/>
      </c>
      <c r="P470" s="18">
        <f>N470+O470</f>
        <v/>
      </c>
      <c r="Q470" s="19">
        <f>ABS(P470-$P$3)</f>
        <v/>
      </c>
    </row>
    <row r="471">
      <c r="D471" s="6" t="n">
        <v>469</v>
      </c>
      <c r="E471" s="7" t="n">
        <v>4.683345246604718</v>
      </c>
      <c r="F471" s="8" t="n">
        <v>1.45176359787104</v>
      </c>
      <c r="G471" s="9">
        <f>DEGREES(F471)</f>
        <v/>
      </c>
      <c r="H471" s="8" t="n">
        <v>4.977159633410642</v>
      </c>
      <c r="I471" s="9">
        <f>DEGREES(H471)</f>
        <v/>
      </c>
      <c r="J471" s="10" t="n">
        <v>-1.09459030462372</v>
      </c>
      <c r="K471" s="10" t="n">
        <v>0.5951636446192806</v>
      </c>
      <c r="L471" s="11">
        <f>$B$5*$B$3*$B$6*SIN(F471)</f>
        <v/>
      </c>
      <c r="M471" s="11">
        <f>$B$9*K471*(SIN(F471))^2 + $B$8*($B$10+K471*COS(F471))*COS(F471)</f>
        <v/>
      </c>
      <c r="N471" s="11">
        <f>0.5*$B$9*(J471^2 + (K471*SIN(F471))^2) + 0.5*$B$8*($B$10 + K471*COS(F471))^2</f>
        <v/>
      </c>
      <c r="O471" s="11">
        <f>$B$3*$B$6*$B$5*COS(F471)</f>
        <v/>
      </c>
      <c r="P471" s="11">
        <f>N471+O471</f>
        <v/>
      </c>
      <c r="Q471" s="12">
        <f>ABS(P471-$P$3)</f>
        <v/>
      </c>
    </row>
    <row r="472">
      <c r="D472" s="13" t="n">
        <v>470</v>
      </c>
      <c r="E472" s="14" t="n">
        <v>4.693352394567548</v>
      </c>
      <c r="F472" s="15" t="n">
        <v>1.440657101566608</v>
      </c>
      <c r="G472" s="16">
        <f>DEGREES(F472)</f>
        <v/>
      </c>
      <c r="H472" s="15" t="n">
        <v>4.983392135132964</v>
      </c>
      <c r="I472" s="16">
        <f>DEGREES(H472)</f>
        <v/>
      </c>
      <c r="J472" s="17" t="n">
        <v>-1.124541369046482</v>
      </c>
      <c r="K472" s="17" t="n">
        <v>0.6506961261414441</v>
      </c>
      <c r="L472" s="18">
        <f>$B$5*$B$3*$B$6*SIN(F472)</f>
        <v/>
      </c>
      <c r="M472" s="18">
        <f>$B$9*K472*(SIN(F472))^2 + $B$8*($B$10+K472*COS(F472))*COS(F472)</f>
        <v/>
      </c>
      <c r="N472" s="18">
        <f>0.5*$B$9*(J472^2 + (K472*SIN(F472))^2) + 0.5*$B$8*($B$10 + K472*COS(F472))^2</f>
        <v/>
      </c>
      <c r="O472" s="18">
        <f>$B$3*$B$6*$B$5*COS(F472)</f>
        <v/>
      </c>
      <c r="P472" s="18">
        <f>N472+O472</f>
        <v/>
      </c>
      <c r="Q472" s="19">
        <f>ABS(P472-$P$3)</f>
        <v/>
      </c>
    </row>
    <row r="473">
      <c r="D473" s="6" t="n">
        <v>471</v>
      </c>
      <c r="E473" s="7" t="n">
        <v>4.70335954253038</v>
      </c>
      <c r="F473" s="8" t="n">
        <v>1.429268472712153</v>
      </c>
      <c r="G473" s="9">
        <f>DEGREES(F473)</f>
        <v/>
      </c>
      <c r="H473" s="8" t="n">
        <v>4.990187564299856</v>
      </c>
      <c r="I473" s="9">
        <f>DEGREES(H473)</f>
        <v/>
      </c>
      <c r="J473" s="10" t="n">
        <v>-1.150961752536901</v>
      </c>
      <c r="K473" s="10" t="n">
        <v>0.707639270413716</v>
      </c>
      <c r="L473" s="11">
        <f>$B$5*$B$3*$B$6*SIN(F473)</f>
        <v/>
      </c>
      <c r="M473" s="11">
        <f>$B$9*K473*(SIN(F473))^2 + $B$8*($B$10+K473*COS(F473))*COS(F473)</f>
        <v/>
      </c>
      <c r="N473" s="11">
        <f>0.5*$B$9*(J473^2 + (K473*SIN(F473))^2) + 0.5*$B$8*($B$10 + K473*COS(F473))^2</f>
        <v/>
      </c>
      <c r="O473" s="11">
        <f>$B$3*$B$6*$B$5*COS(F473)</f>
        <v/>
      </c>
      <c r="P473" s="11">
        <f>N473+O473</f>
        <v/>
      </c>
      <c r="Q473" s="12">
        <f>ABS(P473-$P$3)</f>
        <v/>
      </c>
    </row>
    <row r="474">
      <c r="D474" s="13" t="n">
        <v>472</v>
      </c>
      <c r="E474" s="14" t="n">
        <v>4.71336669049321</v>
      </c>
      <c r="F474" s="15" t="n">
        <v>1.417633467764356</v>
      </c>
      <c r="G474" s="16">
        <f>DEGREES(F474)</f>
        <v/>
      </c>
      <c r="H474" s="15" t="n">
        <v>4.997559146533223</v>
      </c>
      <c r="I474" s="16">
        <f>DEGREES(H474)</f>
        <v/>
      </c>
      <c r="J474" s="17" t="n">
        <v>-1.173768503994386</v>
      </c>
      <c r="K474" s="17" t="n">
        <v>0.7658142951527049</v>
      </c>
      <c r="L474" s="18">
        <f>$B$5*$B$3*$B$6*SIN(F474)</f>
        <v/>
      </c>
      <c r="M474" s="18">
        <f>$B$9*K474*(SIN(F474))^2 + $B$8*($B$10+K474*COS(F474))*COS(F474)</f>
        <v/>
      </c>
      <c r="N474" s="18">
        <f>0.5*$B$9*(J474^2 + (K474*SIN(F474))^2) + 0.5*$B$8*($B$10 + K474*COS(F474))^2</f>
        <v/>
      </c>
      <c r="O474" s="18">
        <f>$B$3*$B$6*$B$5*COS(F474)</f>
        <v/>
      </c>
      <c r="P474" s="18">
        <f>N474+O474</f>
        <v/>
      </c>
      <c r="Q474" s="19">
        <f>ABS(P474-$P$3)</f>
        <v/>
      </c>
    </row>
    <row r="475">
      <c r="D475" s="6" t="n">
        <v>473</v>
      </c>
      <c r="E475" s="7" t="n">
        <v>4.72337383845604</v>
      </c>
      <c r="F475" s="8" t="n">
        <v>1.405788616717793</v>
      </c>
      <c r="G475" s="9">
        <f>DEGREES(F475)</f>
        <v/>
      </c>
      <c r="H475" s="8" t="n">
        <v>5.005518298528501</v>
      </c>
      <c r="I475" s="9">
        <f>DEGREES(H475)</f>
        <v/>
      </c>
      <c r="J475" s="10" t="n">
        <v>-1.19289001790516</v>
      </c>
      <c r="K475" s="10" t="n">
        <v>0.8250385503855189</v>
      </c>
      <c r="L475" s="11">
        <f>$B$5*$B$3*$B$6*SIN(F475)</f>
        <v/>
      </c>
      <c r="M475" s="11">
        <f>$B$9*K475*(SIN(F475))^2 + $B$8*($B$10+K475*COS(F475))*COS(F475)</f>
        <v/>
      </c>
      <c r="N475" s="11">
        <f>0.5*$B$9*(J475^2 + (K475*SIN(F475))^2) + 0.5*$B$8*($B$10 + K475*COS(F475))^2</f>
        <v/>
      </c>
      <c r="O475" s="11">
        <f>$B$3*$B$6*$B$5*COS(F475)</f>
        <v/>
      </c>
      <c r="P475" s="11">
        <f>N475+O475</f>
        <v/>
      </c>
      <c r="Q475" s="12">
        <f>ABS(P475-$P$3)</f>
        <v/>
      </c>
    </row>
    <row r="476">
      <c r="D476" s="13" t="n">
        <v>474</v>
      </c>
      <c r="E476" s="14" t="n">
        <v>4.733380986418871</v>
      </c>
      <c r="F476" s="15" t="n">
        <v>1.393771108413078</v>
      </c>
      <c r="G476" s="16">
        <f>DEGREES(F476)</f>
        <v/>
      </c>
      <c r="H476" s="15" t="n">
        <v>5.014074592210085</v>
      </c>
      <c r="I476" s="16">
        <f>DEGREES(H476)</f>
        <v/>
      </c>
      <c r="J476" s="17" t="n">
        <v>-1.208266259159425</v>
      </c>
      <c r="K476" s="17" t="n">
        <v>0.8851260919090911</v>
      </c>
      <c r="L476" s="18">
        <f>$B$5*$B$3*$B$6*SIN(F476)</f>
        <v/>
      </c>
      <c r="M476" s="18">
        <f>$B$9*K476*(SIN(F476))^2 + $B$8*($B$10+K476*COS(F476))*COS(F476)</f>
        <v/>
      </c>
      <c r="N476" s="18">
        <f>0.5*$B$9*(J476^2 + (K476*SIN(F476))^2) + 0.5*$B$8*($B$10 + K476*COS(F476))^2</f>
        <v/>
      </c>
      <c r="O476" s="18">
        <f>$B$3*$B$6*$B$5*COS(F476)</f>
        <v/>
      </c>
      <c r="P476" s="18">
        <f>N476+O476</f>
        <v/>
      </c>
      <c r="Q476" s="19">
        <f>ABS(P476-$P$3)</f>
        <v/>
      </c>
    </row>
    <row r="477">
      <c r="D477" s="6" t="n">
        <v>475</v>
      </c>
      <c r="E477" s="7" t="n">
        <v>4.743388134381702</v>
      </c>
      <c r="F477" s="8" t="n">
        <v>1.381618673776434</v>
      </c>
      <c r="G477" s="9">
        <f>DEGREES(F477)</f>
        <v/>
      </c>
      <c r="H477" s="8" t="n">
        <v>5.023235724678709</v>
      </c>
      <c r="I477" s="9">
        <f>DEGREES(H477)</f>
        <v/>
      </c>
      <c r="J477" s="10" t="n">
        <v>-1.219848951541378</v>
      </c>
      <c r="K477" s="10" t="n">
        <v>0.9458882650923151</v>
      </c>
      <c r="L477" s="11">
        <f>$B$5*$B$3*$B$6*SIN(F477)</f>
        <v/>
      </c>
      <c r="M477" s="11">
        <f>$B$9*K477*(SIN(F477))^2 + $B$8*($B$10+K477*COS(F477))*COS(F477)</f>
        <v/>
      </c>
      <c r="N477" s="11">
        <f>0.5*$B$9*(J477^2 + (K477*SIN(F477))^2) + 0.5*$B$8*($B$10 + K477*COS(F477))^2</f>
        <v/>
      </c>
      <c r="O477" s="11">
        <f>$B$3*$B$6*$B$5*COS(F477)</f>
        <v/>
      </c>
      <c r="P477" s="11">
        <f>N477+O477</f>
        <v/>
      </c>
      <c r="Q477" s="12">
        <f>ABS(P477-$P$3)</f>
        <v/>
      </c>
    </row>
    <row r="478">
      <c r="D478" s="13" t="n">
        <v>476</v>
      </c>
      <c r="E478" s="14" t="n">
        <v>4.753395282344532</v>
      </c>
      <c r="F478" s="15" t="n">
        <v>1.369369467357288</v>
      </c>
      <c r="G478" s="16">
        <f>DEGREES(F478)</f>
        <v/>
      </c>
      <c r="H478" s="15" t="n">
        <v>5.033007494045141</v>
      </c>
      <c r="I478" s="16">
        <f>DEGREES(H478)</f>
        <v/>
      </c>
      <c r="J478" s="17" t="n">
        <v>-1.227601729300269</v>
      </c>
      <c r="K478" s="17" t="n">
        <v>1.00713429718804</v>
      </c>
      <c r="L478" s="18">
        <f>$B$5*$B$3*$B$6*SIN(F478)</f>
        <v/>
      </c>
      <c r="M478" s="18">
        <f>$B$9*K478*(SIN(F478))^2 + $B$8*($B$10+K478*COS(F478))*COS(F478)</f>
        <v/>
      </c>
      <c r="N478" s="18">
        <f>0.5*$B$9*(J478^2 + (K478*SIN(F478))^2) + 0.5*$B$8*($B$10 + K478*COS(F478))^2</f>
        <v/>
      </c>
      <c r="O478" s="18">
        <f>$B$3*$B$6*$B$5*COS(F478)</f>
        <v/>
      </c>
      <c r="P478" s="18">
        <f>N478+O478</f>
        <v/>
      </c>
      <c r="Q478" s="19">
        <f>ABS(P478-$P$3)</f>
        <v/>
      </c>
    </row>
    <row r="479">
      <c r="D479" s="6" t="n">
        <v>477</v>
      </c>
      <c r="E479" s="7" t="n">
        <v>4.763402430307362</v>
      </c>
      <c r="F479" s="8" t="n">
        <v>1.357061947535859</v>
      </c>
      <c r="G479" s="9">
        <f>DEGREES(F479)</f>
        <v/>
      </c>
      <c r="H479" s="8" t="n">
        <v>5.043393781226078</v>
      </c>
      <c r="I479" s="9">
        <f>DEGREES(H479)</f>
        <v/>
      </c>
      <c r="J479" s="10" t="n">
        <v>-1.231500251326595</v>
      </c>
      <c r="K479" s="10" t="n">
        <v>1.068671896295186</v>
      </c>
      <c r="L479" s="11">
        <f>$B$5*$B$3*$B$6*SIN(F479)</f>
        <v/>
      </c>
      <c r="M479" s="11">
        <f>$B$9*K479*(SIN(F479))^2 + $B$8*($B$10+K479*COS(F479))*COS(F479)</f>
        <v/>
      </c>
      <c r="N479" s="11">
        <f>0.5*$B$9*(J479^2 + (K479*SIN(F479))^2) + 0.5*$B$8*($B$10 + K479*COS(F479))^2</f>
        <v/>
      </c>
      <c r="O479" s="11">
        <f>$B$3*$B$6*$B$5*COS(F479)</f>
        <v/>
      </c>
      <c r="P479" s="11">
        <f>N479+O479</f>
        <v/>
      </c>
      <c r="Q479" s="12">
        <f>ABS(P479-$P$3)</f>
        <v/>
      </c>
    </row>
    <row r="480">
      <c r="D480" s="13" t="n">
        <v>478</v>
      </c>
      <c r="E480" s="14" t="n">
        <v>4.773409578270194</v>
      </c>
      <c r="F480" s="15" t="n">
        <v>1.344734755776795</v>
      </c>
      <c r="G480" s="16">
        <f>DEGREES(F480)</f>
        <v/>
      </c>
      <c r="H480" s="15" t="n">
        <v>5.054396537759366</v>
      </c>
      <c r="I480" s="16">
        <f>DEGREES(H480)</f>
        <v/>
      </c>
      <c r="J480" s="17" t="n">
        <v>-1.231532277574978</v>
      </c>
      <c r="K480" s="17" t="n">
        <v>1.130307855090508</v>
      </c>
      <c r="L480" s="18">
        <f>$B$5*$B$3*$B$6*SIN(F480)</f>
        <v/>
      </c>
      <c r="M480" s="18">
        <f>$B$9*K480*(SIN(F480))^2 + $B$8*($B$10+K480*COS(F480))*COS(F480)</f>
        <v/>
      </c>
      <c r="N480" s="18">
        <f>0.5*$B$9*(J480^2 + (K480*SIN(F480))^2) + 0.5*$B$8*($B$10 + K480*COS(F480))^2</f>
        <v/>
      </c>
      <c r="O480" s="18">
        <f>$B$3*$B$6*$B$5*COS(F480)</f>
        <v/>
      </c>
      <c r="P480" s="18">
        <f>N480+O480</f>
        <v/>
      </c>
      <c r="Q480" s="19">
        <f>ABS(P480-$P$3)</f>
        <v/>
      </c>
    </row>
    <row r="481">
      <c r="D481" s="6" t="n">
        <v>479</v>
      </c>
      <c r="E481" s="7" t="n">
        <v>4.783416726233024</v>
      </c>
      <c r="F481" s="8" t="n">
        <v>1.332426595308001</v>
      </c>
      <c r="G481" s="9">
        <f>DEGREES(F481)</f>
        <v/>
      </c>
      <c r="H481" s="8" t="n">
        <v>5.066015779676832</v>
      </c>
      <c r="I481" s="9">
        <f>DEGREES(H481)</f>
        <v/>
      </c>
      <c r="J481" s="10" t="n">
        <v>-1.227697707493793</v>
      </c>
      <c r="K481" s="10" t="n">
        <v>1.191848657434478</v>
      </c>
      <c r="L481" s="11">
        <f>$B$5*$B$3*$B$6*SIN(F481)</f>
        <v/>
      </c>
      <c r="M481" s="11">
        <f>$B$9*K481*(SIN(F481))^2 + $B$8*($B$10+K481*COS(F481))*COS(F481)</f>
        <v/>
      </c>
      <c r="N481" s="11">
        <f>0.5*$B$9*(J481^2 + (K481*SIN(F481))^2) + 0.5*$B$8*($B$10 + K481*COS(F481))^2</f>
        <v/>
      </c>
      <c r="O481" s="11">
        <f>$B$3*$B$6*$B$5*COS(F481)</f>
        <v/>
      </c>
      <c r="P481" s="11">
        <f>N481+O481</f>
        <v/>
      </c>
      <c r="Q481" s="12">
        <f>ABS(P481-$P$3)</f>
        <v/>
      </c>
    </row>
    <row r="482">
      <c r="D482" s="13" t="n">
        <v>480</v>
      </c>
      <c r="E482" s="14" t="n">
        <v>4.793423874195854</v>
      </c>
      <c r="F482" s="15" t="n">
        <v>1.320176109605541</v>
      </c>
      <c r="G482" s="16">
        <f>DEGREES(F482)</f>
        <v/>
      </c>
      <c r="H482" s="15" t="n">
        <v>5.078249587453952</v>
      </c>
      <c r="I482" s="16">
        <f>DEGREES(H482)</f>
        <v/>
      </c>
      <c r="J482" s="17" t="n">
        <v>-1.220008580340859</v>
      </c>
      <c r="K482" s="17" t="n">
        <v>1.253101085946777</v>
      </c>
      <c r="L482" s="18">
        <f>$B$5*$B$3*$B$6*SIN(F482)</f>
        <v/>
      </c>
      <c r="M482" s="18">
        <f>$B$9*K482*(SIN(F482))^2 + $B$8*($B$10+K482*COS(F482))*COS(F482)</f>
        <v/>
      </c>
      <c r="N482" s="18">
        <f>0.5*$B$9*(J482^2 + (K482*SIN(F482))^2) + 0.5*$B$8*($B$10 + K482*COS(F482))^2</f>
        <v/>
      </c>
      <c r="O482" s="18">
        <f>$B$3*$B$6*$B$5*COS(F482)</f>
        <v/>
      </c>
      <c r="P482" s="18">
        <f>N482+O482</f>
        <v/>
      </c>
      <c r="Q482" s="19">
        <f>ABS(P482-$P$3)</f>
        <v/>
      </c>
    </row>
    <row r="483">
      <c r="D483" s="6" t="n">
        <v>481</v>
      </c>
      <c r="E483" s="7" t="n">
        <v>4.803431022158685</v>
      </c>
      <c r="F483" s="8" t="n">
        <v>1.30802176106615</v>
      </c>
      <c r="G483" s="9">
        <f>DEGREES(F483)</f>
        <v/>
      </c>
      <c r="H483" s="8" t="n">
        <v>5.091094112036508</v>
      </c>
      <c r="I483" s="9">
        <f>DEGREES(H483)</f>
        <v/>
      </c>
      <c r="J483" s="10" t="n">
        <v>-1.208489037384224</v>
      </c>
      <c r="K483" s="10" t="n">
        <v>1.313872828643734</v>
      </c>
      <c r="L483" s="11">
        <f>$B$5*$B$3*$B$6*SIN(F483)</f>
        <v/>
      </c>
      <c r="M483" s="11">
        <f>$B$9*K483*(SIN(F483))^2 + $B$8*($B$10+K483*COS(F483))*COS(F483)</f>
        <v/>
      </c>
      <c r="N483" s="11">
        <f>0.5*$B$9*(J483^2 + (K483*SIN(F483))^2) + 0.5*$B$8*($B$10 + K483*COS(F483))^2</f>
        <v/>
      </c>
      <c r="O483" s="11">
        <f>$B$3*$B$6*$B$5*COS(F483)</f>
        <v/>
      </c>
      <c r="P483" s="11">
        <f>N483+O483</f>
        <v/>
      </c>
      <c r="Q483" s="12">
        <f>ABS(P483-$P$3)</f>
        <v/>
      </c>
    </row>
    <row r="484">
      <c r="D484" s="13" t="n">
        <v>482</v>
      </c>
      <c r="E484" s="14" t="n">
        <v>4.813438170121516</v>
      </c>
      <c r="F484" s="15" t="n">
        <v>1.29600171024827</v>
      </c>
      <c r="G484" s="16">
        <f>DEGREES(F484)</f>
        <v/>
      </c>
      <c r="H484" s="15" t="n">
        <v>5.104543586925324</v>
      </c>
      <c r="I484" s="16">
        <f>DEGREES(H484)</f>
        <v/>
      </c>
      <c r="J484" s="17" t="n">
        <v>-1.19317524610673</v>
      </c>
      <c r="K484" s="17" t="n">
        <v>1.373973082733132</v>
      </c>
      <c r="L484" s="18">
        <f>$B$5*$B$3*$B$6*SIN(F484)</f>
        <v/>
      </c>
      <c r="M484" s="18">
        <f>$B$9*K484*(SIN(F484))^2 + $B$8*($B$10+K484*COS(F484))*COS(F484)</f>
        <v/>
      </c>
      <c r="N484" s="18">
        <f>0.5*$B$9*(J484^2 + (K484*SIN(F484))^2) + 0.5*$B$8*($B$10 + K484*COS(F484))^2</f>
        <v/>
      </c>
      <c r="O484" s="18">
        <f>$B$3*$B$6*$B$5*COS(F484)</f>
        <v/>
      </c>
      <c r="P484" s="18">
        <f>N484+O484</f>
        <v/>
      </c>
      <c r="Q484" s="19">
        <f>ABS(P484-$P$3)</f>
        <v/>
      </c>
    </row>
    <row r="485">
      <c r="D485" s="6" t="n">
        <v>483</v>
      </c>
      <c r="E485" s="7" t="n">
        <v>4.823445318084346</v>
      </c>
      <c r="F485" s="8" t="n">
        <v>1.284153696060756</v>
      </c>
      <c r="G485" s="9">
        <f>DEGREES(F485)</f>
        <v/>
      </c>
      <c r="H485" s="8" t="n">
        <v>5.118590346281127</v>
      </c>
      <c r="I485" s="9">
        <f>DEGREES(H485)</f>
        <v/>
      </c>
      <c r="J485" s="10" t="n">
        <v>-1.174115286652296</v>
      </c>
      <c r="K485" s="10" t="n">
        <v>1.433213153670702</v>
      </c>
      <c r="L485" s="11">
        <f>$B$5*$B$3*$B$6*SIN(F485)</f>
        <v/>
      </c>
      <c r="M485" s="11">
        <f>$B$9*K485*(SIN(F485))^2 + $B$8*($B$10+K485*COS(F485))*COS(F485)</f>
        <v/>
      </c>
      <c r="N485" s="11">
        <f>0.5*$B$9*(J485^2 + (K485*SIN(F485))^2) + 0.5*$B$8*($B$10 + K485*COS(F485))^2</f>
        <v/>
      </c>
      <c r="O485" s="11">
        <f>$B$3*$B$6*$B$5*COS(F485)</f>
        <v/>
      </c>
      <c r="P485" s="11">
        <f>N485+O485</f>
        <v/>
      </c>
      <c r="Q485" s="12">
        <f>ABS(P485-$P$3)</f>
        <v/>
      </c>
    </row>
    <row r="486">
      <c r="D486" s="13" t="n">
        <v>484</v>
      </c>
      <c r="E486" s="14" t="n">
        <v>4.833452466047177</v>
      </c>
      <c r="F486" s="15" t="n">
        <v>1.272514917275415</v>
      </c>
      <c r="G486" s="16">
        <f>DEGREES(F486)</f>
        <v/>
      </c>
      <c r="H486" s="15" t="n">
        <v>5.133224848992701</v>
      </c>
      <c r="I486" s="16">
        <f>DEGREES(H486)</f>
        <v/>
      </c>
      <c r="J486" s="17" t="n">
        <v>-1.151369000870464</v>
      </c>
      <c r="K486" s="17" t="n">
        <v>1.491407047597407</v>
      </c>
      <c r="L486" s="18">
        <f>$B$5*$B$3*$B$6*SIN(F486)</f>
        <v/>
      </c>
      <c r="M486" s="18">
        <f>$B$9*K486*(SIN(F486))^2 + $B$8*($B$10+K486*COS(F486))*COS(F486)</f>
        <v/>
      </c>
      <c r="N486" s="18">
        <f>0.5*$B$9*(J486^2 + (K486*SIN(F486))^2) + 0.5*$B$8*($B$10 + K486*COS(F486))^2</f>
        <v/>
      </c>
      <c r="O486" s="18">
        <f>$B$3*$B$6*$B$5*COS(F486)</f>
        <v/>
      </c>
      <c r="P486" s="18">
        <f>N486+O486</f>
        <v/>
      </c>
      <c r="Q486" s="19">
        <f>ABS(P486-$P$3)</f>
        <v/>
      </c>
    </row>
    <row r="487">
      <c r="D487" s="6" t="n">
        <v>485</v>
      </c>
      <c r="E487" s="7" t="n">
        <v>4.843459614010007</v>
      </c>
      <c r="F487" s="8" t="n">
        <v>1.261121915735409</v>
      </c>
      <c r="G487" s="9">
        <f>DEGREES(F487)</f>
        <v/>
      </c>
      <c r="H487" s="8" t="n">
        <v>5.148435708632759</v>
      </c>
      <c r="I487" s="9">
        <f>DEGREES(H487)</f>
        <v/>
      </c>
      <c r="J487" s="10" t="n">
        <v>-1.125007804433179</v>
      </c>
      <c r="K487" s="10" t="n">
        <v>1.548372055297439</v>
      </c>
      <c r="L487" s="11">
        <f>$B$5*$B$3*$B$6*SIN(F487)</f>
        <v/>
      </c>
      <c r="M487" s="11">
        <f>$B$9*K487*(SIN(F487))^2 + $B$8*($B$10+K487*COS(F487))*COS(F487)</f>
        <v/>
      </c>
      <c r="N487" s="11">
        <f>0.5*$B$9*(J487^2 + (K487*SIN(F487))^2) + 0.5*$B$8*($B$10 + K487*COS(F487))^2</f>
        <v/>
      </c>
      <c r="O487" s="11">
        <f>$B$3*$B$6*$B$5*COS(F487)</f>
        <v/>
      </c>
      <c r="P487" s="11">
        <f>N487+O487</f>
        <v/>
      </c>
      <c r="Q487" s="12">
        <f>ABS(P487-$P$3)</f>
        <v/>
      </c>
    </row>
    <row r="488">
      <c r="D488" s="13" t="n">
        <v>486</v>
      </c>
      <c r="E488" s="14" t="n">
        <v>4.853466761972838</v>
      </c>
      <c r="F488" s="15" t="n">
        <v>1.25001046162617</v>
      </c>
      <c r="G488" s="16">
        <f>DEGREES(F488)</f>
        <v/>
      </c>
      <c r="H488" s="15" t="n">
        <v>5.164209729207491</v>
      </c>
      <c r="I488" s="16">
        <f>DEGREES(H488)</f>
        <v/>
      </c>
      <c r="J488" s="17" t="n">
        <v>-1.095114462613619</v>
      </c>
      <c r="K488" s="17" t="n">
        <v>1.603929325843635</v>
      </c>
      <c r="L488" s="18">
        <f>$B$5*$B$3*$B$6*SIN(F488)</f>
        <v/>
      </c>
      <c r="M488" s="18">
        <f>$B$9*K488*(SIN(F488))^2 + $B$8*($B$10+K488*COS(F488))*COS(F488)</f>
        <v/>
      </c>
      <c r="N488" s="18">
        <f>0.5*$B$9*(J488^2 + (K488*SIN(F488))^2) + 0.5*$B$8*($B$10 + K488*COS(F488))^2</f>
        <v/>
      </c>
      <c r="O488" s="18">
        <f>$B$3*$B$6*$B$5*COS(F488)</f>
        <v/>
      </c>
      <c r="P488" s="18">
        <f>N488+O488</f>
        <v/>
      </c>
      <c r="Q488" s="19">
        <f>ABS(P488-$P$3)</f>
        <v/>
      </c>
    </row>
    <row r="489">
      <c r="D489" s="6" t="n">
        <v>487</v>
      </c>
      <c r="E489" s="7" t="n">
        <v>4.863473909935669</v>
      </c>
      <c r="F489" s="8" t="n">
        <v>1.239215441169081</v>
      </c>
      <c r="G489" s="9">
        <f>DEGREES(F489)</f>
        <v/>
      </c>
      <c r="H489" s="8" t="n">
        <v>5.180531946587536</v>
      </c>
      <c r="I489" s="9">
        <f>DEGREES(H489)</f>
        <v/>
      </c>
      <c r="J489" s="10" t="n">
        <v>-1.061782830431149</v>
      </c>
      <c r="K489" s="10" t="n">
        <v>1.65790442812908</v>
      </c>
      <c r="L489" s="11">
        <f>$B$5*$B$3*$B$6*SIN(F489)</f>
        <v/>
      </c>
      <c r="M489" s="11">
        <f>$B$9*K489*(SIN(F489))^2 + $B$8*($B$10+K489*COS(F489))*COS(F489)</f>
        <v/>
      </c>
      <c r="N489" s="11">
        <f>0.5*$B$9*(J489^2 + (K489*SIN(F489))^2) + 0.5*$B$8*($B$10 + K489*COS(F489))^2</f>
        <v/>
      </c>
      <c r="O489" s="11">
        <f>$B$3*$B$6*$B$5*COS(F489)</f>
        <v/>
      </c>
      <c r="P489" s="11">
        <f>N489+O489</f>
        <v/>
      </c>
      <c r="Q489" s="12">
        <f>ABS(P489-$P$3)</f>
        <v/>
      </c>
    </row>
    <row r="490">
      <c r="D490" s="13" t="n">
        <v>488</v>
      </c>
      <c r="E490" s="14" t="n">
        <v>4.873481057898499</v>
      </c>
      <c r="F490" s="15" t="n">
        <v>1.228770747090493</v>
      </c>
      <c r="G490" s="16">
        <f>DEGREES(F490)</f>
        <v/>
      </c>
      <c r="H490" s="15" t="n">
        <v>5.197385675490298</v>
      </c>
      <c r="I490" s="16">
        <f>DEGREES(H490)</f>
        <v/>
      </c>
      <c r="J490" s="17" t="n">
        <v>-1.025117557978178</v>
      </c>
      <c r="K490" s="17" t="n">
        <v>1.710127898522017</v>
      </c>
      <c r="L490" s="18">
        <f>$B$5*$B$3*$B$6*SIN(F490)</f>
        <v/>
      </c>
      <c r="M490" s="18">
        <f>$B$9*K490*(SIN(F490))^2 + $B$8*($B$10+K490*COS(F490))*COS(F490)</f>
        <v/>
      </c>
      <c r="N490" s="18">
        <f>0.5*$B$9*(J490^2 + (K490*SIN(F490))^2) + 0.5*$B$8*($B$10 + K490*COS(F490))^2</f>
        <v/>
      </c>
      <c r="O490" s="18">
        <f>$B$3*$B$6*$B$5*COS(F490)</f>
        <v/>
      </c>
      <c r="P490" s="18">
        <f>N490+O490</f>
        <v/>
      </c>
      <c r="Q490" s="19">
        <f>ABS(P490-$P$3)</f>
        <v/>
      </c>
    </row>
    <row r="491">
      <c r="D491" s="6" t="n">
        <v>489</v>
      </c>
      <c r="E491" s="7" t="n">
        <v>4.88348820586133</v>
      </c>
      <c r="F491" s="8" t="n">
        <v>1.21870917220999</v>
      </c>
      <c r="G491" s="9">
        <f>DEGREES(F491)</f>
        <v/>
      </c>
      <c r="H491" s="8" t="n">
        <v>5.214752561866126</v>
      </c>
      <c r="I491" s="9">
        <f>DEGREES(H491)</f>
        <v/>
      </c>
      <c r="J491" s="10" t="n">
        <v>-0.985233761854146</v>
      </c>
      <c r="K491" s="10" t="n">
        <v>1.760435772924533</v>
      </c>
      <c r="L491" s="11">
        <f>$B$5*$B$3*$B$6*SIN(F491)</f>
        <v/>
      </c>
      <c r="M491" s="11">
        <f>$B$9*K491*(SIN(F491))^2 + $B$8*($B$10+K491*COS(F491))*COS(F491)</f>
        <v/>
      </c>
      <c r="N491" s="11">
        <f>0.5*$B$9*(J491^2 + (K491*SIN(F491))^2) + 0.5*$B$8*($B$10 + K491*COS(F491))^2</f>
        <v/>
      </c>
      <c r="O491" s="11">
        <f>$B$3*$B$6*$B$5*COS(F491)</f>
        <v/>
      </c>
      <c r="P491" s="11">
        <f>N491+O491</f>
        <v/>
      </c>
      <c r="Q491" s="12">
        <f>ABS(P491-$P$3)</f>
        <v/>
      </c>
    </row>
    <row r="492">
      <c r="D492" s="13" t="n">
        <v>490</v>
      </c>
      <c r="E492" s="14" t="n">
        <v>4.893495353824161</v>
      </c>
      <c r="F492" s="15" t="n">
        <v>1.209062306481979</v>
      </c>
      <c r="G492" s="16">
        <f>DEGREES(F492)</f>
        <v/>
      </c>
      <c r="H492" s="15" t="n">
        <v>5.232612640523833</v>
      </c>
      <c r="I492" s="16">
        <f>DEGREES(H492)</f>
        <v/>
      </c>
      <c r="J492" s="17" t="n">
        <v>-0.9422566637381758</v>
      </c>
      <c r="K492" s="17" t="n">
        <v>1.808670101564589</v>
      </c>
      <c r="L492" s="18">
        <f>$B$5*$B$3*$B$6*SIN(F492)</f>
        <v/>
      </c>
      <c r="M492" s="18">
        <f>$B$9*K492*(SIN(F492))^2 + $B$8*($B$10+K492*COS(F492))*COS(F492)</f>
        <v/>
      </c>
      <c r="N492" s="18">
        <f>0.5*$B$9*(J492^2 + (K492*SIN(F492))^2) + 0.5*$B$8*($B$10 + K492*COS(F492))^2</f>
        <v/>
      </c>
      <c r="O492" s="18">
        <f>$B$3*$B$6*$B$5*COS(F492)</f>
        <v/>
      </c>
      <c r="P492" s="18">
        <f>N492+O492</f>
        <v/>
      </c>
      <c r="Q492" s="19">
        <f>ABS(P492-$P$3)</f>
        <v/>
      </c>
    </row>
    <row r="493">
      <c r="D493" s="6" t="n">
        <v>491</v>
      </c>
      <c r="E493" s="7" t="n">
        <v>4.903502501786991</v>
      </c>
      <c r="F493" s="8" t="n">
        <v>1.199860437813888</v>
      </c>
      <c r="G493" s="9">
        <f>DEGREES(F493)</f>
        <v/>
      </c>
      <c r="H493" s="8" t="n">
        <v>5.250944397814665</v>
      </c>
      <c r="I493" s="9">
        <f>DEGREES(H493)</f>
        <v/>
      </c>
      <c r="J493" s="10" t="n">
        <v>-0.8963211972352326</v>
      </c>
      <c r="K493" s="10" t="n">
        <v>1.854679444905041</v>
      </c>
      <c r="L493" s="11">
        <f>$B$5*$B$3*$B$6*SIN(F493)</f>
        <v/>
      </c>
      <c r="M493" s="11">
        <f>$B$9*K493*(SIN(F493))^2 + $B$8*($B$10+K493*COS(F493))*COS(F493)</f>
        <v/>
      </c>
      <c r="N493" s="11">
        <f>0.5*$B$9*(J493^2 + (K493*SIN(F493))^2) + 0.5*$B$8*($B$10 + K493*COS(F493))^2</f>
        <v/>
      </c>
      <c r="O493" s="11">
        <f>$B$3*$B$6*$B$5*COS(F493)</f>
        <v/>
      </c>
      <c r="P493" s="11">
        <f>N493+O493</f>
        <v/>
      </c>
      <c r="Q493" s="12">
        <f>ABS(P493-$P$3)</f>
        <v/>
      </c>
    </row>
    <row r="494">
      <c r="D494" s="13" t="n">
        <v>492</v>
      </c>
      <c r="E494" s="14" t="n">
        <v>4.913509649749821</v>
      </c>
      <c r="F494" s="15" t="n">
        <v>1.191132456972338</v>
      </c>
      <c r="G494" s="16">
        <f>DEGREES(F494)</f>
        <v/>
      </c>
      <c r="H494" s="15" t="n">
        <v>5.269724839177923</v>
      </c>
      <c r="I494" s="16">
        <f>DEGREES(H494)</f>
        <v/>
      </c>
      <c r="J494" s="17" t="n">
        <v>-0.8475715842300378</v>
      </c>
      <c r="K494" s="17" t="n">
        <v>1.898319349112795</v>
      </c>
      <c r="L494" s="18">
        <f>$B$5*$B$3*$B$6*SIN(F494)</f>
        <v/>
      </c>
      <c r="M494" s="18">
        <f>$B$9*K494*(SIN(F494))^2 + $B$8*($B$10+K494*COS(F494))*COS(F494)</f>
        <v/>
      </c>
      <c r="N494" s="18">
        <f>0.5*$B$9*(J494^2 + (K494*SIN(F494))^2) + 0.5*$B$8*($B$10 + K494*COS(F494))^2</f>
        <v/>
      </c>
      <c r="O494" s="18">
        <f>$B$3*$B$6*$B$5*COS(F494)</f>
        <v/>
      </c>
      <c r="P494" s="18">
        <f>N494+O494</f>
        <v/>
      </c>
      <c r="Q494" s="19">
        <f>ABS(P494-$P$3)</f>
        <v/>
      </c>
    </row>
    <row r="495">
      <c r="D495" s="6" t="n">
        <v>493</v>
      </c>
      <c r="E495" s="7" t="n">
        <v>4.923516797712653</v>
      </c>
      <c r="F495" s="8" t="n">
        <v>1.18290576687587</v>
      </c>
      <c r="G495" s="9">
        <f>DEGREES(F495)</f>
        <v/>
      </c>
      <c r="H495" s="8" t="n">
        <v>5.288929561336121</v>
      </c>
      <c r="I495" s="9">
        <f>DEGREES(H495)</f>
        <v/>
      </c>
      <c r="J495" s="10" t="n">
        <v>-0.7961608820789799</v>
      </c>
      <c r="K495" s="10" t="n">
        <v>1.939452799595131</v>
      </c>
      <c r="L495" s="11">
        <f>$B$5*$B$3*$B$6*SIN(F495)</f>
        <v/>
      </c>
      <c r="M495" s="11">
        <f>$B$9*K495*(SIN(F495))^2 + $B$8*($B$10+K495*COS(F495))*COS(F495)</f>
        <v/>
      </c>
      <c r="N495" s="11">
        <f>0.5*$B$9*(J495^2 + (K495*SIN(F495))^2) + 0.5*$B$8*($B$10 + K495*COS(F495))^2</f>
        <v/>
      </c>
      <c r="O495" s="11">
        <f>$B$3*$B$6*$B$5*COS(F495)</f>
        <v/>
      </c>
      <c r="P495" s="11">
        <f>N495+O495</f>
        <v/>
      </c>
      <c r="Q495" s="12">
        <f>ABS(P495-$P$3)</f>
        <v/>
      </c>
    </row>
    <row r="496">
      <c r="D496" s="13" t="n">
        <v>494</v>
      </c>
      <c r="E496" s="14" t="n">
        <v>4.933523945675483</v>
      </c>
      <c r="F496" s="15" t="n">
        <v>1.175206196559026</v>
      </c>
      <c r="G496" s="16">
        <f>DEGREES(F496)</f>
        <v/>
      </c>
      <c r="H496" s="15" t="n">
        <v>5.308532828913058</v>
      </c>
      <c r="I496" s="16">
        <f>DEGREES(H496)</f>
        <v/>
      </c>
      <c r="J496" s="17" t="n">
        <v>-0.7422505030615989</v>
      </c>
      <c r="K496" s="17" t="n">
        <v>1.977950651179355</v>
      </c>
      <c r="L496" s="18">
        <f>$B$5*$B$3*$B$6*SIN(F496)</f>
        <v/>
      </c>
      <c r="M496" s="18">
        <f>$B$9*K496*(SIN(F496))^2 + $B$8*($B$10+K496*COS(F496))*COS(F496)</f>
        <v/>
      </c>
      <c r="N496" s="18">
        <f>0.5*$B$9*(J496^2 + (K496*SIN(F496))^2) + 0.5*$B$8*($B$10 + K496*COS(F496))^2</f>
        <v/>
      </c>
      <c r="O496" s="18">
        <f>$B$3*$B$6*$B$5*COS(F496)</f>
        <v/>
      </c>
      <c r="P496" s="18">
        <f>N496+O496</f>
        <v/>
      </c>
      <c r="Q496" s="19">
        <f>ABS(P496-$P$3)</f>
        <v/>
      </c>
    </row>
    <row r="497">
      <c r="D497" s="6" t="n">
        <v>495</v>
      </c>
      <c r="E497" s="7" t="n">
        <v>4.943531093638313</v>
      </c>
      <c r="F497" s="8" t="n">
        <v>1.168057920077869</v>
      </c>
      <c r="G497" s="9">
        <f>DEGREES(F497)</f>
        <v/>
      </c>
      <c r="H497" s="8" t="n">
        <v>5.328507655234225</v>
      </c>
      <c r="I497" s="9">
        <f>DEGREES(H497)</f>
        <v/>
      </c>
      <c r="J497" s="10" t="n">
        <v>-0.686009707600396</v>
      </c>
      <c r="K497" s="10" t="n">
        <v>2.013692033585136</v>
      </c>
      <c r="L497" s="11">
        <f>$B$5*$B$3*$B$6*SIN(F497)</f>
        <v/>
      </c>
      <c r="M497" s="11">
        <f>$B$9*K497*(SIN(F497))^2 + $B$8*($B$10+K497*COS(F497))*COS(F497)</f>
        <v/>
      </c>
      <c r="N497" s="11">
        <f>0.5*$B$9*(J497^2 + (K497*SIN(F497))^2) + 0.5*$B$8*($B$10 + K497*COS(F497))^2</f>
        <v/>
      </c>
      <c r="O497" s="11">
        <f>$B$3*$B$6*$B$5*COS(F497)</f>
        <v/>
      </c>
      <c r="P497" s="11">
        <f>N497+O497</f>
        <v/>
      </c>
      <c r="Q497" s="12">
        <f>ABS(P497-$P$3)</f>
        <v/>
      </c>
    </row>
    <row r="498">
      <c r="D498" s="13" t="n">
        <v>496</v>
      </c>
      <c r="E498" s="14" t="n">
        <v>4.953538241601144</v>
      </c>
      <c r="F498" s="15" t="n">
        <v>1.161483380611608</v>
      </c>
      <c r="G498" s="16">
        <f>DEGREES(F498)</f>
        <v/>
      </c>
      <c r="H498" s="15" t="n">
        <v>5.348825887055876</v>
      </c>
      <c r="I498" s="16">
        <f>DEGREES(H498)</f>
        <v/>
      </c>
      <c r="J498" s="17" t="n">
        <v>-0.6276150728401629</v>
      </c>
      <c r="K498" s="17" t="n">
        <v>2.046564730916445</v>
      </c>
      <c r="L498" s="18">
        <f>$B$5*$B$3*$B$6*SIN(F498)</f>
        <v/>
      </c>
      <c r="M498" s="18">
        <f>$B$9*K498*(SIN(F498))^2 + $B$8*($B$10+K498*COS(F498))*COS(F498)</f>
        <v/>
      </c>
      <c r="N498" s="18">
        <f>0.5*$B$9*(J498^2 + (K498*SIN(F498))^2) + 0.5*$B$8*($B$10 + K498*COS(F498))^2</f>
        <v/>
      </c>
      <c r="O498" s="18">
        <f>$B$3*$B$6*$B$5*COS(F498)</f>
        <v/>
      </c>
      <c r="P498" s="18">
        <f>N498+O498</f>
        <v/>
      </c>
      <c r="Q498" s="19">
        <f>ABS(P498-$P$3)</f>
        <v/>
      </c>
    </row>
    <row r="499">
      <c r="D499" s="6" t="n">
        <v>497</v>
      </c>
      <c r="E499" s="7" t="n">
        <v>4.963545389563975</v>
      </c>
      <c r="F499" s="8" t="n">
        <v>1.155503219998569</v>
      </c>
      <c r="G499" s="9">
        <f>DEGREES(F499)</f>
        <v/>
      </c>
      <c r="H499" s="8" t="n">
        <v>5.369458292956713</v>
      </c>
      <c r="I499" s="9">
        <f>DEGREES(H499)</f>
        <v/>
      </c>
      <c r="J499" s="10" t="n">
        <v>-0.5672499382552727</v>
      </c>
      <c r="K499" s="10" t="n">
        <v>2.076465533981636</v>
      </c>
      <c r="L499" s="11">
        <f>$B$5*$B$3*$B$6*SIN(F499)</f>
        <v/>
      </c>
      <c r="M499" s="11">
        <f>$B$9*K499*(SIN(F499))^2 + $B$8*($B$10+K499*COS(F499))*COS(F499)</f>
        <v/>
      </c>
      <c r="N499" s="11">
        <f>0.5*$B$9*(J499^2 + (K499*SIN(F499))^2) + 0.5*$B$8*($B$10 + K499*COS(F499))^2</f>
        <v/>
      </c>
      <c r="O499" s="11">
        <f>$B$3*$B$6*$B$5*COS(F499)</f>
        <v/>
      </c>
      <c r="P499" s="11">
        <f>N499+O499</f>
        <v/>
      </c>
      <c r="Q499" s="12">
        <f>ABS(P499-$P$3)</f>
        <v/>
      </c>
    </row>
    <row r="500">
      <c r="D500" s="13" t="n">
        <v>498</v>
      </c>
      <c r="E500" s="14" t="n">
        <v>4.973552537526805</v>
      </c>
      <c r="F500" s="15" t="n">
        <v>1.150136213927786</v>
      </c>
      <c r="G500" s="16">
        <f>DEGREES(F500)</f>
        <v/>
      </c>
      <c r="H500" s="15" t="n">
        <v>5.390374655114708</v>
      </c>
      <c r="I500" s="16">
        <f>DEGREES(H500)</f>
        <v/>
      </c>
      <c r="J500" s="17" t="n">
        <v>-0.5051038300254855</v>
      </c>
      <c r="K500" s="17" t="n">
        <v>2.103300564335551</v>
      </c>
      <c r="L500" s="18">
        <f>$B$5*$B$3*$B$6*SIN(F500)</f>
        <v/>
      </c>
      <c r="M500" s="18">
        <f>$B$9*K500*(SIN(F500))^2 + $B$8*($B$10+K500*COS(F500))*COS(F500)</f>
        <v/>
      </c>
      <c r="N500" s="18">
        <f>0.5*$B$9*(J500^2 + (K500*SIN(F500))^2) + 0.5*$B$8*($B$10 + K500*COS(F500))^2</f>
        <v/>
      </c>
      <c r="O500" s="18">
        <f>$B$3*$B$6*$B$5*COS(F500)</f>
        <v/>
      </c>
      <c r="P500" s="18">
        <f>N500+O500</f>
        <v/>
      </c>
      <c r="Q500" s="19">
        <f>ABS(P500-$P$3)</f>
        <v/>
      </c>
    </row>
    <row r="501">
      <c r="D501" s="6" t="n">
        <v>499</v>
      </c>
      <c r="E501" s="7" t="n">
        <v>4.983559685489636</v>
      </c>
      <c r="F501" s="8" t="n">
        <v>1.145399212989658</v>
      </c>
      <c r="G501" s="9">
        <f>DEGREES(F501)</f>
        <v/>
      </c>
      <c r="H501" s="8" t="n">
        <v>5.411543864180882</v>
      </c>
      <c r="I501" s="9">
        <f>DEGREES(H501)</f>
        <v/>
      </c>
      <c r="J501" s="10" t="n">
        <v>-0.4413718659876125</v>
      </c>
      <c r="K501" s="10" t="n">
        <v>2.126985569026193</v>
      </c>
      <c r="L501" s="11">
        <f>$B$5*$B$3*$B$6*SIN(F501)</f>
        <v/>
      </c>
      <c r="M501" s="11">
        <f>$B$9*K501*(SIN(F501))^2 + $B$8*($B$10+K501*COS(F501))*COS(F501)</f>
        <v/>
      </c>
      <c r="N501" s="11">
        <f>0.5*$B$9*(J501^2 + (K501*SIN(F501))^2) + 0.5*$B$8*($B$10 + K501*COS(F501))^2</f>
        <v/>
      </c>
      <c r="O501" s="11">
        <f>$B$3*$B$6*$B$5*COS(F501)</f>
        <v/>
      </c>
      <c r="P501" s="11">
        <f>N501+O501</f>
        <v/>
      </c>
      <c r="Q501" s="12">
        <f>ABS(P501-$P$3)</f>
        <v/>
      </c>
    </row>
    <row r="502">
      <c r="D502" s="13" t="n">
        <v>500</v>
      </c>
      <c r="E502" s="14" t="n">
        <v>4.993566833452467</v>
      </c>
      <c r="F502" s="15" t="n">
        <v>1.141307089770779</v>
      </c>
      <c r="G502" s="16">
        <f>DEGREES(F502)</f>
        <v/>
      </c>
      <c r="H502" s="15" t="n">
        <v>5.432934016952161</v>
      </c>
      <c r="I502" s="16">
        <f>DEGREES(H502)</f>
        <v/>
      </c>
      <c r="J502" s="17" t="n">
        <v>-0.3762541430313026</v>
      </c>
      <c r="K502" s="17" t="n">
        <v>2.14744618512059</v>
      </c>
      <c r="L502" s="18">
        <f>$B$5*$B$3*$B$6*SIN(F502)</f>
        <v/>
      </c>
      <c r="M502" s="18">
        <f>$B$9*K502*(SIN(F502))^2 + $B$8*($B$10+K502*COS(F502))*COS(F502)</f>
        <v/>
      </c>
      <c r="N502" s="18">
        <f>0.5*$B$9*(J502^2 + (K502*SIN(F502))^2) + 0.5*$B$8*($B$10 + K502*COS(F502))^2</f>
        <v/>
      </c>
      <c r="O502" s="18">
        <f>$B$3*$B$6*$B$5*COS(F502)</f>
        <v/>
      </c>
      <c r="P502" s="18">
        <f>N502+O502</f>
        <v/>
      </c>
      <c r="Q502" s="19">
        <f>ABS(P502-$P$3)</f>
        <v/>
      </c>
    </row>
    <row r="503">
      <c r="D503" s="6" t="n">
        <v>501</v>
      </c>
      <c r="E503" s="7" t="n">
        <v>5.003573981415297</v>
      </c>
      <c r="F503" s="8" t="n">
        <v>1.137872692159024</v>
      </c>
      <c r="G503" s="9">
        <f>DEGREES(F503)</f>
        <v/>
      </c>
      <c r="H503" s="8" t="n">
        <v>5.454512516536708</v>
      </c>
      <c r="I503" s="9">
        <f>DEGREES(H503)</f>
        <v/>
      </c>
      <c r="J503" s="10" t="n">
        <v>-0.3099551088621884</v>
      </c>
      <c r="K503" s="10" t="n">
        <v>2.164618173179364</v>
      </c>
      <c r="L503" s="11">
        <f>$B$5*$B$3*$B$6*SIN(F503)</f>
        <v/>
      </c>
      <c r="M503" s="11">
        <f>$B$9*K503*(SIN(F503))^2 + $B$8*($B$10+K503*COS(F503))*COS(F503)</f>
        <v/>
      </c>
      <c r="N503" s="11">
        <f>0.5*$B$9*(J503^2 + (K503*SIN(F503))^2) + 0.5*$B$8*($B$10 + K503*COS(F503))^2</f>
        <v/>
      </c>
      <c r="O503" s="11">
        <f>$B$3*$B$6*$B$5*COS(F503)</f>
        <v/>
      </c>
      <c r="P503" s="11">
        <f>N503+O503</f>
        <v/>
      </c>
      <c r="Q503" s="12">
        <f>ABS(P503-$P$3)</f>
        <v/>
      </c>
    </row>
    <row r="504">
      <c r="D504" s="13" t="n">
        <v>502</v>
      </c>
      <c r="E504" s="14" t="n">
        <v>5.013581129378127</v>
      </c>
      <c r="F504" s="15" t="n">
        <v>1.135106803005514</v>
      </c>
      <c r="G504" s="16">
        <f>DEGREES(F504)</f>
        <v/>
      </c>
      <c r="H504" s="15" t="n">
        <v>5.476246174697156</v>
      </c>
      <c r="I504" s="16">
        <f>DEGREES(H504)</f>
        <v/>
      </c>
      <c r="J504" s="17" t="n">
        <v>-0.2426829201050169</v>
      </c>
      <c r="K504" s="17" t="n">
        <v>2.178447618946912</v>
      </c>
      <c r="L504" s="18">
        <f>$B$5*$B$3*$B$6*SIN(F504)</f>
        <v/>
      </c>
      <c r="M504" s="18">
        <f>$B$9*K504*(SIN(F504))^2 + $B$8*($B$10+K504*COS(F504))*COS(F504)</f>
        <v/>
      </c>
      <c r="N504" s="18">
        <f>0.5*$B$9*(J504^2 + (K504*SIN(F504))^2) + 0.5*$B$8*($B$10 + K504*COS(F504))^2</f>
        <v/>
      </c>
      <c r="O504" s="18">
        <f>$B$3*$B$6*$B$5*COS(F504)</f>
        <v/>
      </c>
      <c r="P504" s="18">
        <f>N504+O504</f>
        <v/>
      </c>
      <c r="Q504" s="19">
        <f>ABS(P504-$P$3)</f>
        <v/>
      </c>
    </row>
    <row r="505">
      <c r="D505" s="6" t="n">
        <v>503</v>
      </c>
      <c r="E505" s="7" t="n">
        <v>5.023588277340958</v>
      </c>
      <c r="F505" s="8" t="n">
        <v>1.133018106270098</v>
      </c>
      <c r="G505" s="9">
        <f>DEGREES(F505)</f>
        <v/>
      </c>
      <c r="H505" s="8" t="n">
        <v>5.498101316050501</v>
      </c>
      <c r="I505" s="9">
        <f>DEGREES(H505)</f>
        <v/>
      </c>
      <c r="J505" s="10" t="n">
        <v>-0.1746487887619961</v>
      </c>
      <c r="K505" s="10" t="n">
        <v>2.188891102623995</v>
      </c>
      <c r="L505" s="11">
        <f>$B$5*$B$3*$B$6*SIN(F505)</f>
        <v/>
      </c>
      <c r="M505" s="11">
        <f>$B$9*K505*(SIN(F505))^2 + $B$8*($B$10+K505*COS(F505))*COS(F505)</f>
        <v/>
      </c>
      <c r="N505" s="11">
        <f>0.5*$B$9*(J505^2 + (K505*SIN(F505))^2) + 0.5*$B$8*($B$10 + K505*COS(F505))^2</f>
        <v/>
      </c>
      <c r="O505" s="11">
        <f>$B$3*$B$6*$B$5*COS(F505)</f>
        <v/>
      </c>
      <c r="P505" s="11">
        <f>N505+O505</f>
        <v/>
      </c>
      <c r="Q505" s="12">
        <f>ABS(P505-$P$3)</f>
        <v/>
      </c>
    </row>
    <row r="506">
      <c r="D506" s="13" t="n">
        <v>504</v>
      </c>
      <c r="E506" s="14" t="n">
        <v>5.033595425303789</v>
      </c>
      <c r="F506" s="15" t="n">
        <v>1.13161315975664</v>
      </c>
      <c r="G506" s="16">
        <f>DEGREES(F506)</f>
        <v/>
      </c>
      <c r="H506" s="15" t="n">
        <v>5.520043883797451</v>
      </c>
      <c r="I506" s="16">
        <f>DEGREES(H506)</f>
        <v/>
      </c>
      <c r="J506" s="17" t="n">
        <v>-0.1060663190782948</v>
      </c>
      <c r="K506" s="17" t="n">
        <v>2.195915835191284</v>
      </c>
      <c r="L506" s="18">
        <f>$B$5*$B$3*$B$6*SIN(F506)</f>
        <v/>
      </c>
      <c r="M506" s="18">
        <f>$B$9*K506*(SIN(F506))^2 + $B$8*($B$10+K506*COS(F506))*COS(F506)</f>
        <v/>
      </c>
      <c r="N506" s="18">
        <f>0.5*$B$9*(J506^2 + (K506*SIN(F506))^2) + 0.5*$B$8*($B$10 + K506*COS(F506))^2</f>
        <v/>
      </c>
      <c r="O506" s="18">
        <f>$B$3*$B$6*$B$5*COS(F506)</f>
        <v/>
      </c>
      <c r="P506" s="18">
        <f>N506+O506</f>
        <v/>
      </c>
      <c r="Q506" s="19">
        <f>ABS(P506-$P$3)</f>
        <v/>
      </c>
    </row>
    <row r="507">
      <c r="D507" s="6" t="n">
        <v>505</v>
      </c>
      <c r="E507" s="7" t="n">
        <v>5.043602573266619</v>
      </c>
      <c r="F507" s="8" t="n">
        <v>1.130896374523731</v>
      </c>
      <c r="G507" s="9">
        <f>DEGREES(F507)</f>
        <v/>
      </c>
      <c r="H507" s="8" t="n">
        <v>5.542039546649298</v>
      </c>
      <c r="I507" s="9">
        <f>DEGREES(H507)</f>
        <v/>
      </c>
      <c r="J507" s="10" t="n">
        <v>-0.03715083689666152</v>
      </c>
      <c r="K507" s="10" t="n">
        <v>2.199499761355828</v>
      </c>
      <c r="L507" s="11">
        <f>$B$5*$B$3*$B$6*SIN(F507)</f>
        <v/>
      </c>
      <c r="M507" s="11">
        <f>$B$9*K507*(SIN(F507))^2 + $B$8*($B$10+K507*COS(F507))*COS(F507)</f>
        <v/>
      </c>
      <c r="N507" s="11">
        <f>0.5*$B$9*(J507^2 + (K507*SIN(F507))^2) + 0.5*$B$8*($B$10 + K507*COS(F507))^2</f>
        <v/>
      </c>
      <c r="O507" s="11">
        <f>$B$3*$B$6*$B$5*COS(F507)</f>
        <v/>
      </c>
      <c r="P507" s="11">
        <f>N507+O507</f>
        <v/>
      </c>
      <c r="Q507" s="12">
        <f>ABS(P507-$P$3)</f>
        <v/>
      </c>
    </row>
    <row r="508">
      <c r="D508" s="13" t="n">
        <v>506</v>
      </c>
      <c r="E508" s="14" t="n">
        <v>5.05360972122945</v>
      </c>
      <c r="F508" s="15" t="n">
        <v>1.130870001035448</v>
      </c>
      <c r="G508" s="16">
        <f>DEGREES(F508)</f>
        <v/>
      </c>
      <c r="H508" s="15" t="n">
        <v>5.564053806616607</v>
      </c>
      <c r="I508" s="16">
        <f>DEGREES(H508)</f>
        <v/>
      </c>
      <c r="J508" s="17" t="n">
        <v>0.03188128639313548</v>
      </c>
      <c r="K508" s="17" t="n">
        <v>2.199631628797242</v>
      </c>
      <c r="L508" s="18">
        <f>$B$5*$B$3*$B$6*SIN(F508)</f>
        <v/>
      </c>
      <c r="M508" s="18">
        <f>$B$9*K508*(SIN(F508))^2 + $B$8*($B$10+K508*COS(F508))*COS(F508)</f>
        <v/>
      </c>
      <c r="N508" s="18">
        <f>0.5*$B$9*(J508^2 + (K508*SIN(F508))^2) + 0.5*$B$8*($B$10 + K508*COS(F508))^2</f>
        <v/>
      </c>
      <c r="O508" s="18">
        <f>$B$3*$B$6*$B$5*COS(F508)</f>
        <v/>
      </c>
      <c r="P508" s="18">
        <f>N508+O508</f>
        <v/>
      </c>
      <c r="Q508" s="19">
        <f>ABS(P508-$P$3)</f>
        <v/>
      </c>
    </row>
    <row r="509">
      <c r="D509" s="6" t="n">
        <v>507</v>
      </c>
      <c r="E509" s="7" t="n">
        <v>5.06361686919228</v>
      </c>
      <c r="F509" s="8" t="n">
        <v>1.131534122095657</v>
      </c>
      <c r="G509" s="9">
        <f>DEGREES(F509)</f>
        <v/>
      </c>
      <c r="H509" s="8" t="n">
        <v>5.586052107321255</v>
      </c>
      <c r="I509" s="9">
        <f>DEGREES(H509)</f>
        <v/>
      </c>
      <c r="J509" s="10" t="n">
        <v>0.1008133131875343</v>
      </c>
      <c r="K509" s="10" t="n">
        <v>2.196311023496198</v>
      </c>
      <c r="L509" s="11">
        <f>$B$5*$B$3*$B$6*SIN(F509)</f>
        <v/>
      </c>
      <c r="M509" s="11">
        <f>$B$9*K509*(SIN(F509))^2 + $B$8*($B$10+K509*COS(F509))*COS(F509)</f>
        <v/>
      </c>
      <c r="N509" s="11">
        <f>0.5*$B$9*(J509^2 + (K509*SIN(F509))^2) + 0.5*$B$8*($B$10 + K509*COS(F509))^2</f>
        <v/>
      </c>
      <c r="O509" s="11">
        <f>$B$3*$B$6*$B$5*COS(F509)</f>
        <v/>
      </c>
      <c r="P509" s="11">
        <f>N509+O509</f>
        <v/>
      </c>
      <c r="Q509" s="12">
        <f>ABS(P509-$P$3)</f>
        <v/>
      </c>
    </row>
    <row r="510">
      <c r="D510" s="13" t="n">
        <v>508</v>
      </c>
      <c r="E510" s="14" t="n">
        <v>5.073624017155111</v>
      </c>
      <c r="F510" s="15" t="n">
        <v>1.132886652588035</v>
      </c>
      <c r="G510" s="16">
        <f>DEGREES(F510)</f>
        <v/>
      </c>
      <c r="H510" s="15" t="n">
        <v>5.607999942491835</v>
      </c>
      <c r="I510" s="16">
        <f>DEGREES(H510)</f>
        <v/>
      </c>
      <c r="J510" s="17" t="n">
        <v>0.1694288201522495</v>
      </c>
      <c r="K510" s="17" t="n">
        <v>2.189548371034308</v>
      </c>
      <c r="L510" s="18">
        <f>$B$5*$B$3*$B$6*SIN(F510)</f>
        <v/>
      </c>
      <c r="M510" s="18">
        <f>$B$9*K510*(SIN(F510))^2 + $B$8*($B$10+K510*COS(F510))*COS(F510)</f>
        <v/>
      </c>
      <c r="N510" s="18">
        <f>0.5*$B$9*(J510^2 + (K510*SIN(F510))^2) + 0.5*$B$8*($B$10 + K510*COS(F510))^2</f>
        <v/>
      </c>
      <c r="O510" s="18">
        <f>$B$3*$B$6*$B$5*COS(F510)</f>
        <v/>
      </c>
      <c r="P510" s="18">
        <f>N510+O510</f>
        <v/>
      </c>
      <c r="Q510" s="19">
        <f>ABS(P510-$P$3)</f>
        <v/>
      </c>
    </row>
    <row r="511">
      <c r="D511" s="6" t="n">
        <v>509</v>
      </c>
      <c r="E511" s="7" t="n">
        <v>5.083631165117942</v>
      </c>
      <c r="F511" s="8" t="n">
        <v>1.134923346022634</v>
      </c>
      <c r="G511" s="9">
        <f>DEGREES(F511)</f>
        <v/>
      </c>
      <c r="H511" s="8" t="n">
        <v>5.629862964301709</v>
      </c>
      <c r="I511" s="9">
        <f>DEGREES(H511)</f>
        <v/>
      </c>
      <c r="J511" s="10" t="n">
        <v>0.2375123777186077</v>
      </c>
      <c r="K511" s="10" t="n">
        <v>2.179364903861313</v>
      </c>
      <c r="L511" s="11">
        <f>$B$5*$B$3*$B$6*SIN(F511)</f>
        <v/>
      </c>
      <c r="M511" s="11">
        <f>$B$9*K511*(SIN(F511))^2 + $B$8*($B$10+K511*COS(F511))*COS(F511)</f>
        <v/>
      </c>
      <c r="N511" s="11">
        <f>0.5*$B$9*(J511^2 + (K511*SIN(F511))^2) + 0.5*$B$8*($B$10 + K511*COS(F511))^2</f>
        <v/>
      </c>
      <c r="O511" s="11">
        <f>$B$3*$B$6*$B$5*COS(F511)</f>
        <v/>
      </c>
      <c r="P511" s="11">
        <f>N511+O511</f>
        <v/>
      </c>
      <c r="Q511" s="12">
        <f>ABS(P511-$P$3)</f>
        <v/>
      </c>
    </row>
    <row r="512">
      <c r="D512" s="13" t="n">
        <v>510</v>
      </c>
      <c r="E512" s="14" t="n">
        <v>5.093638313080772</v>
      </c>
      <c r="F512" s="15" t="n">
        <v>1.137637807868427</v>
      </c>
      <c r="G512" s="16">
        <f>DEGREES(F512)</f>
        <v/>
      </c>
      <c r="H512" s="15" t="n">
        <v>5.651607091209601</v>
      </c>
      <c r="I512" s="16">
        <f>DEGREES(H512)</f>
        <v/>
      </c>
      <c r="J512" s="17" t="n">
        <v>0.3048502264597512</v>
      </c>
      <c r="K512" s="17" t="n">
        <v>2.165792594632347</v>
      </c>
      <c r="L512" s="18">
        <f>$B$5*$B$3*$B$6*SIN(F512)</f>
        <v/>
      </c>
      <c r="M512" s="18">
        <f>$B$9*K512*(SIN(F512))^2 + $B$8*($B$10+K512*COS(F512))*COS(F512)</f>
        <v/>
      </c>
      <c r="N512" s="18">
        <f>0.5*$B$9*(J512^2 + (K512*SIN(F512))^2) + 0.5*$B$8*($B$10 + K512*COS(F512))^2</f>
        <v/>
      </c>
      <c r="O512" s="18">
        <f>$B$3*$B$6*$B$5*COS(F512)</f>
        <v/>
      </c>
      <c r="P512" s="18">
        <f>N512+O512</f>
        <v/>
      </c>
      <c r="Q512" s="19">
        <f>ABS(P512-$P$3)</f>
        <v/>
      </c>
    </row>
    <row r="513">
      <c r="D513" s="6" t="n">
        <v>511</v>
      </c>
      <c r="E513" s="7" t="n">
        <v>5.103645461043603</v>
      </c>
      <c r="F513" s="8" t="n">
        <v>1.141021515629984</v>
      </c>
      <c r="G513" s="9">
        <f>DEGREES(F513)</f>
        <v/>
      </c>
      <c r="H513" s="8" t="n">
        <v>5.673198614964172</v>
      </c>
      <c r="I513" s="9">
        <f>DEGREES(H513)</f>
        <v/>
      </c>
      <c r="J513" s="10" t="n">
        <v>0.3712309482232624</v>
      </c>
      <c r="K513" s="10" t="n">
        <v>2.148874055824564</v>
      </c>
      <c r="L513" s="11">
        <f>$B$5*$B$3*$B$6*SIN(F513)</f>
        <v/>
      </c>
      <c r="M513" s="11">
        <f>$B$9*K513*(SIN(F513))^2 + $B$8*($B$10+K513*COS(F513))*COS(F513)</f>
        <v/>
      </c>
      <c r="N513" s="11">
        <f>0.5*$B$9*(J513^2 + (K513*SIN(F513))^2) + 0.5*$B$8*($B$10 + K513*COS(F513))^2</f>
        <v/>
      </c>
      <c r="O513" s="11">
        <f>$B$3*$B$6*$B$5*COS(F513)</f>
        <v/>
      </c>
      <c r="P513" s="11">
        <f>N513+O513</f>
        <v/>
      </c>
      <c r="Q513" s="12">
        <f>ABS(P513-$P$3)</f>
        <v/>
      </c>
    </row>
    <row r="514">
      <c r="D514" s="13" t="n">
        <v>512</v>
      </c>
      <c r="E514" s="14" t="n">
        <v>5.113652609006434</v>
      </c>
      <c r="F514" s="15" t="n">
        <v>1.14506384560523</v>
      </c>
      <c r="G514" s="16">
        <f>DEGREES(F514)</f>
        <v/>
      </c>
      <c r="H514" s="15" t="n">
        <v>5.694604306436553</v>
      </c>
      <c r="I514" s="16">
        <f>DEGREES(H514)</f>
        <v/>
      </c>
      <c r="J514" s="17" t="n">
        <v>0.4364461299128675</v>
      </c>
      <c r="K514" s="17" t="n">
        <v>2.128662405948335</v>
      </c>
      <c r="L514" s="18">
        <f>$B$5*$B$3*$B$6*SIN(F514)</f>
        <v/>
      </c>
      <c r="M514" s="18">
        <f>$B$9*K514*(SIN(F514))^2 + $B$8*($B$10+K514*COS(F514))*COS(F514)</f>
        <v/>
      </c>
      <c r="N514" s="18">
        <f>0.5*$B$9*(J514^2 + (K514*SIN(F514))^2) + 0.5*$B$8*($B$10 + K514*COS(F514))^2</f>
        <v/>
      </c>
      <c r="O514" s="18">
        <f>$B$3*$B$6*$B$5*COS(F514)</f>
        <v/>
      </c>
      <c r="P514" s="18">
        <f>N514+O514</f>
        <v/>
      </c>
      <c r="Q514" s="19">
        <f>ABS(P514-$P$3)</f>
        <v/>
      </c>
    </row>
    <row r="515">
      <c r="D515" s="6" t="n">
        <v>513</v>
      </c>
      <c r="E515" s="7" t="n">
        <v>5.123659756969264</v>
      </c>
      <c r="F515" s="8" t="n">
        <v>1.149752106240293</v>
      </c>
      <c r="G515" s="9">
        <f>DEGREES(F515)</f>
        <v/>
      </c>
      <c r="H515" s="8" t="n">
        <v>5.715791519948612</v>
      </c>
      <c r="I515" s="9">
        <f>DEGREES(H515)</f>
        <v/>
      </c>
      <c r="J515" s="10" t="n">
        <v>0.5002910178353465</v>
      </c>
      <c r="K515" s="10" t="n">
        <v>2.105221102773016</v>
      </c>
      <c r="L515" s="11">
        <f>$B$5*$B$3*$B$6*SIN(F515)</f>
        <v/>
      </c>
      <c r="M515" s="11">
        <f>$B$9*K515*(SIN(F515))^2 + $B$8*($B$10+K515*COS(F515))*COS(F515)</f>
        <v/>
      </c>
      <c r="N515" s="11">
        <f>0.5*$B$9*(J515^2 + (K515*SIN(F515))^2) + 0.5*$B$8*($B$10 + K515*COS(F515))^2</f>
        <v/>
      </c>
      <c r="O515" s="11">
        <f>$B$3*$B$6*$B$5*COS(F515)</f>
        <v/>
      </c>
      <c r="P515" s="11">
        <f>N515+O515</f>
        <v/>
      </c>
      <c r="Q515" s="12">
        <f>ABS(P515-$P$3)</f>
        <v/>
      </c>
    </row>
    <row r="516">
      <c r="D516" s="13" t="n">
        <v>514</v>
      </c>
      <c r="E516" s="14" t="n">
        <v>5.133666904932094</v>
      </c>
      <c r="F516" s="15" t="n">
        <v>1.155071577976708</v>
      </c>
      <c r="G516" s="16">
        <f>DEGREES(F516)</f>
        <v/>
      </c>
      <c r="H516" s="15" t="n">
        <v>5.736728295769392</v>
      </c>
      <c r="I516" s="16">
        <f>DEGREES(H516)</f>
        <v/>
      </c>
      <c r="J516" s="17" t="n">
        <v>0.5625651605581202</v>
      </c>
      <c r="K516" s="17" t="n">
        <v>2.078623744090945</v>
      </c>
      <c r="L516" s="18">
        <f>$B$5*$B$3*$B$6*SIN(F516)</f>
        <v/>
      </c>
      <c r="M516" s="18">
        <f>$B$9*K516*(SIN(F516))^2 + $B$8*($B$10+K516*COS(F516))*COS(F516)</f>
        <v/>
      </c>
      <c r="N516" s="18">
        <f>0.5*$B$9*(J516^2 + (K516*SIN(F516))^2) + 0.5*$B$8*($B$10 + K516*COS(F516))^2</f>
        <v/>
      </c>
      <c r="O516" s="18">
        <f>$B$3*$B$6*$B$5*COS(F516)</f>
        <v/>
      </c>
      <c r="P516" s="18">
        <f>N516+O516</f>
        <v/>
      </c>
      <c r="Q516" s="19">
        <f>ABS(P516-$P$3)</f>
        <v/>
      </c>
    </row>
    <row r="517">
      <c r="D517" s="6" t="n">
        <v>515</v>
      </c>
      <c r="E517" s="7" t="n">
        <v>5.143674052894926</v>
      </c>
      <c r="F517" s="8" t="n">
        <v>1.161005559465865</v>
      </c>
      <c r="G517" s="9">
        <f>DEGREES(F517)</f>
        <v/>
      </c>
      <c r="H517" s="8" t="n">
        <v>5.75738346045789</v>
      </c>
      <c r="I517" s="9">
        <f>DEGREES(H517)</f>
        <v/>
      </c>
      <c r="J517" s="10" t="n">
        <v>0.6230730382592162</v>
      </c>
      <c r="K517" s="10" t="n">
        <v>2.04895383664516</v>
      </c>
      <c r="L517" s="11">
        <f>$B$5*$B$3*$B$6*SIN(F517)</f>
        <v/>
      </c>
      <c r="M517" s="11">
        <f>$B$9*K517*(SIN(F517))^2 + $B$8*($B$10+K517*COS(F517))*COS(F517)</f>
        <v/>
      </c>
      <c r="N517" s="11">
        <f>0.5*$B$9*(J517^2 + (K517*SIN(F517))^2) + 0.5*$B$8*($B$10 + K517*COS(F517))^2</f>
        <v/>
      </c>
      <c r="O517" s="11">
        <f>$B$3*$B$6*$B$5*COS(F517)</f>
        <v/>
      </c>
      <c r="P517" s="11">
        <f>N517+O517</f>
        <v/>
      </c>
      <c r="Q517" s="12">
        <f>ABS(P517-$P$3)</f>
        <v/>
      </c>
    </row>
    <row r="518">
      <c r="D518" s="13" t="n">
        <v>516</v>
      </c>
      <c r="E518" s="14" t="n">
        <v>5.153681200857756</v>
      </c>
      <c r="F518" s="15" t="n">
        <v>1.167535420005617</v>
      </c>
      <c r="G518" s="16">
        <f>DEGREES(F518)</f>
        <v/>
      </c>
      <c r="H518" s="15" t="n">
        <v>5.777726724737152</v>
      </c>
      <c r="I518" s="16">
        <f>DEGREES(H518)</f>
        <v/>
      </c>
      <c r="J518" s="17" t="n">
        <v>0.6816246765935786</v>
      </c>
      <c r="K518" s="17" t="n">
        <v>2.016304533946397</v>
      </c>
      <c r="L518" s="18">
        <f>$B$5*$B$3*$B$6*SIN(F518)</f>
        <v/>
      </c>
      <c r="M518" s="18">
        <f>$B$9*K518*(SIN(F518))^2 + $B$8*($B$10+K518*COS(F518))*COS(F518)</f>
        <v/>
      </c>
      <c r="N518" s="18">
        <f>0.5*$B$9*(J518^2 + (K518*SIN(F518))^2) + 0.5*$B$8*($B$10 + K518*COS(F518))^2</f>
        <v/>
      </c>
      <c r="O518" s="18">
        <f>$B$3*$B$6*$B$5*COS(F518)</f>
        <v/>
      </c>
      <c r="P518" s="18">
        <f>N518+O518</f>
        <v/>
      </c>
      <c r="Q518" s="19">
        <f>ABS(P518-$P$3)</f>
        <v/>
      </c>
    </row>
    <row r="519">
      <c r="D519" s="6" t="n">
        <v>517</v>
      </c>
      <c r="E519" s="7" t="n">
        <v>5.163688348820586</v>
      </c>
      <c r="F519" s="8" t="n">
        <v>1.174640658034412</v>
      </c>
      <c r="G519" s="9">
        <f>DEGREES(F519)</f>
        <v/>
      </c>
      <c r="H519" s="8" t="n">
        <v>5.797728778592401</v>
      </c>
      <c r="I519" s="9">
        <f>DEGREES(H519)</f>
        <v/>
      </c>
      <c r="J519" s="10" t="n">
        <v>0.7380362431485432</v>
      </c>
      <c r="K519" s="10" t="n">
        <v>1.980778343802423</v>
      </c>
      <c r="L519" s="11">
        <f>$B$5*$B$3*$B$6*SIN(F519)</f>
        <v/>
      </c>
      <c r="M519" s="11">
        <f>$B$9*K519*(SIN(F519))^2 + $B$8*($B$10+K519*COS(F519))*COS(F519)</f>
        <v/>
      </c>
      <c r="N519" s="11">
        <f>0.5*$B$9*(J519^2 + (K519*SIN(F519))^2) + 0.5*$B$8*($B$10 + K519*COS(F519))^2</f>
        <v/>
      </c>
      <c r="O519" s="11">
        <f>$B$3*$B$6*$B$5*COS(F519)</f>
        <v/>
      </c>
      <c r="P519" s="11">
        <f>N519+O519</f>
        <v/>
      </c>
      <c r="Q519" s="12">
        <f>ABS(P519-$P$3)</f>
        <v/>
      </c>
    </row>
    <row r="520">
      <c r="D520" s="13" t="n">
        <v>518</v>
      </c>
      <c r="E520" s="14" t="n">
        <v>5.173695496783417</v>
      </c>
      <c r="F520" s="15" t="n">
        <v>1.182298965499278</v>
      </c>
      <c r="G520" s="16">
        <f>DEGREES(F520)</f>
        <v/>
      </c>
      <c r="H520" s="15" t="n">
        <v>5.817361383294609</v>
      </c>
      <c r="I520" s="16">
        <f>DEGREES(H520)</f>
        <v/>
      </c>
      <c r="J520" s="17" t="n">
        <v>0.7921306246156254</v>
      </c>
      <c r="K520" s="17" t="n">
        <v>1.942486806478091</v>
      </c>
      <c r="L520" s="18">
        <f>$B$5*$B$3*$B$6*SIN(F520)</f>
        <v/>
      </c>
      <c r="M520" s="18">
        <f>$B$9*K520*(SIN(F520))^2 + $B$8*($B$10+K520*COS(F520))*COS(F520)</f>
        <v/>
      </c>
      <c r="N520" s="18">
        <f>0.5*$B$9*(J520^2 + (K520*SIN(F520))^2) + 0.5*$B$8*($B$10 + K520*COS(F520))^2</f>
        <v/>
      </c>
      <c r="O520" s="18">
        <f>$B$3*$B$6*$B$5*COS(F520)</f>
        <v/>
      </c>
      <c r="P520" s="18">
        <f>N520+O520</f>
        <v/>
      </c>
      <c r="Q520" s="19">
        <f>ABS(P520-$P$3)</f>
        <v/>
      </c>
    </row>
    <row r="521">
      <c r="D521" s="6" t="n">
        <v>519</v>
      </c>
      <c r="E521" s="7" t="n">
        <v>5.183702644746248</v>
      </c>
      <c r="F521" s="8" t="n">
        <v>1.190486297895598</v>
      </c>
      <c r="G521" s="9">
        <f>DEGREES(F521)</f>
        <v/>
      </c>
      <c r="H521" s="8" t="n">
        <v>5.836597460060577</v>
      </c>
      <c r="I521" s="9">
        <f>DEGREES(H521)</f>
        <v/>
      </c>
      <c r="J521" s="10" t="n">
        <v>0.8437379828666237</v>
      </c>
      <c r="K521" s="10" t="n">
        <v>1.901550144496493</v>
      </c>
      <c r="L521" s="11">
        <f>$B$5*$B$3*$B$6*SIN(F521)</f>
        <v/>
      </c>
      <c r="M521" s="11">
        <f>$B$9*K521*(SIN(F521))^2 + $B$8*($B$10+K521*COS(F521))*COS(F521)</f>
        <v/>
      </c>
      <c r="N521" s="11">
        <f>0.5*$B$9*(J521^2 + (K521*SIN(F521))^2) + 0.5*$B$8*($B$10 + K521*COS(F521))^2</f>
        <v/>
      </c>
      <c r="O521" s="11">
        <f>$B$3*$B$6*$B$5*COS(F521)</f>
        <v/>
      </c>
      <c r="P521" s="11">
        <f>N521+O521</f>
        <v/>
      </c>
      <c r="Q521" s="12">
        <f>ABS(P521-$P$3)</f>
        <v/>
      </c>
    </row>
    <row r="522">
      <c r="D522" s="13" t="n">
        <v>520</v>
      </c>
      <c r="E522" s="14" t="n">
        <v>5.193709792709078</v>
      </c>
      <c r="F522" s="15" t="n">
        <v>1.199176949758749</v>
      </c>
      <c r="G522" s="16">
        <f>DEGREES(F522)</f>
        <v/>
      </c>
      <c r="H522" s="15" t="n">
        <v>5.855411175071207</v>
      </c>
      <c r="I522" s="16">
        <f>DEGREES(H522)</f>
        <v/>
      </c>
      <c r="J522" s="17" t="n">
        <v>0.8926962881881335</v>
      </c>
      <c r="K522" s="17" t="n">
        <v>1.858096885180736</v>
      </c>
      <c r="L522" s="18">
        <f>$B$5*$B$3*$B$6*SIN(F522)</f>
        <v/>
      </c>
      <c r="M522" s="18">
        <f>$B$9*K522*(SIN(F522))^2 + $B$8*($B$10+K522*COS(F522))*COS(F522)</f>
        <v/>
      </c>
      <c r="N522" s="18">
        <f>0.5*$B$9*(J522^2 + (K522*SIN(F522))^2) + 0.5*$B$8*($B$10 + K522*COS(F522))^2</f>
        <v/>
      </c>
      <c r="O522" s="18">
        <f>$B$3*$B$6*$B$5*COS(F522)</f>
        <v/>
      </c>
      <c r="P522" s="18">
        <f>N522+O522</f>
        <v/>
      </c>
      <c r="Q522" s="19">
        <f>ABS(P522-$P$3)</f>
        <v/>
      </c>
    </row>
    <row r="523">
      <c r="D523" s="6" t="n">
        <v>521</v>
      </c>
      <c r="E523" s="7" t="n">
        <v>5.203716940671909</v>
      </c>
      <c r="F523" s="8" t="n">
        <v>1.208343635370602</v>
      </c>
      <c r="G523" s="9">
        <f>DEGREES(F523)</f>
        <v/>
      </c>
      <c r="H523" s="8" t="n">
        <v>5.873778020580973</v>
      </c>
      <c r="I523" s="9">
        <f>DEGREES(H523)</f>
        <v/>
      </c>
      <c r="J523" s="10" t="n">
        <v>0.9388518280002268</v>
      </c>
      <c r="K523" s="10" t="n">
        <v>1.812263457121473</v>
      </c>
      <c r="L523" s="11">
        <f>$B$5*$B$3*$B$6*SIN(F523)</f>
        <v/>
      </c>
      <c r="M523" s="11">
        <f>$B$9*K523*(SIN(F523))^2 + $B$8*($B$10+K523*COS(F523))*COS(F523)</f>
        <v/>
      </c>
      <c r="N523" s="11">
        <f>0.5*$B$9*(J523^2 + (K523*SIN(F523))^2) + 0.5*$B$8*($B$10 + K523*COS(F523))^2</f>
        <v/>
      </c>
      <c r="O523" s="11">
        <f>$B$3*$B$6*$B$5*COS(F523)</f>
        <v/>
      </c>
      <c r="P523" s="11">
        <f>N523+O523</f>
        <v/>
      </c>
      <c r="Q523" s="12">
        <f>ABS(P523-$P$3)</f>
        <v/>
      </c>
    </row>
    <row r="524">
      <c r="D524" s="13" t="n">
        <v>522</v>
      </c>
      <c r="E524" s="14" t="n">
        <v>5.21372408863474</v>
      </c>
      <c r="F524" s="15" t="n">
        <v>1.217957574427474</v>
      </c>
      <c r="G524" s="16">
        <f>DEGREES(F524)</f>
        <v/>
      </c>
      <c r="H524" s="15" t="n">
        <v>5.891674891863988</v>
      </c>
      <c r="I524" s="16">
        <f>DEGREES(H524)</f>
        <v/>
      </c>
      <c r="J524" s="17" t="n">
        <v>0.9820596894621381</v>
      </c>
      <c r="K524" s="17" t="n">
        <v>1.764193761837114</v>
      </c>
      <c r="L524" s="18">
        <f>$B$5*$B$3*$B$6*SIN(F524)</f>
        <v/>
      </c>
      <c r="M524" s="18">
        <f>$B$9*K524*(SIN(F524))^2 + $B$8*($B$10+K524*COS(F524))*COS(F524)</f>
        <v/>
      </c>
      <c r="N524" s="18">
        <f>0.5*$B$9*(J524^2 + (K524*SIN(F524))^2) + 0.5*$B$8*($B$10 + K524*COS(F524))^2</f>
        <v/>
      </c>
      <c r="O524" s="18">
        <f>$B$3*$B$6*$B$5*COS(F524)</f>
        <v/>
      </c>
      <c r="P524" s="18">
        <f>N524+O524</f>
        <v/>
      </c>
      <c r="Q524" s="19">
        <f>ABS(P524-$P$3)</f>
        <v/>
      </c>
    </row>
    <row r="525">
      <c r="D525" s="6" t="n">
        <v>523</v>
      </c>
      <c r="E525" s="7" t="n">
        <v>5.22373123659757</v>
      </c>
      <c r="F525" s="8" t="n">
        <v>1.22798858240059</v>
      </c>
      <c r="G525" s="9">
        <f>DEGREES(F525)</f>
        <v/>
      </c>
      <c r="H525" s="8" t="n">
        <v>5.909080159755058</v>
      </c>
      <c r="I525" s="9">
        <f>DEGREES(H525)</f>
        <v/>
      </c>
      <c r="J525" s="10" t="n">
        <v>1.022184214449774</v>
      </c>
      <c r="K525" s="10" t="n">
        <v>1.714038721971535</v>
      </c>
      <c r="L525" s="11">
        <f>$B$5*$B$3*$B$6*SIN(F525)</f>
        <v/>
      </c>
      <c r="M525" s="11">
        <f>$B$9*K525*(SIN(F525))^2 + $B$8*($B$10+K525*COS(F525))*COS(F525)</f>
        <v/>
      </c>
      <c r="N525" s="11">
        <f>0.5*$B$9*(J525^2 + (K525*SIN(F525))^2) + 0.5*$B$8*($B$10 + K525*COS(F525))^2</f>
        <v/>
      </c>
      <c r="O525" s="11">
        <f>$B$3*$B$6*$B$5*COS(F525)</f>
        <v/>
      </c>
      <c r="P525" s="11">
        <f>N525+O525</f>
        <v/>
      </c>
      <c r="Q525" s="12">
        <f>ABS(P525-$P$3)</f>
        <v/>
      </c>
    </row>
    <row r="526">
      <c r="D526" s="13" t="n">
        <v>524</v>
      </c>
      <c r="E526" s="14" t="n">
        <v>5.233738384560401</v>
      </c>
      <c r="F526" s="15" t="n">
        <v>1.23840516530533</v>
      </c>
      <c r="G526" s="16">
        <f>DEGREES(F526)</f>
        <v/>
      </c>
      <c r="H526" s="15" t="n">
        <v>5.925973738557976</v>
      </c>
      <c r="I526" s="16">
        <f>DEGREES(H526)</f>
        <v/>
      </c>
      <c r="J526" s="17" t="n">
        <v>1.059099425476503</v>
      </c>
      <c r="K526" s="17" t="n">
        <v>1.661955807447834</v>
      </c>
      <c r="L526" s="18">
        <f>$B$5*$B$3*$B$6*SIN(F526)</f>
        <v/>
      </c>
      <c r="M526" s="18">
        <f>$B$9*K526*(SIN(F526))^2 + $B$8*($B$10+K526*COS(F526))*COS(F526)</f>
        <v/>
      </c>
      <c r="N526" s="18">
        <f>0.5*$B$9*(J526^2 + (K526*SIN(F526))^2) + 0.5*$B$8*($B$10 + K526*COS(F526))^2</f>
        <v/>
      </c>
      <c r="O526" s="18">
        <f>$B$3*$B$6*$B$5*COS(F526)</f>
        <v/>
      </c>
      <c r="P526" s="18">
        <f>N526+O526</f>
        <v/>
      </c>
      <c r="Q526" s="19">
        <f>ABS(P526-$P$3)</f>
        <v/>
      </c>
    </row>
    <row r="527">
      <c r="D527" s="6" t="n">
        <v>525</v>
      </c>
      <c r="E527" s="7" t="n">
        <v>5.243745532523231</v>
      </c>
      <c r="F527" s="8" t="n">
        <v>1.249174618581722</v>
      </c>
      <c r="G527" s="9">
        <f>DEGREES(F527)</f>
        <v/>
      </c>
      <c r="H527" s="8" t="n">
        <v>5.942337149107824</v>
      </c>
      <c r="I527" s="9">
        <f>DEGREES(H527)</f>
        <v/>
      </c>
      <c r="J527" s="10" t="n">
        <v>1.092689421219988</v>
      </c>
      <c r="K527" s="10" t="n">
        <v>1.608108541065872</v>
      </c>
      <c r="L527" s="11">
        <f>$B$5*$B$3*$B$6*SIN(F527)</f>
        <v/>
      </c>
      <c r="M527" s="11">
        <f>$B$9*K527*(SIN(F527))^2 + $B$8*($B$10+K527*COS(F527))*COS(F527)</f>
        <v/>
      </c>
      <c r="N527" s="11">
        <f>0.5*$B$9*(J527^2 + (K527*SIN(F527))^2) + 0.5*$B$8*($B$10 + K527*COS(F527))^2</f>
        <v/>
      </c>
      <c r="O527" s="11">
        <f>$B$3*$B$6*$B$5*COS(F527)</f>
        <v/>
      </c>
      <c r="P527" s="11">
        <f>N527+O527</f>
        <v/>
      </c>
      <c r="Q527" s="12">
        <f>ABS(P527-$P$3)</f>
        <v/>
      </c>
    </row>
    <row r="528">
      <c r="D528" s="13" t="n">
        <v>526</v>
      </c>
      <c r="E528" s="14" t="n">
        <v>5.253752680486062</v>
      </c>
      <c r="F528" s="15" t="n">
        <v>1.260263129775749</v>
      </c>
      <c r="G528" s="16">
        <f>DEGREES(F528)</f>
        <v/>
      </c>
      <c r="H528" s="15" t="n">
        <v>5.958153576789342</v>
      </c>
      <c r="I528" s="16">
        <f>DEGREES(H528)</f>
        <v/>
      </c>
      <c r="J528" s="17" t="n">
        <v>1.122848740413309</v>
      </c>
      <c r="K528" s="17" t="n">
        <v>1.552665985095738</v>
      </c>
      <c r="L528" s="18">
        <f>$B$5*$B$3*$B$6*SIN(F528)</f>
        <v/>
      </c>
      <c r="M528" s="18">
        <f>$B$9*K528*(SIN(F528))^2 + $B$8*($B$10+K528*COS(F528))*COS(F528)</f>
        <v/>
      </c>
      <c r="N528" s="18">
        <f>0.5*$B$9*(J528^2 + (K528*SIN(F528))^2) + 0.5*$B$8*($B$10 + K528*COS(F528))^2</f>
        <v/>
      </c>
      <c r="O528" s="18">
        <f>$B$3*$B$6*$B$5*COS(F528)</f>
        <v/>
      </c>
      <c r="P528" s="18">
        <f>N528+O528</f>
        <v/>
      </c>
      <c r="Q528" s="19">
        <f>ABS(P528-$P$3)</f>
        <v/>
      </c>
    </row>
    <row r="529">
      <c r="D529" s="6" t="n">
        <v>527</v>
      </c>
      <c r="E529" s="7" t="n">
        <v>5.263759828448892</v>
      </c>
      <c r="F529" s="8" t="n">
        <v>1.271635884699048</v>
      </c>
      <c r="G529" s="9">
        <f>DEGREES(F529)</f>
        <v/>
      </c>
      <c r="H529" s="8" t="n">
        <v>5.973407924329142</v>
      </c>
      <c r="I529" s="9">
        <f>DEGREES(H529)</f>
        <v/>
      </c>
      <c r="J529" s="10" t="n">
        <v>1.149482692957782</v>
      </c>
      <c r="K529" s="10" t="n">
        <v>1.495802210479241</v>
      </c>
      <c r="L529" s="11">
        <f>$B$5*$B$3*$B$6*SIN(F529)</f>
        <v/>
      </c>
      <c r="M529" s="11">
        <f>$B$9*K529*(SIN(F529))^2 + $B$8*($B$10+K529*COS(F529))*COS(F529)</f>
        <v/>
      </c>
      <c r="N529" s="11">
        <f>0.5*$B$9*(J529^2 + (K529*SIN(F529))^2) + 0.5*$B$8*($B$10 + K529*COS(F529))^2</f>
        <v/>
      </c>
      <c r="O529" s="11">
        <f>$B$3*$B$6*$B$5*COS(F529)</f>
        <v/>
      </c>
      <c r="P529" s="11">
        <f>N529+O529</f>
        <v/>
      </c>
      <c r="Q529" s="12">
        <f>ABS(P529-$P$3)</f>
        <v/>
      </c>
    </row>
    <row r="530">
      <c r="D530" s="13" t="n">
        <v>528</v>
      </c>
      <c r="E530" s="14" t="n">
        <v>5.273766976411723</v>
      </c>
      <c r="F530" s="15" t="n">
        <v>1.283257176733741</v>
      </c>
      <c r="G530" s="16">
        <f>DEGREES(F530)</f>
        <v/>
      </c>
      <c r="H530" s="15" t="n">
        <v>5.988086859196066</v>
      </c>
      <c r="I530" s="16">
        <f>DEGREES(H530)</f>
        <v/>
      </c>
      <c r="J530" s="17" t="n">
        <v>1.172507657217967</v>
      </c>
      <c r="K530" s="17" t="n">
        <v>1.437695750305776</v>
      </c>
      <c r="L530" s="18">
        <f>$B$5*$B$3*$B$6*SIN(F530)</f>
        <v/>
      </c>
      <c r="M530" s="18">
        <f>$B$9*K530*(SIN(F530))^2 + $B$8*($B$10+K530*COS(F530))*COS(F530)</f>
        <v/>
      </c>
      <c r="N530" s="18">
        <f>0.5*$B$9*(J530^2 + (K530*SIN(F530))^2) + 0.5*$B$8*($B$10 + K530*COS(F530))^2</f>
        <v/>
      </c>
      <c r="O530" s="18">
        <f>$B$3*$B$6*$B$5*COS(F530)</f>
        <v/>
      </c>
      <c r="P530" s="18">
        <f>N530+O530</f>
        <v/>
      </c>
      <c r="Q530" s="19">
        <f>ABS(P530-$P$3)</f>
        <v/>
      </c>
    </row>
    <row r="531">
      <c r="D531" s="6" t="n">
        <v>529</v>
      </c>
      <c r="E531" s="7" t="n">
        <v>5.283774124374554</v>
      </c>
      <c r="F531" s="8" t="n">
        <v>1.295090518939171</v>
      </c>
      <c r="G531" s="9">
        <f>DEGREES(F531)</f>
        <v/>
      </c>
      <c r="H531" s="8" t="n">
        <v>6.002178855460832</v>
      </c>
      <c r="I531" s="9">
        <f>DEGREES(H531)</f>
        <v/>
      </c>
      <c r="J531" s="10" t="n">
        <v>1.191851342565414</v>
      </c>
      <c r="K531" s="10" t="n">
        <v>1.37852903927863</v>
      </c>
      <c r="L531" s="11">
        <f>$B$5*$B$3*$B$6*SIN(F531)</f>
        <v/>
      </c>
      <c r="M531" s="11">
        <f>$B$9*K531*(SIN(F531))^2 + $B$8*($B$10+K531*COS(F531))*COS(F531)</f>
        <v/>
      </c>
      <c r="N531" s="11">
        <f>0.5*$B$9*(J531^2 + (K531*SIN(F531))^2) + 0.5*$B$8*($B$10 + K531*COS(F531))^2</f>
        <v/>
      </c>
      <c r="O531" s="11">
        <f>$B$3*$B$6*$B$5*COS(F531)</f>
        <v/>
      </c>
      <c r="P531" s="11">
        <f>N531+O531</f>
        <v/>
      </c>
      <c r="Q531" s="12">
        <f>ABS(P531-$P$3)</f>
        <v/>
      </c>
    </row>
    <row r="532">
      <c r="D532" s="13" t="n">
        <v>530</v>
      </c>
      <c r="E532" s="14" t="n">
        <v>5.293781272337384</v>
      </c>
      <c r="F532" s="15" t="n">
        <v>1.307098758608607</v>
      </c>
      <c r="G532" s="16">
        <f>DEGREES(F532)</f>
        <v/>
      </c>
      <c r="H532" s="15" t="n">
        <v>6.015674229983572</v>
      </c>
      <c r="I532" s="16">
        <f>DEGREES(H532)</f>
        <v/>
      </c>
      <c r="J532" s="17" t="n">
        <v>1.207453016346889</v>
      </c>
      <c r="K532" s="17" t="n">
        <v>1.318487840931446</v>
      </c>
      <c r="L532" s="18">
        <f>$B$5*$B$3*$B$6*SIN(F532)</f>
        <v/>
      </c>
      <c r="M532" s="18">
        <f>$B$9*K532*(SIN(F532))^2 + $B$8*($B$10+K532*COS(F532))*COS(F532)</f>
        <v/>
      </c>
      <c r="N532" s="18">
        <f>0.5*$B$9*(J532^2 + (K532*SIN(F532))^2) + 0.5*$B$8*($B$10 + K532*COS(F532))^2</f>
        <v/>
      </c>
      <c r="O532" s="18">
        <f>$B$3*$B$6*$B$5*COS(F532)</f>
        <v/>
      </c>
      <c r="P532" s="18">
        <f>N532+O532</f>
        <v/>
      </c>
      <c r="Q532" s="19">
        <f>ABS(P532-$P$3)</f>
        <v/>
      </c>
    </row>
    <row r="533">
      <c r="D533" s="6" t="n">
        <v>531</v>
      </c>
      <c r="E533" s="7" t="n">
        <v>5.303788420300215</v>
      </c>
      <c r="F533" s="8" t="n">
        <v>1.319244193916224</v>
      </c>
      <c r="G533" s="9">
        <f>DEGREES(F533)</f>
        <v/>
      </c>
      <c r="H533" s="8" t="n">
        <v>6.028565172815637</v>
      </c>
      <c r="I533" s="9">
        <f>DEGREES(H533)</f>
        <v/>
      </c>
      <c r="J533" s="10" t="n">
        <v>1.219263694564426</v>
      </c>
      <c r="K533" s="10" t="n">
        <v>1.257760664393365</v>
      </c>
      <c r="L533" s="11">
        <f>$B$5*$B$3*$B$6*SIN(F533)</f>
        <v/>
      </c>
      <c r="M533" s="11">
        <f>$B$9*K533*(SIN(F533))^2 + $B$8*($B$10+K533*COS(F533))*COS(F533)</f>
        <v/>
      </c>
      <c r="N533" s="11">
        <f>0.5*$B$9*(J533^2 + (K533*SIN(F533))^2) + 0.5*$B$8*($B$10 + K533*COS(F533))^2</f>
        <v/>
      </c>
      <c r="O533" s="11">
        <f>$B$3*$B$6*$B$5*COS(F533)</f>
        <v/>
      </c>
      <c r="P533" s="11">
        <f>N533+O533</f>
        <v/>
      </c>
      <c r="Q533" s="12">
        <f>ABS(P533-$P$3)</f>
        <v/>
      </c>
    </row>
    <row r="534">
      <c r="D534" s="13" t="n">
        <v>532</v>
      </c>
      <c r="E534" s="14" t="n">
        <v>5.313795568263045</v>
      </c>
      <c r="F534" s="15" t="n">
        <v>1.331488692288122</v>
      </c>
      <c r="G534" s="16">
        <f>DEGREES(F534)</f>
        <v/>
      </c>
      <c r="H534" s="15" t="n">
        <v>6.040845771720183</v>
      </c>
      <c r="I534" s="16">
        <f>DEGREES(H534)</f>
        <v/>
      </c>
      <c r="J534" s="17" t="n">
        <v>1.227246295668578</v>
      </c>
      <c r="K534" s="17" t="n">
        <v>1.196538172533875</v>
      </c>
      <c r="L534" s="18">
        <f>$B$5*$B$3*$B$6*SIN(F534)</f>
        <v/>
      </c>
      <c r="M534" s="18">
        <f>$B$9*K534*(SIN(F534))^2 + $B$8*($B$10+K534*COS(F534))*COS(F534)</f>
        <v/>
      </c>
      <c r="N534" s="18">
        <f>0.5*$B$9*(J534^2 + (K534*SIN(F534))^2) + 0.5*$B$8*($B$10 + K534*COS(F534))^2</f>
        <v/>
      </c>
      <c r="O534" s="18">
        <f>$B$3*$B$6*$B$5*COS(F534)</f>
        <v/>
      </c>
      <c r="P534" s="18">
        <f>N534+O534</f>
        <v/>
      </c>
      <c r="Q534" s="19">
        <f>ABS(P534-$P$3)</f>
        <v/>
      </c>
    </row>
    <row r="535">
      <c r="D535" s="6" t="n">
        <v>533</v>
      </c>
      <c r="E535" s="7" t="n">
        <v>5.323802716225876</v>
      </c>
      <c r="F535" s="8" t="n">
        <v>1.343793810125766</v>
      </c>
      <c r="G535" s="9">
        <f>DEGREES(F535)</f>
        <v/>
      </c>
      <c r="H535" s="8" t="n">
        <v>6.052512030734623</v>
      </c>
      <c r="I535" s="9">
        <f>DEGREES(H535)</f>
        <v/>
      </c>
      <c r="J535" s="10" t="n">
        <v>1.231375756981987</v>
      </c>
      <c r="K535" s="10" t="n">
        <v>1.135012583345654</v>
      </c>
      <c r="L535" s="11">
        <f>$B$5*$B$3*$B$6*SIN(F535)</f>
        <v/>
      </c>
      <c r="M535" s="11">
        <f>$B$9*K535*(SIN(F535))^2 + $B$8*($B$10+K535*COS(F535))*COS(F535)</f>
        <v/>
      </c>
      <c r="N535" s="11">
        <f>0.5*$B$9*(J535^2 + (K535*SIN(F535))^2) + 0.5*$B$8*($B$10 + K535*COS(F535))^2</f>
        <v/>
      </c>
      <c r="O535" s="11">
        <f>$B$3*$B$6*$B$5*COS(F535)</f>
        <v/>
      </c>
      <c r="P535" s="11">
        <f>N535+O535</f>
        <v/>
      </c>
      <c r="Q535" s="12">
        <f>ABS(P535-$P$3)</f>
        <v/>
      </c>
    </row>
    <row r="536">
      <c r="D536" s="13" t="n">
        <v>534</v>
      </c>
      <c r="E536" s="14" t="n">
        <v>5.333809864188707</v>
      </c>
      <c r="F536" s="15" t="n">
        <v>1.356120913505929</v>
      </c>
      <c r="G536" s="16">
        <f>DEGREES(F536)</f>
        <v/>
      </c>
      <c r="H536" s="15" t="n">
        <v>6.063561882716593</v>
      </c>
      <c r="I536" s="16">
        <f>DEGREES(H536)</f>
        <v/>
      </c>
      <c r="J536" s="17" t="n">
        <v>1.231639113387743</v>
      </c>
      <c r="K536" s="17" t="n">
        <v>1.073377066444837</v>
      </c>
      <c r="L536" s="18">
        <f>$B$5*$B$3*$B$6*SIN(F536)</f>
        <v/>
      </c>
      <c r="M536" s="18">
        <f>$B$9*K536*(SIN(F536))^2 + $B$8*($B$10+K536*COS(F536))*COS(F536)</f>
        <v/>
      </c>
      <c r="N536" s="18">
        <f>0.5*$B$9*(J536^2 + (K536*SIN(F536))^2) + 0.5*$B$8*($B$10 + K536*COS(F536))^2</f>
        <v/>
      </c>
      <c r="O536" s="18">
        <f>$B$3*$B$6*$B$5*COS(F536)</f>
        <v/>
      </c>
      <c r="P536" s="18">
        <f>N536+O536</f>
        <v/>
      </c>
      <c r="Q536" s="19">
        <f>ABS(P536-$P$3)</f>
        <v/>
      </c>
    </row>
    <row r="537">
      <c r="D537" s="6" t="n">
        <v>535</v>
      </c>
      <c r="E537" s="7" t="n">
        <v>5.343817012151537</v>
      </c>
      <c r="F537" s="8" t="n">
        <v>1.368431299478185</v>
      </c>
      <c r="G537" s="9">
        <f>DEGREES(F537)</f>
        <v/>
      </c>
      <c r="H537" s="8" t="n">
        <v>6.073995195834083</v>
      </c>
      <c r="I537" s="9">
        <f>DEGREES(H537)</f>
        <v/>
      </c>
      <c r="J537" s="10" t="n">
        <v>1.228035538035482</v>
      </c>
      <c r="K537" s="10" t="n">
        <v>1.011825136583557</v>
      </c>
      <c r="L537" s="11">
        <f>$B$5*$B$3*$B$6*SIN(F537)</f>
        <v/>
      </c>
      <c r="M537" s="11">
        <f>$B$9*K537*(SIN(F537))^2 + $B$8*($B$10+K537*COS(F537))*COS(F537)</f>
        <v/>
      </c>
      <c r="N537" s="11">
        <f>0.5*$B$9*(J537^2 + (K537*SIN(F537))^2) + 0.5*$B$8*($B$10 + K537*COS(F537))^2</f>
        <v/>
      </c>
      <c r="O537" s="11">
        <f>$B$3*$B$6*$B$5*COS(F537)</f>
        <v/>
      </c>
      <c r="P537" s="11">
        <f>N537+O537</f>
        <v/>
      </c>
      <c r="Q537" s="12">
        <f>ABS(P537-$P$3)</f>
        <v/>
      </c>
    </row>
    <row r="538">
      <c r="D538" s="13" t="n">
        <v>536</v>
      </c>
      <c r="E538" s="14" t="n">
        <v>5.353824160114367</v>
      </c>
      <c r="F538" s="15" t="n">
        <v>1.38068631757914</v>
      </c>
      <c r="G538" s="16">
        <f>DEGREES(F538)</f>
        <v/>
      </c>
      <c r="H538" s="15" t="n">
        <v>6.083813773979347</v>
      </c>
      <c r="I538" s="16">
        <f>DEGREES(H538)</f>
        <v/>
      </c>
      <c r="J538" s="17" t="n">
        <v>1.220576344937417</v>
      </c>
      <c r="K538" s="17" t="n">
        <v>0.9505500460787831</v>
      </c>
      <c r="L538" s="18">
        <f>$B$5*$B$3*$B$6*SIN(F538)</f>
        <v/>
      </c>
      <c r="M538" s="18">
        <f>$B$9*K538*(SIN(F538))^2 + $B$8*($B$10+K538*COS(F538))*COS(F538)</f>
        <v/>
      </c>
      <c r="N538" s="18">
        <f>0.5*$B$9*(J538^2 + (K538*SIN(F538))^2) + 0.5*$B$8*($B$10 + K538*COS(F538))^2</f>
        <v/>
      </c>
      <c r="O538" s="18">
        <f>$B$3*$B$6*$B$5*COS(F538)</f>
        <v/>
      </c>
      <c r="P538" s="18">
        <f>N538+O538</f>
        <v/>
      </c>
      <c r="Q538" s="19">
        <f>ABS(P538-$P$3)</f>
        <v/>
      </c>
    </row>
    <row r="539">
      <c r="D539" s="6" t="n">
        <v>537</v>
      </c>
      <c r="E539" s="7" t="n">
        <v>5.363831308077199</v>
      </c>
      <c r="F539" s="8" t="n">
        <v>1.392847491181854</v>
      </c>
      <c r="G539" s="9">
        <f>DEGREES(F539)</f>
        <v/>
      </c>
      <c r="H539" s="8" t="n">
        <v>6.093021351105287</v>
      </c>
      <c r="I539" s="9">
        <f>DEGREES(H539)</f>
        <v/>
      </c>
      <c r="J539" s="10" t="n">
        <v>1.209284953446154</v>
      </c>
      <c r="K539" s="10" t="n">
        <v>0.8897441780652132</v>
      </c>
      <c r="L539" s="11">
        <f>$B$5*$B$3*$B$6*SIN(F539)</f>
        <v/>
      </c>
      <c r="M539" s="11">
        <f>$B$9*K539*(SIN(F539))^2 + $B$8*($B$10+K539*COS(F539))*COS(F539)</f>
        <v/>
      </c>
      <c r="N539" s="11">
        <f>0.5*$B$9*(J539^2 + (K539*SIN(F539))^2) + 0.5*$B$8*($B$10 + K539*COS(F539))^2</f>
        <v/>
      </c>
      <c r="O539" s="11">
        <f>$B$3*$B$6*$B$5*COS(F539)</f>
        <v/>
      </c>
      <c r="P539" s="11">
        <f>N539+O539</f>
        <v/>
      </c>
      <c r="Q539" s="12">
        <f>ABS(P539-$P$3)</f>
        <v/>
      </c>
    </row>
    <row r="540">
      <c r="D540" s="13" t="n">
        <v>538</v>
      </c>
      <c r="E540" s="14" t="n">
        <v>5.373838456040029</v>
      </c>
      <c r="F540" s="15" t="n">
        <v>1.404876638299485</v>
      </c>
      <c r="G540" s="16">
        <f>DEGREES(F540)</f>
        <v/>
      </c>
      <c r="H540" s="15" t="n">
        <v>6.101623579502102</v>
      </c>
      <c r="I540" s="16">
        <f>DEGREES(H540)</f>
        <v/>
      </c>
      <c r="J540" s="17" t="n">
        <v>1.194196814725819</v>
      </c>
      <c r="K540" s="17" t="n">
        <v>0.8295984424770586</v>
      </c>
      <c r="L540" s="18">
        <f>$B$5*$B$3*$B$6*SIN(F540)</f>
        <v/>
      </c>
      <c r="M540" s="18">
        <f>$B$9*K540*(SIN(F540))^2 + $B$8*($B$10+K540*COS(F540))*COS(F540)</f>
        <v/>
      </c>
      <c r="N540" s="18">
        <f>0.5*$B$9*(J540^2 + (K540*SIN(F540))^2) + 0.5*$B$8*($B$10 + K540*COS(F540))^2</f>
        <v/>
      </c>
      <c r="O540" s="18">
        <f>$B$3*$B$6*$B$5*COS(F540)</f>
        <v/>
      </c>
      <c r="P540" s="18">
        <f>N540+O540</f>
        <v/>
      </c>
      <c r="Q540" s="19">
        <f>ABS(P540-$P$3)</f>
        <v/>
      </c>
    </row>
    <row r="541">
      <c r="D541" s="6" t="n">
        <v>539</v>
      </c>
      <c r="E541" s="7" t="n">
        <v>5.383845604002859</v>
      </c>
      <c r="F541" s="8" t="n">
        <v>1.416735991463865</v>
      </c>
      <c r="G541" s="9">
        <f>DEGREES(F541)</f>
        <v/>
      </c>
      <c r="H541" s="8" t="n">
        <v>6.109628012051001</v>
      </c>
      <c r="I541" s="9">
        <f>DEGREES(H541)</f>
        <v/>
      </c>
      <c r="J541" s="10" t="n">
        <v>1.175359300447343</v>
      </c>
      <c r="K541" s="10" t="n">
        <v>0.7703016766551586</v>
      </c>
      <c r="L541" s="11">
        <f>$B$5*$B$3*$B$6*SIN(F541)</f>
        <v/>
      </c>
      <c r="M541" s="11">
        <f>$B$9*K541*(SIN(F541))^2 + $B$8*($B$10+K541*COS(F541))*COS(F541)</f>
        <v/>
      </c>
      <c r="N541" s="11">
        <f>0.5*$B$9*(J541^2 + (K541*SIN(F541))^2) + 0.5*$B$8*($B$10 + K541*COS(F541))^2</f>
        <v/>
      </c>
      <c r="O541" s="11">
        <f>$B$3*$B$6*$B$5*COS(F541)</f>
        <v/>
      </c>
      <c r="P541" s="11">
        <f>N541+O541</f>
        <v/>
      </c>
      <c r="Q541" s="12">
        <f>ABS(P541-$P$3)</f>
        <v/>
      </c>
    </row>
    <row r="542">
      <c r="D542" s="13" t="n">
        <v>540</v>
      </c>
      <c r="E542" s="14" t="n">
        <v>5.39385275196569</v>
      </c>
      <c r="F542" s="15" t="n">
        <v>1.428388316302619</v>
      </c>
      <c r="G542" s="16">
        <f>DEGREES(F542)</f>
        <v/>
      </c>
      <c r="H542" s="15" t="n">
        <v>6.117044078510695</v>
      </c>
      <c r="I542" s="16">
        <f>DEGREES(H542)</f>
        <v/>
      </c>
      <c r="J542" s="17" t="n">
        <v>1.152831554057383</v>
      </c>
      <c r="K542" s="17" t="n">
        <v>0.7120400524613864</v>
      </c>
      <c r="L542" s="18">
        <f>$B$5*$B$3*$B$6*SIN(F542)</f>
        <v/>
      </c>
      <c r="M542" s="18">
        <f>$B$9*K542*(SIN(F542))^2 + $B$8*($B$10+K542*COS(F542))*COS(F542)</f>
        <v/>
      </c>
      <c r="N542" s="18">
        <f>0.5*$B$9*(J542^2 + (K542*SIN(F542))^2) + 0.5*$B$8*($B$10 + K542*COS(F542))^2</f>
        <v/>
      </c>
      <c r="O542" s="18">
        <f>$B$3*$B$6*$B$5*COS(F542)</f>
        <v/>
      </c>
      <c r="P542" s="18">
        <f>N542+O542</f>
        <v/>
      </c>
      <c r="Q542" s="19">
        <f>ABS(P542-$P$3)</f>
        <v/>
      </c>
    </row>
    <row r="543">
      <c r="D543" s="6" t="n">
        <v>541</v>
      </c>
      <c r="E543" s="7" t="n">
        <v>5.403859899928521</v>
      </c>
      <c r="F543" s="8" t="n">
        <v>1.439797028442545</v>
      </c>
      <c r="G543" s="9">
        <f>DEGREES(F543)</f>
        <v/>
      </c>
      <c r="H543" s="8" t="n">
        <v>6.123883055911143</v>
      </c>
      <c r="I543" s="9">
        <f>DEGREES(H543)</f>
        <v/>
      </c>
      <c r="J543" s="10" t="n">
        <v>1.126684305087835</v>
      </c>
      <c r="K543" s="10" t="n">
        <v>0.6549964917617606</v>
      </c>
      <c r="L543" s="11">
        <f>$B$5*$B$3*$B$6*SIN(F543)</f>
        <v/>
      </c>
      <c r="M543" s="11">
        <f>$B$9*K543*(SIN(F543))^2 + $B$8*($B$10+K543*COS(F543))*COS(F543)</f>
        <v/>
      </c>
      <c r="N543" s="11">
        <f>0.5*$B$9*(J543^2 + (K543*SIN(F543))^2) + 0.5*$B$8*($B$10 + K543*COS(F543))^2</f>
        <v/>
      </c>
      <c r="O543" s="11">
        <f>$B$3*$B$6*$B$5*COS(F543)</f>
        <v/>
      </c>
      <c r="P543" s="11">
        <f>N543+O543</f>
        <v/>
      </c>
      <c r="Q543" s="12">
        <f>ABS(P543-$P$3)</f>
        <v/>
      </c>
    </row>
    <row r="544">
      <c r="D544" s="13" t="n">
        <v>542</v>
      </c>
      <c r="E544" s="14" t="n">
        <v>5.413867047891351</v>
      </c>
      <c r="F544" s="15" t="n">
        <v>1.450926308372217</v>
      </c>
      <c r="G544" s="16">
        <f>DEGREES(F544)</f>
        <v/>
      </c>
      <c r="H544" s="15" t="n">
        <v>6.130158033147473</v>
      </c>
      <c r="I544" s="16">
        <f>DEGREES(H544)</f>
        <v/>
      </c>
      <c r="J544" s="17" t="n">
        <v>1.096999647088936</v>
      </c>
      <c r="K544" s="17" t="n">
        <v>0.5993500921133997</v>
      </c>
      <c r="L544" s="18">
        <f>$B$5*$B$3*$B$6*SIN(F544)</f>
        <v/>
      </c>
      <c r="M544" s="18">
        <f>$B$9*K544*(SIN(F544))^2 + $B$8*($B$10+K544*COS(F544))*COS(F544)</f>
        <v/>
      </c>
      <c r="N544" s="18">
        <f>0.5*$B$9*(J544^2 + (K544*SIN(F544))^2) + 0.5*$B$8*($B$10 + K544*COS(F544))^2</f>
        <v/>
      </c>
      <c r="O544" s="18">
        <f>$B$3*$B$6*$B$5*COS(F544)</f>
        <v/>
      </c>
      <c r="P544" s="18">
        <f>N544+O544</f>
        <v/>
      </c>
      <c r="Q544" s="19">
        <f>ABS(P544-$P$3)</f>
        <v/>
      </c>
    </row>
    <row r="545">
      <c r="D545" s="6" t="n">
        <v>543</v>
      </c>
      <c r="E545" s="7" t="n">
        <v>5.423874195854182</v>
      </c>
      <c r="F545" s="8" t="n">
        <v>1.461741213903187</v>
      </c>
      <c r="G545" s="9">
        <f>DEGREES(F545)</f>
        <v/>
      </c>
      <c r="H545" s="8" t="n">
        <v>6.13588386988526</v>
      </c>
      <c r="I545" s="9">
        <f>DEGREES(H545)</f>
        <v/>
      </c>
      <c r="J545" s="10" t="n">
        <v>1.063870779883169</v>
      </c>
      <c r="K545" s="10" t="n">
        <v>0.5452755644585497</v>
      </c>
      <c r="L545" s="11">
        <f>$B$5*$B$3*$B$6*SIN(F545)</f>
        <v/>
      </c>
      <c r="M545" s="11">
        <f>$B$9*K545*(SIN(F545))^2 + $B$8*($B$10+K545*COS(F545))*COS(F545)</f>
        <v/>
      </c>
      <c r="N545" s="11">
        <f>0.5*$B$9*(J545^2 + (K545*SIN(F545))^2) + 0.5*$B$8*($B$10 + K545*COS(F545))^2</f>
        <v/>
      </c>
      <c r="O545" s="11">
        <f>$B$3*$B$6*$B$5*COS(F545)</f>
        <v/>
      </c>
      <c r="P545" s="11">
        <f>N545+O545</f>
        <v/>
      </c>
      <c r="Q545" s="12">
        <f>ABS(P545-$P$3)</f>
        <v/>
      </c>
    </row>
    <row r="546">
      <c r="D546" s="13" t="n">
        <v>544</v>
      </c>
      <c r="E546" s="14" t="n">
        <v>5.433881343817013</v>
      </c>
      <c r="F546" s="15" t="n">
        <v>1.472207789876669</v>
      </c>
      <c r="G546" s="16">
        <f>DEGREES(F546)</f>
        <v/>
      </c>
      <c r="H546" s="15" t="n">
        <v>6.141077149906185</v>
      </c>
      <c r="I546" s="16">
        <f>DEGREES(H546)</f>
        <v/>
      </c>
      <c r="J546" s="17" t="n">
        <v>1.02740171694926</v>
      </c>
      <c r="K546" s="17" t="n">
        <v>0.4929426845911359</v>
      </c>
      <c r="L546" s="18">
        <f>$B$5*$B$3*$B$6*SIN(F546)</f>
        <v/>
      </c>
      <c r="M546" s="18">
        <f>$B$9*K546*(SIN(F546))^2 + $B$8*($B$10+K546*COS(F546))*COS(F546)</f>
        <v/>
      </c>
      <c r="N546" s="18">
        <f>0.5*$B$9*(J546^2 + (K546*SIN(F546))^2) + 0.5*$B$8*($B$10 + K546*COS(F546))^2</f>
        <v/>
      </c>
      <c r="O546" s="18">
        <f>$B$3*$B$6*$B$5*COS(F546)</f>
        <v/>
      </c>
      <c r="P546" s="18">
        <f>N546+O546</f>
        <v/>
      </c>
      <c r="Q546" s="19">
        <f>ABS(P546-$P$3)</f>
        <v/>
      </c>
    </row>
    <row r="547">
      <c r="D547" s="6" t="n">
        <v>545</v>
      </c>
      <c r="E547" s="7" t="n">
        <v>5.443888491779843</v>
      </c>
      <c r="F547" s="8" t="n">
        <v>1.482293174771309</v>
      </c>
      <c r="G547" s="9">
        <f>DEGREES(F547)</f>
        <v/>
      </c>
      <c r="H547" s="8" t="n">
        <v>6.145756129040555</v>
      </c>
      <c r="I547" s="9">
        <f>DEGREES(H547)</f>
        <v/>
      </c>
      <c r="J547" s="10" t="n">
        <v>0.9877069588548678</v>
      </c>
      <c r="K547" s="10" t="n">
        <v>0.4425157601179369</v>
      </c>
      <c r="L547" s="11">
        <f>$B$5*$B$3*$B$6*SIN(F547)</f>
        <v/>
      </c>
      <c r="M547" s="11">
        <f>$B$9*K547*(SIN(F547))^2 + $B$8*($B$10+K547*COS(F547))*COS(F547)</f>
        <v/>
      </c>
      <c r="N547" s="11">
        <f>0.5*$B$9*(J547^2 + (K547*SIN(F547))^2) + 0.5*$B$8*($B$10 + K547*COS(F547))^2</f>
        <v/>
      </c>
      <c r="O547" s="11">
        <f>$B$3*$B$6*$B$5*COS(F547)</f>
        <v/>
      </c>
      <c r="P547" s="11">
        <f>N547+O547</f>
        <v/>
      </c>
      <c r="Q547" s="12">
        <f>ABS(P547-$P$3)</f>
        <v/>
      </c>
    </row>
    <row r="548">
      <c r="D548" s="13" t="n">
        <v>546</v>
      </c>
      <c r="E548" s="14" t="n">
        <v>5.453895639742674</v>
      </c>
      <c r="F548" s="15" t="n">
        <v>1.491965703877275</v>
      </c>
      <c r="G548" s="16">
        <f>DEGREES(F548)</f>
        <v/>
      </c>
      <c r="H548" s="15" t="n">
        <v>6.14994067785014</v>
      </c>
      <c r="I548" s="16">
        <f>DEGREES(H548)</f>
        <v/>
      </c>
      <c r="J548" s="17" t="n">
        <v>0.9449111337634195</v>
      </c>
      <c r="K548" s="17" t="n">
        <v>0.3941531145881068</v>
      </c>
      <c r="L548" s="18">
        <f>$B$5*$B$3*$B$6*SIN(F548)</f>
        <v/>
      </c>
      <c r="M548" s="18">
        <f>$B$9*K548*(SIN(F548))^2 + $B$8*($B$10+K548*COS(F548))*COS(F548)</f>
        <v/>
      </c>
      <c r="N548" s="18">
        <f>0.5*$B$9*(J548^2 + (K548*SIN(F548))^2) + 0.5*$B$8*($B$10 + K548*COS(F548))^2</f>
        <v/>
      </c>
      <c r="O548" s="18">
        <f>$B$3*$B$6*$B$5*COS(F548)</f>
        <v/>
      </c>
      <c r="P548" s="18">
        <f>N548+O548</f>
        <v/>
      </c>
      <c r="Q548" s="19">
        <f>ABS(P548-$P$3)</f>
        <v/>
      </c>
    </row>
    <row r="549">
      <c r="D549" s="6" t="n">
        <v>547</v>
      </c>
      <c r="E549" s="7" t="n">
        <v>5.463902787705504</v>
      </c>
      <c r="F549" s="8" t="n">
        <v>1.501195008712783</v>
      </c>
      <c r="G549" s="9">
        <f>DEGREES(F549)</f>
        <v/>
      </c>
      <c r="H549" s="8" t="n">
        <v>6.153652219241308</v>
      </c>
      <c r="I549" s="9">
        <f>DEGREES(H549)</f>
        <v/>
      </c>
      <c r="J549" s="10" t="n">
        <v>0.8991486061436605</v>
      </c>
      <c r="K549" s="10" t="n">
        <v>0.3480065904105689</v>
      </c>
      <c r="L549" s="11">
        <f>$B$5*$B$3*$B$6*SIN(F549)</f>
        <v/>
      </c>
      <c r="M549" s="11">
        <f>$B$9*K549*(SIN(F549))^2 + $B$8*($B$10+K549*COS(F549))*COS(F549)</f>
        <v/>
      </c>
      <c r="N549" s="11">
        <f>0.5*$B$9*(J549^2 + (K549*SIN(F549))^2) + 0.5*$B$8*($B$10 + K549*COS(F549))^2</f>
        <v/>
      </c>
      <c r="O549" s="11">
        <f>$B$3*$B$6*$B$5*COS(F549)</f>
        <v/>
      </c>
      <c r="P549" s="11">
        <f>N549+O549</f>
        <v/>
      </c>
      <c r="Q549" s="12">
        <f>ABS(P549-$P$3)</f>
        <v/>
      </c>
    </row>
    <row r="550">
      <c r="D550" s="13" t="n">
        <v>548</v>
      </c>
      <c r="E550" s="14" t="n">
        <v>5.473909935668335</v>
      </c>
      <c r="F550" s="15" t="n">
        <v>1.509952112370891</v>
      </c>
      <c r="G550" s="16">
        <f>DEGREES(F550)</f>
        <v/>
      </c>
      <c r="H550" s="15" t="n">
        <v>6.156913661204319</v>
      </c>
      <c r="I550" s="16">
        <f>DEGREES(H550)</f>
        <v/>
      </c>
      <c r="J550" s="17" t="n">
        <v>0.8505630549105099</v>
      </c>
      <c r="K550" s="17" t="n">
        <v>0.3042210721200282</v>
      </c>
      <c r="L550" s="18">
        <f>$B$5*$B$3*$B$6*SIN(F550)</f>
        <v/>
      </c>
      <c r="M550" s="18">
        <f>$B$9*K550*(SIN(F550))^2 + $B$8*($B$10+K550*COS(F550))*COS(F550)</f>
        <v/>
      </c>
      <c r="N550" s="18">
        <f>0.5*$B$9*(J550^2 + (K550*SIN(F550))^2) + 0.5*$B$8*($B$10 + K550*COS(F550))^2</f>
        <v/>
      </c>
      <c r="O550" s="18">
        <f>$B$3*$B$6*$B$5*COS(F550)</f>
        <v/>
      </c>
      <c r="P550" s="18">
        <f>N550+O550</f>
        <v/>
      </c>
      <c r="Q550" s="19">
        <f>ABS(P550-$P$3)</f>
        <v/>
      </c>
    </row>
    <row r="551">
      <c r="D551" s="6" t="n">
        <v>549</v>
      </c>
      <c r="E551" s="7" t="n">
        <v>5.483917083631166</v>
      </c>
      <c r="F551" s="8" t="n">
        <v>1.518209520497228</v>
      </c>
      <c r="G551" s="9">
        <f>DEGREES(F551)</f>
        <v/>
      </c>
      <c r="H551" s="8" t="n">
        <v>6.159749324889958</v>
      </c>
      <c r="I551" s="9">
        <f>DEGREES(H551)</f>
        <v/>
      </c>
      <c r="J551" s="10" t="n">
        <v>0.7993070223216718</v>
      </c>
      <c r="K551" s="10" t="n">
        <v>0.2629340314883445</v>
      </c>
      <c r="L551" s="11">
        <f>$B$5*$B$3*$B$6*SIN(F551)</f>
        <v/>
      </c>
      <c r="M551" s="11">
        <f>$B$9*K551*(SIN(F551))^2 + $B$8*($B$10+K551*COS(F551))*COS(F551)</f>
        <v/>
      </c>
      <c r="N551" s="11">
        <f>0.5*$B$9*(J551^2 + (K551*SIN(F551))^2) + 0.5*$B$8*($B$10 + K551*COS(F551))^2</f>
        <v/>
      </c>
      <c r="O551" s="11">
        <f>$B$3*$B$6*$B$5*COS(F551)</f>
        <v/>
      </c>
      <c r="P551" s="11">
        <f>N551+O551</f>
        <v/>
      </c>
      <c r="Q551" s="12">
        <f>ABS(P551-$P$3)</f>
        <v/>
      </c>
    </row>
    <row r="552">
      <c r="D552" s="13" t="n">
        <v>550</v>
      </c>
      <c r="E552" s="14" t="n">
        <v>5.493924231593996</v>
      </c>
      <c r="F552" s="15" t="n">
        <v>1.525941307612992</v>
      </c>
      <c r="G552" s="16">
        <f>DEGREES(F552)</f>
        <v/>
      </c>
      <c r="H552" s="15" t="n">
        <v>6.162184868249312</v>
      </c>
      <c r="I552" s="16">
        <f>DEGREES(H552)</f>
        <v/>
      </c>
      <c r="J552" s="17" t="n">
        <v>0.7455414350463866</v>
      </c>
      <c r="K552" s="17" t="n">
        <v>0.2242750959095249</v>
      </c>
      <c r="L552" s="18">
        <f>$B$5*$B$3*$B$6*SIN(F552)</f>
        <v/>
      </c>
      <c r="M552" s="18">
        <f>$B$9*K552*(SIN(F552))^2 + $B$8*($B$10+K552*COS(F552))*COS(F552)</f>
        <v/>
      </c>
      <c r="N552" s="18">
        <f>0.5*$B$9*(J552^2 + (K552*SIN(F552))^2) + 0.5*$B$8*($B$10 + K552*COS(F552))^2</f>
        <v/>
      </c>
      <c r="O552" s="18">
        <f>$B$3*$B$6*$B$5*COS(F552)</f>
        <v/>
      </c>
      <c r="P552" s="18">
        <f>N552+O552</f>
        <v/>
      </c>
      <c r="Q552" s="19">
        <f>ABS(P552-$P$3)</f>
        <v/>
      </c>
    </row>
    <row r="553">
      <c r="D553" s="6" t="n">
        <v>551</v>
      </c>
      <c r="E553" s="7" t="n">
        <v>5.503931379556827</v>
      </c>
      <c r="F553" s="8" t="n">
        <v>1.533123198512226</v>
      </c>
      <c r="G553" s="9">
        <f>DEGREES(F553)</f>
        <v/>
      </c>
      <c r="H553" s="8" t="n">
        <v>6.164247205476457</v>
      </c>
      <c r="I553" s="9">
        <f>DEGREES(H553)</f>
        <v/>
      </c>
      <c r="J553" s="10" t="n">
        <v>0.689435098909876</v>
      </c>
      <c r="K553" s="10" t="n">
        <v>0.1883656414133551</v>
      </c>
      <c r="L553" s="11">
        <f>$B$5*$B$3*$B$6*SIN(F553)</f>
        <v/>
      </c>
      <c r="M553" s="11">
        <f>$B$9*K553*(SIN(F553))^2 + $B$8*($B$10+K553*COS(F553))*COS(F553)</f>
        <v/>
      </c>
      <c r="N553" s="11">
        <f>0.5*$B$9*(J553^2 + (K553*SIN(F553))^2) + 0.5*$B$8*($B$10 + K553*COS(F553))^2</f>
        <v/>
      </c>
      <c r="O553" s="11">
        <f>$B$3*$B$6*$B$5*COS(F553)</f>
        <v/>
      </c>
      <c r="P553" s="11">
        <f>N553+O553</f>
        <v/>
      </c>
      <c r="Q553" s="12">
        <f>ABS(P553-$P$3)</f>
        <v/>
      </c>
    </row>
    <row r="554">
      <c r="D554" s="13" t="n">
        <v>552</v>
      </c>
      <c r="E554" s="14" t="n">
        <v>5.513938527519657</v>
      </c>
      <c r="F554" s="15" t="n">
        <v>1.539732644477777</v>
      </c>
      <c r="G554" s="16">
        <f>DEGREES(F554)</f>
        <v/>
      </c>
      <c r="H554" s="15" t="n">
        <v>6.165964422506951</v>
      </c>
      <c r="I554" s="16">
        <f>DEGREES(H554)</f>
        <v/>
      </c>
      <c r="J554" s="17" t="n">
        <v>0.6311641688999793</v>
      </c>
      <c r="K554" s="17" t="n">
        <v>0.1553184115855984</v>
      </c>
      <c r="L554" s="18">
        <f>$B$5*$B$3*$B$6*SIN(F554)</f>
        <v/>
      </c>
      <c r="M554" s="18">
        <f>$B$9*K554*(SIN(F554))^2 + $B$8*($B$10+K554*COS(F554))*COS(F554)</f>
        <v/>
      </c>
      <c r="N554" s="18">
        <f>0.5*$B$9*(J554^2 + (K554*SIN(F554))^2) + 0.5*$B$8*($B$10 + K554*COS(F554))^2</f>
        <v/>
      </c>
      <c r="O554" s="18">
        <f>$B$3*$B$6*$B$5*COS(F554)</f>
        <v/>
      </c>
      <c r="P554" s="18">
        <f>N554+O554</f>
        <v/>
      </c>
      <c r="Q554" s="19">
        <f>ABS(P554-$P$3)</f>
        <v/>
      </c>
    </row>
    <row r="555">
      <c r="D555" s="6" t="n">
        <v>553</v>
      </c>
      <c r="E555" s="7" t="n">
        <v>5.523945675482488</v>
      </c>
      <c r="F555" s="8" t="n">
        <v>1.545748894076675</v>
      </c>
      <c r="G555" s="9">
        <f>DEGREES(F555)</f>
        <v/>
      </c>
      <c r="H555" s="8" t="n">
        <v>6.167365688837468</v>
      </c>
      <c r="I555" s="9">
        <f>DEGREES(H555)</f>
        <v/>
      </c>
      <c r="J555" s="10" t="n">
        <v>0.5709115960998192</v>
      </c>
      <c r="K555" s="10" t="n">
        <v>0.1252371635911088</v>
      </c>
      <c r="L555" s="11">
        <f>$B$5*$B$3*$B$6*SIN(F555)</f>
        <v/>
      </c>
      <c r="M555" s="11">
        <f>$B$9*K555*(SIN(F555))^2 + $B$8*($B$10+K555*COS(F555))*COS(F555)</f>
        <v/>
      </c>
      <c r="N555" s="11">
        <f>0.5*$B$9*(J555^2 + (K555*SIN(F555))^2) + 0.5*$B$8*($B$10 + K555*COS(F555))^2</f>
        <v/>
      </c>
      <c r="O555" s="11">
        <f>$B$3*$B$6*$B$5*COS(F555)</f>
        <v/>
      </c>
      <c r="P555" s="11">
        <f>N555+O555</f>
        <v/>
      </c>
      <c r="Q555" s="12">
        <f>ABS(P555-$P$3)</f>
        <v/>
      </c>
    </row>
    <row r="556">
      <c r="D556" s="13" t="n">
        <v>554</v>
      </c>
      <c r="E556" s="14" t="n">
        <v>5.533952823445318</v>
      </c>
      <c r="F556" s="15" t="n">
        <v>1.551153058312632</v>
      </c>
      <c r="G556" s="16">
        <f>DEGREES(F556)</f>
        <v/>
      </c>
      <c r="H556" s="15" t="n">
        <v>6.168481165943406</v>
      </c>
      <c r="I556" s="16">
        <f>DEGREES(H556)</f>
        <v/>
      </c>
      <c r="J556" s="17" t="n">
        <v>0.5088665532830998</v>
      </c>
      <c r="K556" s="17" t="n">
        <v>0.09821634241132227</v>
      </c>
      <c r="L556" s="18">
        <f>$B$5*$B$3*$B$6*SIN(F556)</f>
        <v/>
      </c>
      <c r="M556" s="18">
        <f>$B$9*K556*(SIN(F556))^2 + $B$8*($B$10+K556*COS(F556))*COS(F556)</f>
        <v/>
      </c>
      <c r="N556" s="18">
        <f>0.5*$B$9*(J556^2 + (K556*SIN(F556))^2) + 0.5*$B$8*($B$10 + K556*COS(F556))^2</f>
        <v/>
      </c>
      <c r="O556" s="18">
        <f>$B$3*$B$6*$B$5*COS(F556)</f>
        <v/>
      </c>
      <c r="P556" s="18">
        <f>N556+O556</f>
        <v/>
      </c>
      <c r="Q556" s="19">
        <f>ABS(P556-$P$3)</f>
        <v/>
      </c>
    </row>
    <row r="557">
      <c r="D557" s="6" t="n">
        <v>555</v>
      </c>
      <c r="E557" s="7" t="n">
        <v>5.543959971408149</v>
      </c>
      <c r="F557" s="8" t="n">
        <v>1.555928169931133</v>
      </c>
      <c r="G557" s="9">
        <f>DEGREES(F557)</f>
        <v/>
      </c>
      <c r="H557" s="8" t="n">
        <v>6.169341912582015</v>
      </c>
      <c r="I557" s="9">
        <f>DEGREES(H557)</f>
        <v/>
      </c>
      <c r="J557" s="10" t="n">
        <v>0.4452238409752943</v>
      </c>
      <c r="K557" s="10" t="n">
        <v>0.07434078431881708</v>
      </c>
      <c r="L557" s="11">
        <f>$B$5*$B$3*$B$6*SIN(F557)</f>
        <v/>
      </c>
      <c r="M557" s="11">
        <f>$B$9*K557*(SIN(F557))^2 + $B$8*($B$10+K557*COS(F557))*COS(F557)</f>
        <v/>
      </c>
      <c r="N557" s="11">
        <f>0.5*$B$9*(J557^2 + (K557*SIN(F557))^2) + 0.5*$B$8*($B$10 + K557*COS(F557))^2</f>
        <v/>
      </c>
      <c r="O557" s="11">
        <f>$B$3*$B$6*$B$5*COS(F557)</f>
        <v/>
      </c>
      <c r="P557" s="11">
        <f>N557+O557</f>
        <v/>
      </c>
      <c r="Q557" s="12">
        <f>ABS(P557-$P$3)</f>
        <v/>
      </c>
    </row>
    <row r="558">
      <c r="D558" s="13" t="n">
        <v>556</v>
      </c>
      <c r="E558" s="14" t="n">
        <v>5.55396711937098</v>
      </c>
      <c r="F558" s="15" t="n">
        <v>1.560059236690891</v>
      </c>
      <c r="G558" s="16">
        <f>DEGREES(F558)</f>
        <v/>
      </c>
      <c r="H558" s="15" t="n">
        <v>6.169979787278372</v>
      </c>
      <c r="I558" s="16">
        <f>DEGREES(H558)</f>
        <v/>
      </c>
      <c r="J558" s="17" t="n">
        <v>0.38018327584568</v>
      </c>
      <c r="K558" s="17" t="n">
        <v>0.05368545052002549</v>
      </c>
      <c r="L558" s="18">
        <f>$B$5*$B$3*$B$6*SIN(F558)</f>
        <v/>
      </c>
      <c r="M558" s="18">
        <f>$B$9*K558*(SIN(F558))^2 + $B$8*($B$10+K558*COS(F558))*COS(F558)</f>
        <v/>
      </c>
      <c r="N558" s="18">
        <f>0.5*$B$9*(J558^2 + (K558*SIN(F558))^2) + 0.5*$B$8*($B$10 + K558*COS(F558))^2</f>
        <v/>
      </c>
      <c r="O558" s="18">
        <f>$B$3*$B$6*$B$5*COS(F558)</f>
        <v/>
      </c>
      <c r="P558" s="18">
        <f>N558+O558</f>
        <v/>
      </c>
      <c r="Q558" s="19">
        <f>ABS(P558-$P$3)</f>
        <v/>
      </c>
    </row>
    <row r="559">
      <c r="D559" s="6" t="n">
        <v>557</v>
      </c>
      <c r="E559" s="7" t="n">
        <v>5.56397426733381</v>
      </c>
      <c r="F559" s="8" t="n">
        <v>1.563533288434436</v>
      </c>
      <c r="G559" s="9">
        <f>DEGREES(F559)</f>
        <v/>
      </c>
      <c r="H559" s="8" t="n">
        <v>6.170427348300345</v>
      </c>
      <c r="I559" s="9">
        <f>DEGREES(H559)</f>
        <v/>
      </c>
      <c r="J559" s="10" t="n">
        <v>0.3139490633503363</v>
      </c>
      <c r="K559" s="10" t="n">
        <v>0.03631519180230525</v>
      </c>
      <c r="L559" s="11">
        <f>$B$5*$B$3*$B$6*SIN(F559)</f>
        <v/>
      </c>
      <c r="M559" s="11">
        <f>$B$9*K559*(SIN(F559))^2 + $B$8*($B$10+K559*COS(F559))*COS(F559)</f>
        <v/>
      </c>
      <c r="N559" s="11">
        <f>0.5*$B$9*(J559^2 + (K559*SIN(F559))^2) + 0.5*$B$8*($B$10 + K559*COS(F559))^2</f>
        <v/>
      </c>
      <c r="O559" s="11">
        <f>$B$3*$B$6*$B$5*COS(F559)</f>
        <v/>
      </c>
      <c r="P559" s="11">
        <f>N559+O559</f>
        <v/>
      </c>
      <c r="Q559" s="12">
        <f>ABS(P559-$P$3)</f>
        <v/>
      </c>
    </row>
    <row r="560">
      <c r="D560" s="13" t="n">
        <v>558</v>
      </c>
      <c r="E560" s="14" t="n">
        <v>5.57398141529664</v>
      </c>
      <c r="F560" s="15" t="n">
        <v>1.566339417810034</v>
      </c>
      <c r="G560" s="16">
        <f>DEGREES(F560)</f>
        <v/>
      </c>
      <c r="H560" s="15" t="n">
        <v>6.170717751436604</v>
      </c>
      <c r="I560" s="16">
        <f>DEGREES(H560)</f>
        <v/>
      </c>
      <c r="J560" s="17" t="n">
        <v>0.2467291565957954</v>
      </c>
      <c r="K560" s="17" t="n">
        <v>0.02228454492431164</v>
      </c>
      <c r="L560" s="18">
        <f>$B$5*$B$3*$B$6*SIN(F560)</f>
        <v/>
      </c>
      <c r="M560" s="18">
        <f>$B$9*K560*(SIN(F560))^2 + $B$8*($B$10+K560*COS(F560))*COS(F560)</f>
        <v/>
      </c>
      <c r="N560" s="18">
        <f>0.5*$B$9*(J560^2 + (K560*SIN(F560))^2) + 0.5*$B$8*($B$10 + K560*COS(F560))^2</f>
        <v/>
      </c>
      <c r="O560" s="18">
        <f>$B$3*$B$6*$B$5*COS(F560)</f>
        <v/>
      </c>
      <c r="P560" s="18">
        <f>N560+O560</f>
        <v/>
      </c>
      <c r="Q560" s="19">
        <f>ABS(P560-$P$3)</f>
        <v/>
      </c>
    </row>
    <row r="561">
      <c r="D561" s="6" t="n">
        <v>559</v>
      </c>
      <c r="E561" s="7" t="n">
        <v>5.583988563259472</v>
      </c>
      <c r="F561" s="8" t="n">
        <v>1.568468814517104</v>
      </c>
      <c r="G561" s="9">
        <f>DEGREES(F561)</f>
        <v/>
      </c>
      <c r="H561" s="8" t="n">
        <v>6.170884645898619</v>
      </c>
      <c r="I561" s="9">
        <f>DEGREES(H561)</f>
        <v/>
      </c>
      <c r="J561" s="10" t="n">
        <v>0.1787346034363873</v>
      </c>
      <c r="K561" s="10" t="n">
        <v>0.01163756138896144</v>
      </c>
      <c r="L561" s="11">
        <f>$B$5*$B$3*$B$6*SIN(F561)</f>
        <v/>
      </c>
      <c r="M561" s="11">
        <f>$B$9*K561*(SIN(F561))^2 + $B$8*($B$10+K561*COS(F561))*COS(F561)</f>
        <v/>
      </c>
      <c r="N561" s="11">
        <f>0.5*$B$9*(J561^2 + (K561*SIN(F561))^2) + 0.5*$B$8*($B$10 + K561*COS(F561))^2</f>
        <v/>
      </c>
      <c r="O561" s="11">
        <f>$B$3*$B$6*$B$5*COS(F561)</f>
        <v/>
      </c>
      <c r="P561" s="11">
        <f>N561+O561</f>
        <v/>
      </c>
      <c r="Q561" s="12">
        <f>ABS(P561-$P$3)</f>
        <v/>
      </c>
    </row>
    <row r="562">
      <c r="D562" s="13" t="n">
        <v>560</v>
      </c>
      <c r="E562" s="14" t="n">
        <v>5.593995711222302</v>
      </c>
      <c r="F562" s="15" t="n">
        <v>1.569914792967584</v>
      </c>
      <c r="G562" s="16">
        <f>DEGREES(F562)</f>
        <v/>
      </c>
      <c r="H562" s="15" t="n">
        <v>6.170962068673474</v>
      </c>
      <c r="I562" s="16">
        <f>DEGREES(H562)</f>
        <v/>
      </c>
      <c r="J562" s="17" t="n">
        <v>0.1101788838551217</v>
      </c>
      <c r="K562" s="17" t="n">
        <v>0.004407669136562875</v>
      </c>
      <c r="L562" s="18">
        <f>$B$5*$B$3*$B$6*SIN(F562)</f>
        <v/>
      </c>
      <c r="M562" s="18">
        <f>$B$9*K562*(SIN(F562))^2 + $B$8*($B$10+K562*COS(F562))*COS(F562)</f>
        <v/>
      </c>
      <c r="N562" s="18">
        <f>0.5*$B$9*(J562^2 + (K562*SIN(F562))^2) + 0.5*$B$8*($B$10 + K562*COS(F562))^2</f>
        <v/>
      </c>
      <c r="O562" s="18">
        <f>$B$3*$B$6*$B$5*COS(F562)</f>
        <v/>
      </c>
      <c r="P562" s="18">
        <f>N562+O562</f>
        <v/>
      </c>
      <c r="Q562" s="19">
        <f>ABS(P562-$P$3)</f>
        <v/>
      </c>
    </row>
    <row r="563">
      <c r="D563" s="6" t="n">
        <v>561</v>
      </c>
      <c r="E563" s="7" t="n">
        <v>5.604002859185132</v>
      </c>
      <c r="F563" s="8" t="n">
        <v>1.570672813276429</v>
      </c>
      <c r="G563" s="9">
        <f>DEGREES(F563)</f>
        <v/>
      </c>
      <c r="H563" s="8" t="n">
        <v>6.170984337659202</v>
      </c>
      <c r="I563" s="9">
        <f>DEGREES(H563)</f>
        <v/>
      </c>
      <c r="J563" s="10" t="n">
        <v>0.04127723970844913</v>
      </c>
      <c r="K563" s="10" t="n">
        <v>0.0006175675923394408</v>
      </c>
      <c r="L563" s="11">
        <f>$B$5*$B$3*$B$6*SIN(F563)</f>
        <v/>
      </c>
      <c r="M563" s="11">
        <f>$B$9*K563*(SIN(F563))^2 + $B$8*($B$10+K563*COS(F563))*COS(F563)</f>
        <v/>
      </c>
      <c r="N563" s="11">
        <f>0.5*$B$9*(J563^2 + (K563*SIN(F563))^2) + 0.5*$B$8*($B$10 + K563*COS(F563))^2</f>
        <v/>
      </c>
      <c r="O563" s="11">
        <f>$B$3*$B$6*$B$5*COS(F563)</f>
        <v/>
      </c>
      <c r="P563" s="11">
        <f>N563+O563</f>
        <v/>
      </c>
      <c r="Q563" s="12">
        <f>ABS(P563-$P$3)</f>
        <v/>
      </c>
    </row>
    <row r="564">
      <c r="D564" s="13" t="n">
        <v>562</v>
      </c>
      <c r="E564" s="14" t="n">
        <v>5.614010007147963</v>
      </c>
      <c r="F564" s="15" t="n">
        <v>1.570740495515319</v>
      </c>
      <c r="G564" s="16">
        <f>DEGREES(F564)</f>
        <v/>
      </c>
      <c r="H564" s="15" t="n">
        <v>6.170985943918144</v>
      </c>
      <c r="I564" s="16">
        <f>DEGREES(H564)</f>
        <v/>
      </c>
      <c r="J564" s="17" t="n">
        <v>-0.02775400106063309</v>
      </c>
      <c r="K564" s="17" t="n">
        <v>0.0002791563978890022</v>
      </c>
      <c r="L564" s="18">
        <f>$B$5*$B$3*$B$6*SIN(F564)</f>
        <v/>
      </c>
      <c r="M564" s="18">
        <f>$B$9*K564*(SIN(F564))^2 + $B$8*($B$10+K564*COS(F564))*COS(F564)</f>
        <v/>
      </c>
      <c r="N564" s="18">
        <f>0.5*$B$9*(J564^2 + (K564*SIN(F564))^2) + 0.5*$B$8*($B$10 + K564*COS(F564))^2</f>
        <v/>
      </c>
      <c r="O564" s="18">
        <f>$B$3*$B$6*$B$5*COS(F564)</f>
        <v/>
      </c>
      <c r="P564" s="18">
        <f>N564+O564</f>
        <v/>
      </c>
      <c r="Q564" s="19">
        <f>ABS(P564-$P$3)</f>
        <v/>
      </c>
    </row>
    <row r="565">
      <c r="D565" s="6" t="n">
        <v>563</v>
      </c>
      <c r="E565" s="7" t="n">
        <v>5.624017155110794</v>
      </c>
      <c r="F565" s="8" t="n">
        <v>1.570117627184833</v>
      </c>
      <c r="G565" s="9">
        <f>DEGREES(F565)</f>
        <v/>
      </c>
      <c r="H565" s="8" t="n">
        <v>6.171001443386642</v>
      </c>
      <c r="I565" s="9">
        <f>DEGREES(H565)</f>
        <v/>
      </c>
      <c r="J565" s="10" t="n">
        <v>-0.09669810361937628</v>
      </c>
      <c r="K565" s="10" t="n">
        <v>0.003393498050318522</v>
      </c>
      <c r="L565" s="11">
        <f>$B$5*$B$3*$B$6*SIN(F565)</f>
        <v/>
      </c>
      <c r="M565" s="11">
        <f>$B$9*K565*(SIN(F565))^2 + $B$8*($B$10+K565*COS(F565))*COS(F565)</f>
        <v/>
      </c>
      <c r="N565" s="11">
        <f>0.5*$B$9*(J565^2 + (K565*SIN(F565))^2) + 0.5*$B$8*($B$10 + K565*COS(F565))^2</f>
        <v/>
      </c>
      <c r="O565" s="11">
        <f>$B$3*$B$6*$B$5*COS(F565)</f>
        <v/>
      </c>
      <c r="P565" s="11">
        <f>N565+O565</f>
        <v/>
      </c>
      <c r="Q565" s="12">
        <f>ABS(P565-$P$3)</f>
        <v/>
      </c>
    </row>
    <row r="566">
      <c r="D566" s="13" t="n">
        <v>564</v>
      </c>
      <c r="E566" s="14" t="n">
        <v>5.634024303073624</v>
      </c>
      <c r="F566" s="15" t="n">
        <v>1.568806163881624</v>
      </c>
      <c r="G566" s="16">
        <f>DEGREES(F566)</f>
        <v/>
      </c>
      <c r="H566" s="15" t="n">
        <v>6.171065348381038</v>
      </c>
      <c r="I566" s="16">
        <f>DEGREES(H566)</f>
        <v/>
      </c>
      <c r="J566" s="17" t="n">
        <v>-0.1653386067196775</v>
      </c>
      <c r="K566" s="17" t="n">
        <v>0.009950814566362043</v>
      </c>
      <c r="L566" s="18">
        <f>$B$5*$B$3*$B$6*SIN(F566)</f>
        <v/>
      </c>
      <c r="M566" s="18">
        <f>$B$9*K566*(SIN(F566))^2 + $B$8*($B$10+K566*COS(F566))*COS(F566)</f>
        <v/>
      </c>
      <c r="N566" s="18">
        <f>0.5*$B$9*(J566^2 + (K566*SIN(F566))^2) + 0.5*$B$8*($B$10 + K566*COS(F566))^2</f>
        <v/>
      </c>
      <c r="O566" s="18">
        <f>$B$3*$B$6*$B$5*COS(F566)</f>
        <v/>
      </c>
      <c r="P566" s="18">
        <f>N566+O566</f>
        <v/>
      </c>
      <c r="Q566" s="19">
        <f>ABS(P566-$P$3)</f>
        <v/>
      </c>
    </row>
    <row r="567">
      <c r="D567" s="6" t="n">
        <v>565</v>
      </c>
      <c r="E567" s="7" t="n">
        <v>5.644031451036455</v>
      </c>
      <c r="F567" s="8" t="n">
        <v>1.566810223158506</v>
      </c>
      <c r="G567" s="9">
        <f>DEGREES(F567)</f>
        <v/>
      </c>
      <c r="H567" s="8" t="n">
        <v>6.171212019240643</v>
      </c>
      <c r="I567" s="9">
        <f>DEGREES(H567)</f>
        <v/>
      </c>
      <c r="J567" s="10" t="n">
        <v>-0.233460002313404</v>
      </c>
      <c r="K567" s="10" t="n">
        <v>0.01993051818195157</v>
      </c>
      <c r="L567" s="11">
        <f>$B$5*$B$3*$B$6*SIN(F567)</f>
        <v/>
      </c>
      <c r="M567" s="11">
        <f>$B$9*K567*(SIN(F567))^2 + $B$8*($B$10+K567*COS(F567))*COS(F567)</f>
        <v/>
      </c>
      <c r="N567" s="11">
        <f>0.5*$B$9*(J567^2 + (K567*SIN(F567))^2) + 0.5*$B$8*($B$10 + K567*COS(F567))^2</f>
        <v/>
      </c>
      <c r="O567" s="11">
        <f>$B$3*$B$6*$B$5*COS(F567)</f>
        <v/>
      </c>
      <c r="P567" s="11">
        <f>N567+O567</f>
        <v/>
      </c>
      <c r="Q567" s="12">
        <f>ABS(P567-$P$3)</f>
        <v/>
      </c>
    </row>
    <row r="568">
      <c r="D568" s="13" t="n">
        <v>566</v>
      </c>
      <c r="E568" s="14" t="n">
        <v>5.654038598999286</v>
      </c>
      <c r="F568" s="15" t="n">
        <v>1.564136071596725</v>
      </c>
      <c r="G568" s="16">
        <f>DEGREES(F568)</f>
        <v/>
      </c>
      <c r="H568" s="15" t="n">
        <v>6.171475556447834</v>
      </c>
      <c r="I568" s="16">
        <f>DEGREES(H568)</f>
        <v/>
      </c>
      <c r="J568" s="17" t="n">
        <v>-0.3008484121750605</v>
      </c>
      <c r="K568" s="17" t="n">
        <v>0.03330127599085864</v>
      </c>
      <c r="L568" s="18">
        <f>$B$5*$B$3*$B$6*SIN(F568)</f>
        <v/>
      </c>
      <c r="M568" s="18">
        <f>$B$9*K568*(SIN(F568))^2 + $B$8*($B$10+K568*COS(F568))*COS(F568)</f>
        <v/>
      </c>
      <c r="N568" s="18">
        <f>0.5*$B$9*(J568^2 + (K568*SIN(F568))^2) + 0.5*$B$8*($B$10 + K568*COS(F568))^2</f>
        <v/>
      </c>
      <c r="O568" s="18">
        <f>$B$3*$B$6*$B$5*COS(F568)</f>
        <v/>
      </c>
      <c r="P568" s="18">
        <f>N568+O568</f>
        <v/>
      </c>
      <c r="Q568" s="19">
        <f>ABS(P568-$P$3)</f>
        <v/>
      </c>
    </row>
    <row r="569">
      <c r="D569" s="6" t="n">
        <v>567</v>
      </c>
      <c r="E569" s="7" t="n">
        <v>5.664045746962116</v>
      </c>
      <c r="F569" s="8" t="n">
        <v>1.560792105131005</v>
      </c>
      <c r="G569" s="9">
        <f>DEGREES(F569)</f>
        <v/>
      </c>
      <c r="H569" s="8" t="n">
        <v>6.171889693564046</v>
      </c>
      <c r="I569" s="9">
        <f>DEGREES(H569)</f>
        <v/>
      </c>
      <c r="J569" s="10" t="n">
        <v>-0.3672922594073327</v>
      </c>
      <c r="K569" s="10" t="n">
        <v>0.05002110831946038</v>
      </c>
      <c r="L569" s="11">
        <f>$B$5*$B$3*$B$6*SIN(F569)</f>
        <v/>
      </c>
      <c r="M569" s="11">
        <f>$B$9*K569*(SIN(F569))^2 + $B$8*($B$10+K569*COS(F569))*COS(F569)</f>
        <v/>
      </c>
      <c r="N569" s="11">
        <f>0.5*$B$9*(J569^2 + (K569*SIN(F569))^2) + 0.5*$B$8*($B$10 + K569*COS(F569))^2</f>
        <v/>
      </c>
      <c r="O569" s="11">
        <f>$B$3*$B$6*$B$5*COS(F569)</f>
        <v/>
      </c>
      <c r="P569" s="11">
        <f>N569+O569</f>
        <v/>
      </c>
      <c r="Q569" s="12">
        <f>ABS(P569-$P$3)</f>
        <v/>
      </c>
    </row>
    <row r="570">
      <c r="D570" s="13" t="n">
        <v>568</v>
      </c>
      <c r="E570" s="14" t="n">
        <v>5.674052894924947</v>
      </c>
      <c r="F570" s="15" t="n">
        <v>1.556788822689142</v>
      </c>
      <c r="G570" s="16">
        <f>DEGREES(F570)</f>
        <v/>
      </c>
      <c r="H570" s="15" t="n">
        <v>6.17248769131775</v>
      </c>
      <c r="I570" s="16">
        <f>DEGREES(H570)</f>
        <v/>
      </c>
      <c r="J570" s="17" t="n">
        <v>-0.4325829327212652</v>
      </c>
      <c r="K570" s="17" t="n">
        <v>0.07003752052877288</v>
      </c>
      <c r="L570" s="18">
        <f>$B$5*$B$3*$B$6*SIN(F570)</f>
        <v/>
      </c>
      <c r="M570" s="18">
        <f>$B$9*K570*(SIN(F570))^2 + $B$8*($B$10+K570*COS(F570))*COS(F570)</f>
        <v/>
      </c>
      <c r="N570" s="18">
        <f>0.5*$B$9*(J570^2 + (K570*SIN(F570))^2) + 0.5*$B$8*($B$10 + K570*COS(F570))^2</f>
        <v/>
      </c>
      <c r="O570" s="18">
        <f>$B$3*$B$6*$B$5*COS(F570)</f>
        <v/>
      </c>
      <c r="P570" s="18">
        <f>N570+O570</f>
        <v/>
      </c>
      <c r="Q570" s="19">
        <f>ABS(P570-$P$3)</f>
        <v/>
      </c>
    </row>
    <row r="571">
      <c r="D571" s="6" t="n">
        <v>569</v>
      </c>
      <c r="E571" s="7" t="n">
        <v>5.684060042887777</v>
      </c>
      <c r="F571" s="8" t="n">
        <v>1.552138793228914</v>
      </c>
      <c r="G571" s="9">
        <f>DEGREES(F571)</f>
        <v/>
      </c>
      <c r="H571" s="8" t="n">
        <v>6.173302233176977</v>
      </c>
      <c r="I571" s="9">
        <f>DEGREES(H571)</f>
        <v/>
      </c>
      <c r="J571" s="10" t="n">
        <v>-0.4965154414053613</v>
      </c>
      <c r="K571" s="10" t="n">
        <v>0.09328766782991349</v>
      </c>
      <c r="L571" s="11">
        <f>$B$5*$B$3*$B$6*SIN(F571)</f>
        <v/>
      </c>
      <c r="M571" s="11">
        <f>$B$9*K571*(SIN(F571))^2 + $B$8*($B$10+K571*COS(F571))*COS(F571)</f>
        <v/>
      </c>
      <c r="N571" s="11">
        <f>0.5*$B$9*(J571^2 + (K571*SIN(F571))^2) + 0.5*$B$8*($B$10 + K571*COS(F571))^2</f>
        <v/>
      </c>
      <c r="O571" s="11">
        <f>$B$3*$B$6*$B$5*COS(F571)</f>
        <v/>
      </c>
      <c r="P571" s="11">
        <f>N571+O571</f>
        <v/>
      </c>
      <c r="Q571" s="12">
        <f>ABS(P571-$P$3)</f>
        <v/>
      </c>
    </row>
    <row r="572">
      <c r="D572" s="13" t="n">
        <v>570</v>
      </c>
      <c r="E572" s="14" t="n">
        <v>5.694067190850608</v>
      </c>
      <c r="F572" s="15" t="n">
        <v>1.546856616275781</v>
      </c>
      <c r="G572" s="16">
        <f>DEGREES(F572)</f>
        <v/>
      </c>
      <c r="H572" s="15" t="n">
        <v>6.174365322734236</v>
      </c>
      <c r="I572" s="16">
        <f>DEGREES(H572)</f>
        <v/>
      </c>
      <c r="J572" s="17" t="n">
        <v>-0.5588890589273944</v>
      </c>
      <c r="K572" s="17" t="n">
        <v>0.1196985525955782</v>
      </c>
      <c r="L572" s="18">
        <f>$B$5*$B$3*$B$6*SIN(F572)</f>
        <v/>
      </c>
      <c r="M572" s="18">
        <f>$B$9*K572*(SIN(F572))^2 + $B$8*($B$10+K572*COS(F572))*COS(F572)</f>
        <v/>
      </c>
      <c r="N572" s="18">
        <f>0.5*$B$9*(J572^2 + (K572*SIN(F572))^2) + 0.5*$B$8*($B$10 + K572*COS(F572))^2</f>
        <v/>
      </c>
      <c r="O572" s="18">
        <f>$B$3*$B$6*$B$5*COS(F572)</f>
        <v/>
      </c>
      <c r="P572" s="18">
        <f>N572+O572</f>
        <v/>
      </c>
      <c r="Q572" s="19">
        <f>ABS(P572-$P$3)</f>
        <v/>
      </c>
    </row>
    <row r="573">
      <c r="D573" s="6" t="n">
        <v>571</v>
      </c>
      <c r="E573" s="7" t="n">
        <v>5.704074338813439</v>
      </c>
      <c r="F573" s="8" t="n">
        <v>1.540958876085301</v>
      </c>
      <c r="G573" s="9">
        <f>DEGREES(F573)</f>
        <v/>
      </c>
      <c r="H573" s="8" t="n">
        <v>6.175708183226028</v>
      </c>
      <c r="I573" s="9">
        <f>DEGREES(H573)</f>
        <v/>
      </c>
      <c r="J573" s="10" t="n">
        <v>-0.619507953148033</v>
      </c>
      <c r="K573" s="10" t="n">
        <v>0.1491872535479782</v>
      </c>
      <c r="L573" s="11">
        <f>$B$5*$B$3*$B$6*SIN(F573)</f>
        <v/>
      </c>
      <c r="M573" s="11">
        <f>$B$9*K573*(SIN(F573))^2 + $B$8*($B$10+K573*COS(F573))*COS(F573)</f>
        <v/>
      </c>
      <c r="N573" s="11">
        <f>0.5*$B$9*(J573^2 + (K573*SIN(F573))^2) + 0.5*$B$8*($B$10 + K573*COS(F573))^2</f>
        <v/>
      </c>
      <c r="O573" s="11">
        <f>$B$3*$B$6*$B$5*COS(F573)</f>
        <v/>
      </c>
      <c r="P573" s="11">
        <f>N573+O573</f>
        <v/>
      </c>
      <c r="Q573" s="12">
        <f>ABS(P573-$P$3)</f>
        <v/>
      </c>
    </row>
    <row r="574">
      <c r="D574" s="13" t="n">
        <v>572</v>
      </c>
      <c r="E574" s="14" t="n">
        <v>5.714081486776269</v>
      </c>
      <c r="F574" s="15" t="n">
        <v>1.534464089574155</v>
      </c>
      <c r="G574" s="16">
        <f>DEGREES(F574)</f>
        <v/>
      </c>
      <c r="H574" s="15" t="n">
        <v>6.177361159502404</v>
      </c>
      <c r="I574" s="16">
        <f>DEGREES(H574)</f>
        <v/>
      </c>
      <c r="J574" s="17" t="n">
        <v>-0.6781818011677658</v>
      </c>
      <c r="K574" s="17" t="n">
        <v>0.1816611861037049</v>
      </c>
      <c r="L574" s="18">
        <f>$B$5*$B$3*$B$6*SIN(F574)</f>
        <v/>
      </c>
      <c r="M574" s="18">
        <f>$B$9*K574*(SIN(F574))^2 + $B$8*($B$10+K574*COS(F574))*COS(F574)</f>
        <v/>
      </c>
      <c r="N574" s="18">
        <f>0.5*$B$9*(J574^2 + (K574*SIN(F574))^2) + 0.5*$B$8*($B$10 + K574*COS(F574))^2</f>
        <v/>
      </c>
      <c r="O574" s="18">
        <f>$B$3*$B$6*$B$5*COS(F574)</f>
        <v/>
      </c>
      <c r="P574" s="18">
        <f>N574+O574</f>
        <v/>
      </c>
      <c r="Q574" s="19">
        <f>ABS(P574-$P$3)</f>
        <v/>
      </c>
    </row>
    <row r="575">
      <c r="D575" s="6" t="n">
        <v>573</v>
      </c>
      <c r="E575" s="7" t="n">
        <v>5.7240886347391</v>
      </c>
      <c r="F575" s="8" t="n">
        <v>1.527392648183269</v>
      </c>
      <c r="G575" s="9">
        <f>DEGREES(F575)</f>
        <v/>
      </c>
      <c r="H575" s="8" t="n">
        <v>6.179353622754353</v>
      </c>
      <c r="I575" s="9">
        <f>DEGREES(H575)</f>
        <v/>
      </c>
      <c r="J575" s="10" t="n">
        <v>-0.7347263868766978</v>
      </c>
      <c r="K575" s="10" t="n">
        <v>0.217018393058137</v>
      </c>
      <c r="L575" s="11">
        <f>$B$5*$B$3*$B$6*SIN(F575)</f>
        <v/>
      </c>
      <c r="M575" s="11">
        <f>$B$9*K575*(SIN(F575))^2 + $B$8*($B$10+K575*COS(F575))*COS(F575)</f>
        <v/>
      </c>
      <c r="N575" s="11">
        <f>0.5*$B$9*(J575^2 + (K575*SIN(F575))^2) + 0.5*$B$8*($B$10 + K575*COS(F575))^2</f>
        <v/>
      </c>
      <c r="O575" s="11">
        <f>$B$3*$B$6*$B$5*COS(F575)</f>
        <v/>
      </c>
      <c r="P575" s="11">
        <f>N575+O575</f>
        <v/>
      </c>
      <c r="Q575" s="12">
        <f>ABS(P575-$P$3)</f>
        <v/>
      </c>
    </row>
    <row r="576">
      <c r="D576" s="13" t="n">
        <v>574</v>
      </c>
      <c r="E576" s="14" t="n">
        <v>5.734095782701931</v>
      </c>
      <c r="F576" s="15" t="n">
        <v>1.519766753855557</v>
      </c>
      <c r="G576" s="16">
        <f>DEGREES(F576)</f>
        <v/>
      </c>
      <c r="H576" s="15" t="n">
        <v>6.18171387829817</v>
      </c>
      <c r="I576" s="16">
        <f>DEGREES(H576)</f>
        <v/>
      </c>
      <c r="J576" s="17" t="n">
        <v>-0.7889641793310381</v>
      </c>
      <c r="K576" s="17" t="n">
        <v>0.2551478646966987</v>
      </c>
      <c r="L576" s="18">
        <f>$B$5*$B$3*$B$6*SIN(F576)</f>
        <v/>
      </c>
      <c r="M576" s="18">
        <f>$B$9*K576*(SIN(F576))^2 + $B$8*($B$10+K576*COS(F576))*COS(F576)</f>
        <v/>
      </c>
      <c r="N576" s="18">
        <f>0.5*$B$9*(J576^2 + (K576*SIN(F576))^2) + 0.5*$B$8*($B$10 + K576*COS(F576))^2</f>
        <v/>
      </c>
      <c r="O576" s="18">
        <f>$B$3*$B$6*$B$5*COS(F576)</f>
        <v/>
      </c>
      <c r="P576" s="18">
        <f>N576+O576</f>
        <v/>
      </c>
      <c r="Q576" s="19">
        <f>ABS(P576-$P$3)</f>
        <v/>
      </c>
    </row>
    <row r="577">
      <c r="D577" s="6" t="n">
        <v>575</v>
      </c>
      <c r="E577" s="7" t="n">
        <v>5.744102930664761</v>
      </c>
      <c r="F577" s="8" t="n">
        <v>1.511610349329312</v>
      </c>
      <c r="G577" s="9">
        <f>DEGREES(F577)</f>
        <v/>
      </c>
      <c r="H577" s="8" t="n">
        <v>6.184469076706301</v>
      </c>
      <c r="I577" s="9">
        <f>DEGREES(H577)</f>
        <v/>
      </c>
      <c r="J577" s="10" t="n">
        <v>-0.8407248901404003</v>
      </c>
      <c r="K577" s="10" t="n">
        <v>0.2959298873279248</v>
      </c>
      <c r="L577" s="11">
        <f>$B$5*$B$3*$B$6*SIN(F577)</f>
        <v/>
      </c>
      <c r="M577" s="11">
        <f>$B$9*K577*(SIN(F577))^2 + $B$8*($B$10+K577*COS(F577))*COS(F577)</f>
        <v/>
      </c>
      <c r="N577" s="11">
        <f>0.5*$B$9*(J577^2 + (K577*SIN(F577))^2) + 0.5*$B$8*($B$10 + K577*COS(F577))^2</f>
        <v/>
      </c>
      <c r="O577" s="11">
        <f>$B$3*$B$6*$B$5*COS(F577)</f>
        <v/>
      </c>
      <c r="P577" s="11">
        <f>N577+O577</f>
        <v/>
      </c>
      <c r="Q577" s="12">
        <f>ABS(P577-$P$3)</f>
        <v/>
      </c>
    </row>
    <row r="578">
      <c r="D578" s="13" t="n">
        <v>576</v>
      </c>
      <c r="E578" s="14" t="n">
        <v>5.754110078627591</v>
      </c>
      <c r="F578" s="15" t="n">
        <v>1.502949042966063</v>
      </c>
      <c r="G578" s="16">
        <f>DEGREES(F578)</f>
        <v/>
      </c>
      <c r="H578" s="15" t="n">
        <v>6.187645128563686</v>
      </c>
      <c r="I578" s="16">
        <f>DEGREES(H578)</f>
        <v/>
      </c>
      <c r="J578" s="17" t="n">
        <v>-0.8898460081160395</v>
      </c>
      <c r="K578" s="17" t="n">
        <v>0.3392364191441654</v>
      </c>
      <c r="L578" s="18">
        <f>$B$5*$B$3*$B$6*SIN(F578)</f>
        <v/>
      </c>
      <c r="M578" s="18">
        <f>$B$9*K578*(SIN(F578))^2 + $B$8*($B$10+K578*COS(F578))*COS(F578)</f>
        <v/>
      </c>
      <c r="N578" s="18">
        <f>0.5*$B$9*(J578^2 + (K578*SIN(F578))^2) + 0.5*$B$8*($B$10 + K578*COS(F578))^2</f>
        <v/>
      </c>
      <c r="O578" s="18">
        <f>$B$3*$B$6*$B$5*COS(F578)</f>
        <v/>
      </c>
      <c r="P578" s="18">
        <f>N578+O578</f>
        <v/>
      </c>
      <c r="Q578" s="19">
        <f>ABS(P578-$P$3)</f>
        <v/>
      </c>
    </row>
    <row r="579">
      <c r="D579" s="6" t="n">
        <v>577</v>
      </c>
      <c r="E579" s="7" t="n">
        <v>5.764117226590422</v>
      </c>
      <c r="F579" s="8" t="n">
        <v>1.493810028348965</v>
      </c>
      <c r="G579" s="9">
        <f>DEGREES(F579)</f>
        <v/>
      </c>
      <c r="H579" s="8" t="n">
        <v>6.191266623117266</v>
      </c>
      <c r="I579" s="9">
        <f>DEGREES(H579)</f>
        <v/>
      </c>
      <c r="J579" s="10" t="n">
        <v>-0.9361733095011482</v>
      </c>
      <c r="K579" s="10" t="n">
        <v>0.3849314922296601</v>
      </c>
      <c r="L579" s="11">
        <f>$B$5*$B$3*$B$6*SIN(F579)</f>
        <v/>
      </c>
      <c r="M579" s="11">
        <f>$B$9*K579*(SIN(F579))^2 + $B$8*($B$10+K579*COS(F579))*COS(F579)</f>
        <v/>
      </c>
      <c r="N579" s="11">
        <f>0.5*$B$9*(J579^2 + (K579*SIN(F579))^2) + 0.5*$B$8*($B$10 + K579*COS(F579))^2</f>
        <v/>
      </c>
      <c r="O579" s="11">
        <f>$B$3*$B$6*$B$5*COS(F579)</f>
        <v/>
      </c>
      <c r="P579" s="11">
        <f>N579+O579</f>
        <v/>
      </c>
      <c r="Q579" s="12">
        <f>ABS(P579-$P$3)</f>
        <v/>
      </c>
    </row>
    <row r="580">
      <c r="D580" s="13" t="n">
        <v>578</v>
      </c>
      <c r="E580" s="14" t="n">
        <v>5.774124374553253</v>
      </c>
      <c r="F580" s="15" t="n">
        <v>1.484221998904097</v>
      </c>
      <c r="G580" s="16">
        <f>DEGREES(F580)</f>
        <v/>
      </c>
      <c r="H580" s="15" t="n">
        <v>6.195356751074026</v>
      </c>
      <c r="I580" s="16">
        <f>DEGREES(H580)</f>
        <v/>
      </c>
      <c r="J580" s="17" t="n">
        <v>-0.9795613421815137</v>
      </c>
      <c r="K580" s="17" t="n">
        <v>0.4328716394539988</v>
      </c>
      <c r="L580" s="18">
        <f>$B$5*$B$3*$B$6*SIN(F580)</f>
        <v/>
      </c>
      <c r="M580" s="18">
        <f>$B$9*K580*(SIN(F580))^2 + $B$8*($B$10+K580*COS(F580))*COS(F580)</f>
        <v/>
      </c>
      <c r="N580" s="18">
        <f>0.5*$B$9*(J580^2 + (K580*SIN(F580))^2) + 0.5*$B$8*($B$10 + K580*COS(F580))^2</f>
        <v/>
      </c>
      <c r="O580" s="18">
        <f>$B$3*$B$6*$B$5*COS(F580)</f>
        <v/>
      </c>
      <c r="P580" s="18">
        <f>N580+O580</f>
        <v/>
      </c>
      <c r="Q580" s="19">
        <f>ABS(P580-$P$3)</f>
        <v/>
      </c>
    </row>
    <row r="581">
      <c r="D581" s="6" t="n">
        <v>579</v>
      </c>
      <c r="E581" s="7" t="n">
        <v>5.784131522516083</v>
      </c>
      <c r="F581" s="8" t="n">
        <v>1.474215057812785</v>
      </c>
      <c r="G581" s="9">
        <f>DEGREES(F581)</f>
        <v/>
      </c>
      <c r="H581" s="8" t="n">
        <v>6.199937231789992</v>
      </c>
      <c r="I581" s="9">
        <f>DEGREES(H581)</f>
        <v/>
      </c>
      <c r="J581" s="10" t="n">
        <v>-1.019873882356133</v>
      </c>
      <c r="K581" s="10" t="n">
        <v>0.4829063449105565</v>
      </c>
      <c r="L581" s="11">
        <f>$B$5*$B$3*$B$6*SIN(F581)</f>
        <v/>
      </c>
      <c r="M581" s="11">
        <f>$B$9*K581*(SIN(F581))^2 + $B$8*($B$10+K581*COS(F581))*COS(F581)</f>
        <v/>
      </c>
      <c r="N581" s="11">
        <f>0.5*$B$9*(J581^2 + (K581*SIN(F581))^2) + 0.5*$B$8*($B$10 + K581*COS(F581))^2</f>
        <v/>
      </c>
      <c r="O581" s="11">
        <f>$B$3*$B$6*$B$5*COS(F581)</f>
        <v/>
      </c>
      <c r="P581" s="11">
        <f>N581+O581</f>
        <v/>
      </c>
      <c r="Q581" s="12">
        <f>ABS(P581-$P$3)</f>
        <v/>
      </c>
    </row>
    <row r="582">
      <c r="D582" s="13" t="n">
        <v>580</v>
      </c>
      <c r="E582" s="14" t="n">
        <v>5.794138670478914</v>
      </c>
      <c r="F582" s="15" t="n">
        <v>1.463820623497753</v>
      </c>
      <c r="G582" s="16">
        <f>DEGREES(F582)</f>
        <v/>
      </c>
      <c r="H582" s="15" t="n">
        <v>6.205028245078775</v>
      </c>
      <c r="I582" s="16">
        <f>DEGREES(H582)</f>
        <v/>
      </c>
      <c r="J582" s="17" t="n">
        <v>-1.056984362234041</v>
      </c>
      <c r="K582" s="17" t="n">
        <v>0.5348785164857184</v>
      </c>
      <c r="L582" s="18">
        <f>$B$5*$B$3*$B$6*SIN(F582)</f>
        <v/>
      </c>
      <c r="M582" s="18">
        <f>$B$9*K582*(SIN(F582))^2 + $B$8*($B$10+K582*COS(F582))*COS(F582)</f>
        <v/>
      </c>
      <c r="N582" s="18">
        <f>0.5*$B$9*(J582^2 + (K582*SIN(F582))^2) + 0.5*$B$8*($B$10 + K582*COS(F582))^2</f>
        <v/>
      </c>
      <c r="O582" s="18">
        <f>$B$3*$B$6*$B$5*COS(F582)</f>
        <v/>
      </c>
      <c r="P582" s="18">
        <f>N582+O582</f>
        <v/>
      </c>
      <c r="Q582" s="19">
        <f>ABS(P582-$P$3)</f>
        <v/>
      </c>
    </row>
    <row r="583">
      <c r="D583" s="6" t="n">
        <v>581</v>
      </c>
      <c r="E583" s="7" t="n">
        <v>5.804145818441745</v>
      </c>
      <c r="F583" s="8" t="n">
        <v>1.453071330979861</v>
      </c>
      <c r="G583" s="9">
        <f>DEGREES(F583)</f>
        <v/>
      </c>
      <c r="H583" s="8" t="n">
        <v>6.210648367853757</v>
      </c>
      <c r="I583" s="9">
        <f>DEGREES(H583)</f>
        <v/>
      </c>
      <c r="J583" s="10" t="n">
        <v>-1.090776267414522</v>
      </c>
      <c r="K583" s="10" t="n">
        <v>0.5886249790751763</v>
      </c>
      <c r="L583" s="11">
        <f>$B$5*$B$3*$B$6*SIN(F583)</f>
        <v/>
      </c>
      <c r="M583" s="11">
        <f>$B$9*K583*(SIN(F583))^2 + $B$8*($B$10+K583*COS(F583))*COS(F583)</f>
        <v/>
      </c>
      <c r="N583" s="11">
        <f>0.5*$B$9*(J583^2 + (K583*SIN(F583))^2) + 0.5*$B$8*($B$10 + K583*COS(F583))^2</f>
        <v/>
      </c>
      <c r="O583" s="11">
        <f>$B$3*$B$6*$B$5*COS(F583)</f>
        <v/>
      </c>
      <c r="P583" s="11">
        <f>N583+O583</f>
        <v/>
      </c>
      <c r="Q583" s="12">
        <f>ABS(P583-$P$3)</f>
        <v/>
      </c>
    </row>
    <row r="584">
      <c r="D584" s="13" t="n">
        <v>582</v>
      </c>
      <c r="E584" s="14" t="n">
        <v>5.814152966404575</v>
      </c>
      <c r="F584" s="15" t="n">
        <v>1.442000929415143</v>
      </c>
      <c r="G584" s="16">
        <f>DEGREES(F584)</f>
        <v/>
      </c>
      <c r="H584" s="15" t="n">
        <v>6.216814515802835</v>
      </c>
      <c r="I584" s="16">
        <f>DEGREES(H584)</f>
        <v/>
      </c>
      <c r="J584" s="17" t="n">
        <v>-1.121143502703061</v>
      </c>
      <c r="K584" s="17" t="n">
        <v>0.6439769868987668</v>
      </c>
      <c r="L584" s="18">
        <f>$B$5*$B$3*$B$6*SIN(F584)</f>
        <v/>
      </c>
      <c r="M584" s="18">
        <f>$B$9*K584*(SIN(F584))^2 + $B$8*($B$10+K584*COS(F584))*COS(F584)</f>
        <v/>
      </c>
      <c r="N584" s="18">
        <f>0.5*$B$9*(J584^2 + (K584*SIN(F584))^2) + 0.5*$B$8*($B$10 + K584*COS(F584))^2</f>
        <v/>
      </c>
      <c r="O584" s="18">
        <f>$B$3*$B$6*$B$5*COS(F584)</f>
        <v/>
      </c>
      <c r="P584" s="18">
        <f>N584+O584</f>
        <v/>
      </c>
      <c r="Q584" s="19">
        <f>ABS(P584-$P$3)</f>
        <v/>
      </c>
    </row>
    <row r="585">
      <c r="D585" s="6" t="n">
        <v>583</v>
      </c>
      <c r="E585" s="7" t="n">
        <v>5.824160114367405</v>
      </c>
      <c r="F585" s="8" t="n">
        <v>1.430644176133827</v>
      </c>
      <c r="G585" s="9">
        <f>DEGREES(F585)</f>
        <v/>
      </c>
      <c r="H585" s="8" t="n">
        <v>6.223541890278875</v>
      </c>
      <c r="I585" s="9">
        <f>DEGREES(H585)</f>
        <v/>
      </c>
      <c r="J585" s="10" t="n">
        <v>-1.147990725214499</v>
      </c>
      <c r="K585" s="10" t="n">
        <v>0.7007607533053473</v>
      </c>
      <c r="L585" s="11">
        <f>$B$5*$B$3*$B$6*SIN(F585)</f>
        <v/>
      </c>
      <c r="M585" s="11">
        <f>$B$9*K585*(SIN(F585))^2 + $B$8*($B$10+K585*COS(F585))*COS(F585)</f>
        <v/>
      </c>
      <c r="N585" s="11">
        <f>0.5*$B$9*(J585^2 + (K585*SIN(F585))^2) + 0.5*$B$8*($B$10 + K585*COS(F585))^2</f>
        <v/>
      </c>
      <c r="O585" s="11">
        <f>$B$3*$B$6*$B$5*COS(F585)</f>
        <v/>
      </c>
      <c r="P585" s="11">
        <f>N585+O585</f>
        <v/>
      </c>
      <c r="Q585" s="12">
        <f>ABS(P585-$P$3)</f>
        <v/>
      </c>
    </row>
    <row r="586">
      <c r="D586" s="13" t="n">
        <v>584</v>
      </c>
      <c r="E586" s="14" t="n">
        <v>5.834167262330237</v>
      </c>
      <c r="F586" s="15" t="n">
        <v>1.419036727514026</v>
      </c>
      <c r="G586" s="16">
        <f>DEGREES(F586)</f>
        <v/>
      </c>
      <c r="H586" s="15" t="n">
        <v>6.230843930572576</v>
      </c>
      <c r="I586" s="16">
        <f>DEGREES(H586)</f>
        <v/>
      </c>
      <c r="J586" s="17" t="n">
        <v>-1.17123364371758</v>
      </c>
      <c r="K586" s="17" t="n">
        <v>0.7587979964043509</v>
      </c>
      <c r="L586" s="18">
        <f>$B$5*$B$3*$B$6*SIN(F586)</f>
        <v/>
      </c>
      <c r="M586" s="18">
        <f>$B$9*K586*(SIN(F586))^2 + $B$8*($B$10+K586*COS(F586))*COS(F586)</f>
        <v/>
      </c>
      <c r="N586" s="18">
        <f>0.5*$B$9*(J586^2 + (K586*SIN(F586))^2) + 0.5*$B$8*($B$10 + K586*COS(F586))^2</f>
        <v/>
      </c>
      <c r="O586" s="18">
        <f>$B$3*$B$6*$B$5*COS(F586)</f>
        <v/>
      </c>
      <c r="P586" s="18">
        <f>N586+O586</f>
        <v/>
      </c>
      <c r="Q586" s="19">
        <f>ABS(P586-$P$3)</f>
        <v/>
      </c>
    </row>
    <row r="587">
      <c r="D587" s="6" t="n">
        <v>585</v>
      </c>
      <c r="E587" s="7" t="n">
        <v>5.844174410293067</v>
      </c>
      <c r="F587" s="8" t="n">
        <v>1.407215027032744</v>
      </c>
      <c r="G587" s="9">
        <f>DEGREES(F587)</f>
        <v/>
      </c>
      <c r="H587" s="8" t="n">
        <v>6.238732271717628</v>
      </c>
      <c r="I587" s="9">
        <f>DEGREES(H587)</f>
        <v/>
      </c>
      <c r="J587" s="10" t="n">
        <v>-1.190799283280973</v>
      </c>
      <c r="K587" s="10" t="n">
        <v>0.8179064988107629</v>
      </c>
      <c r="L587" s="11">
        <f>$B$5*$B$3*$B$6*SIN(F587)</f>
        <v/>
      </c>
      <c r="M587" s="11">
        <f>$B$9*K587*(SIN(F587))^2 + $B$8*($B$10+K587*COS(F587))*COS(F587)</f>
        <v/>
      </c>
      <c r="N587" s="11">
        <f>0.5*$B$9*(J587^2 + (K587*SIN(F587))^2) + 0.5*$B$8*($B$10 + K587*COS(F587))^2</f>
        <v/>
      </c>
      <c r="O587" s="11">
        <f>$B$3*$B$6*$B$5*COS(F587)</f>
        <v/>
      </c>
      <c r="P587" s="11">
        <f>N587+O587</f>
        <v/>
      </c>
      <c r="Q587" s="12">
        <f>ABS(P587-$P$3)</f>
        <v/>
      </c>
    </row>
    <row r="588">
      <c r="D588" s="13" t="n">
        <v>586</v>
      </c>
      <c r="E588" s="14" t="n">
        <v>5.854181558255897</v>
      </c>
      <c r="F588" s="15" t="n">
        <v>1.395216190845615</v>
      </c>
      <c r="G588" s="16">
        <f>DEGREES(F588)</f>
        <v/>
      </c>
      <c r="H588" s="15" t="n">
        <v>6.247216707960631</v>
      </c>
      <c r="I588" s="16">
        <f>DEGREES(H588)</f>
        <v/>
      </c>
      <c r="J588" s="17" t="n">
        <v>-1.206626214390009</v>
      </c>
      <c r="K588" s="17" t="n">
        <v>0.8779006797464057</v>
      </c>
      <c r="L588" s="18">
        <f>$B$5*$B$3*$B$6*SIN(F588)</f>
        <v/>
      </c>
      <c r="M588" s="18">
        <f>$B$9*K588*(SIN(F588))^2 + $B$8*($B$10+K588*COS(F588))*COS(F588)</f>
        <v/>
      </c>
      <c r="N588" s="18">
        <f>0.5*$B$9*(J588^2 + (K588*SIN(F588))^2) + 0.5*$B$8*($B$10 + K588*COS(F588))^2</f>
        <v/>
      </c>
      <c r="O588" s="18">
        <f>$B$3*$B$6*$B$5*COS(F588)</f>
        <v/>
      </c>
      <c r="P588" s="18">
        <f>N588+O588</f>
        <v/>
      </c>
      <c r="Q588" s="19">
        <f>ABS(P588-$P$3)</f>
        <v/>
      </c>
    </row>
    <row r="589">
      <c r="D589" s="6" t="n">
        <v>587</v>
      </c>
      <c r="E589" s="7" t="n">
        <v>5.864188706218728</v>
      </c>
      <c r="F589" s="8" t="n">
        <v>1.383077891254703</v>
      </c>
      <c r="G589" s="9">
        <f>DEGREES(F589)</f>
        <v/>
      </c>
      <c r="H589" s="8" t="n">
        <v>6.256305162010464</v>
      </c>
      <c r="I589" s="9">
        <f>DEGREES(H589)</f>
        <v/>
      </c>
      <c r="J589" s="10" t="n">
        <v>-1.218664745814622</v>
      </c>
      <c r="K589" s="10" t="n">
        <v>0.9385921777009679</v>
      </c>
      <c r="L589" s="11">
        <f>$B$5*$B$3*$B$6*SIN(F589)</f>
        <v/>
      </c>
      <c r="M589" s="11">
        <f>$B$9*K589*(SIN(F589))^2 + $B$8*($B$10+K589*COS(F589))*COS(F589)</f>
        <v/>
      </c>
      <c r="N589" s="11">
        <f>0.5*$B$9*(J589^2 + (K589*SIN(F589))^2) + 0.5*$B$8*($B$10 + K589*COS(F589))^2</f>
        <v/>
      </c>
      <c r="O589" s="11">
        <f>$B$3*$B$6*$B$5*COS(F589)</f>
        <v/>
      </c>
      <c r="P589" s="11">
        <f>N589+O589</f>
        <v/>
      </c>
      <c r="Q589" s="12">
        <f>ABS(P589-$P$3)</f>
        <v/>
      </c>
    </row>
    <row r="590">
      <c r="D590" s="13" t="n">
        <v>588</v>
      </c>
      <c r="E590" s="14" t="n">
        <v>5.874195854181559</v>
      </c>
      <c r="F590" s="15" t="n">
        <v>1.370838238430163</v>
      </c>
      <c r="G590" s="16">
        <f>DEGREES(F590)</f>
        <v/>
      </c>
      <c r="H590" s="15" t="n">
        <v>6.266003660163637</v>
      </c>
      <c r="I590" s="16">
        <f>DEGREES(H590)</f>
        <v/>
      </c>
      <c r="J590" s="17" t="n">
        <v>-1.22687708062308</v>
      </c>
      <c r="K590" s="17" t="n">
        <v>0.9997904418236692</v>
      </c>
      <c r="L590" s="18">
        <f>$B$5*$B$3*$B$6*SIN(F590)</f>
        <v/>
      </c>
      <c r="M590" s="18">
        <f>$B$9*K590*(SIN(F590))^2 + $B$8*($B$10+K590*COS(F590))*COS(F590)</f>
        <v/>
      </c>
      <c r="N590" s="18">
        <f>0.5*$B$9*(J590^2 + (K590*SIN(F590))^2) + 0.5*$B$8*($B$10 + K590*COS(F590))^2</f>
        <v/>
      </c>
      <c r="O590" s="18">
        <f>$B$3*$B$6*$B$5*COS(F590)</f>
        <v/>
      </c>
      <c r="P590" s="18">
        <f>N590+O590</f>
        <v/>
      </c>
      <c r="Q590" s="19">
        <f>ABS(P590-$P$3)</f>
        <v/>
      </c>
    </row>
    <row r="591">
      <c r="D591" s="6" t="n">
        <v>589</v>
      </c>
      <c r="E591" s="7" t="n">
        <v>5.884203002144389</v>
      </c>
      <c r="F591" s="8" t="n">
        <v>1.358535660757139</v>
      </c>
      <c r="G591" s="9">
        <f>DEGREES(F591)</f>
        <v/>
      </c>
      <c r="H591" s="8" t="n">
        <v>6.276316313383762</v>
      </c>
      <c r="I591" s="9">
        <f>DEGREES(H591)</f>
        <v/>
      </c>
      <c r="J591" s="10" t="n">
        <v>-1.231237434851614</v>
      </c>
      <c r="K591" s="10" t="n">
        <v>1.061303330188786</v>
      </c>
      <c r="L591" s="11">
        <f>$B$5*$B$3*$B$6*SIN(F591)</f>
        <v/>
      </c>
      <c r="M591" s="11">
        <f>$B$9*K591*(SIN(F591))^2 + $B$8*($B$10+K591*COS(F591))*COS(F591)</f>
        <v/>
      </c>
      <c r="N591" s="11">
        <f>0.5*$B$9*(J591^2 + (K591*SIN(F591))^2) + 0.5*$B$8*($B$10 + K591*COS(F591))^2</f>
        <v/>
      </c>
      <c r="O591" s="11">
        <f>$B$3*$B$6*$B$5*COS(F591)</f>
        <v/>
      </c>
      <c r="P591" s="11">
        <f>N591+O591</f>
        <v/>
      </c>
      <c r="Q591" s="12">
        <f>ABS(P591-$P$3)</f>
        <v/>
      </c>
    </row>
    <row r="592">
      <c r="D592" s="13" t="n">
        <v>590</v>
      </c>
      <c r="E592" s="14" t="n">
        <v>5.89421015010722</v>
      </c>
      <c r="F592" s="15" t="n">
        <v>1.346208784183603</v>
      </c>
      <c r="G592" s="16">
        <f>DEGREES(F592)</f>
        <v/>
      </c>
      <c r="H592" s="15" t="n">
        <v>6.28724530439451</v>
      </c>
      <c r="I592" s="16">
        <f>DEGREES(H592)</f>
        <v/>
      </c>
      <c r="J592" s="17" t="n">
        <v>-1.23173211845737</v>
      </c>
      <c r="K592" s="17" t="n">
        <v>1.122937713056468</v>
      </c>
      <c r="L592" s="18">
        <f>$B$5*$B$3*$B$6*SIN(F592)</f>
        <v/>
      </c>
      <c r="M592" s="18">
        <f>$B$9*K592*(SIN(F592))^2 + $B$8*($B$10+K592*COS(F592))*COS(F592)</f>
        <v/>
      </c>
      <c r="N592" s="18">
        <f>0.5*$B$9*(J592^2 + (K592*SIN(F592))^2) + 0.5*$B$8*($B$10 + K592*COS(F592))^2</f>
        <v/>
      </c>
      <c r="O592" s="18">
        <f>$B$3*$B$6*$B$5*COS(F592)</f>
        <v/>
      </c>
      <c r="P592" s="18">
        <f>N592+O592</f>
        <v/>
      </c>
      <c r="Q592" s="19">
        <f>ABS(P592-$P$3)</f>
        <v/>
      </c>
    </row>
    <row r="593">
      <c r="D593" s="6" t="n">
        <v>591</v>
      </c>
      <c r="E593" s="7" t="n">
        <v>5.90421729807005</v>
      </c>
      <c r="F593" s="8" t="n">
        <v>1.33389631094788</v>
      </c>
      <c r="G593" s="9">
        <f>DEGREES(F593)</f>
        <v/>
      </c>
      <c r="H593" s="8" t="n">
        <v>6.298790880826588</v>
      </c>
      <c r="I593" s="9">
        <f>DEGREES(H593)</f>
        <v/>
      </c>
      <c r="J593" s="10" t="n">
        <v>-1.228359578300533</v>
      </c>
      <c r="K593" s="10" t="n">
        <v>1.184500079235082</v>
      </c>
      <c r="L593" s="11">
        <f>$B$5*$B$3*$B$6*SIN(F593)</f>
        <v/>
      </c>
      <c r="M593" s="11">
        <f>$B$9*K593*(SIN(F593))^2 + $B$8*($B$10+K593*COS(F593))*COS(F593)</f>
        <v/>
      </c>
      <c r="N593" s="11">
        <f>0.5*$B$9*(J593^2 + (K593*SIN(F593))^2) + 0.5*$B$8*($B$10 + K593*COS(F593))^2</f>
        <v/>
      </c>
      <c r="O593" s="11">
        <f>$B$3*$B$6*$B$5*COS(F593)</f>
        <v/>
      </c>
      <c r="P593" s="11">
        <f>N593+O593</f>
        <v/>
      </c>
      <c r="Q593" s="12">
        <f>ABS(P593-$P$3)</f>
        <v/>
      </c>
    </row>
    <row r="594">
      <c r="D594" s="13" t="n">
        <v>592</v>
      </c>
      <c r="E594" s="14" t="n">
        <v>5.914224446032881</v>
      </c>
      <c r="F594" s="15" t="n">
        <v>1.321636898066672</v>
      </c>
      <c r="G594" s="16">
        <f>DEGREES(F594)</f>
        <v/>
      </c>
      <c r="H594" s="15" t="n">
        <v>6.310951354440274</v>
      </c>
      <c r="I594" s="16">
        <f>DEGREES(H594)</f>
        <v/>
      </c>
      <c r="J594" s="17" t="n">
        <v>-1.22113040302066</v>
      </c>
      <c r="K594" s="17" t="n">
        <v>1.245797143641125</v>
      </c>
      <c r="L594" s="18">
        <f>$B$5*$B$3*$B$6*SIN(F594)</f>
        <v/>
      </c>
      <c r="M594" s="18">
        <f>$B$9*K594*(SIN(F594))^2 + $B$8*($B$10+K594*COS(F594))*COS(F594)</f>
        <v/>
      </c>
      <c r="N594" s="18">
        <f>0.5*$B$9*(J594^2 + (K594*SIN(F594))^2) + 0.5*$B$8*($B$10 + K594*COS(F594))^2</f>
        <v/>
      </c>
      <c r="O594" s="18">
        <f>$B$3*$B$6*$B$5*COS(F594)</f>
        <v/>
      </c>
      <c r="P594" s="18">
        <f>N594+O594</f>
        <v/>
      </c>
      <c r="Q594" s="19">
        <f>ABS(P594-$P$3)</f>
        <v/>
      </c>
    </row>
    <row r="595">
      <c r="D595" s="6" t="n">
        <v>593</v>
      </c>
      <c r="E595" s="7" t="n">
        <v>5.924231593995712</v>
      </c>
      <c r="F595" s="8" t="n">
        <v>1.309469035965045</v>
      </c>
      <c r="G595" s="9">
        <f>DEGREES(F595)</f>
        <v/>
      </c>
      <c r="H595" s="8" t="n">
        <v>6.323723106425908</v>
      </c>
      <c r="I595" s="9">
        <f>DEGREES(H595)</f>
        <v/>
      </c>
      <c r="J595" s="10" t="n">
        <v>-1.210067289791924</v>
      </c>
      <c r="K595" s="10" t="n">
        <v>1.306636454149256</v>
      </c>
      <c r="L595" s="11">
        <f>$B$5*$B$3*$B$6*SIN(F595)</f>
        <v/>
      </c>
      <c r="M595" s="11">
        <f>$B$9*K595*(SIN(F595))^2 + $B$8*($B$10+K595*COS(F595))*COS(F595)</f>
        <v/>
      </c>
      <c r="N595" s="11">
        <f>0.5*$B$9*(J595^2 + (K595*SIN(F595))^2) + 0.5*$B$8*($B$10 + K595*COS(F595))^2</f>
        <v/>
      </c>
      <c r="O595" s="11">
        <f>$B$3*$B$6*$B$5*COS(F595)</f>
        <v/>
      </c>
      <c r="P595" s="11">
        <f>N595+O595</f>
        <v/>
      </c>
      <c r="Q595" s="12">
        <f>ABS(P595-$P$3)</f>
        <v/>
      </c>
    </row>
    <row r="596">
      <c r="D596" s="13" t="n">
        <v>594</v>
      </c>
      <c r="E596" s="14" t="n">
        <v>5.934238741958542</v>
      </c>
      <c r="F596" s="15" t="n">
        <v>1.297430927629474</v>
      </c>
      <c r="G596" s="16">
        <f>DEGREES(F596)</f>
        <v/>
      </c>
      <c r="H596" s="15" t="n">
        <v>6.337100598765744</v>
      </c>
      <c r="I596" s="16">
        <f>DEGREES(H596)</f>
        <v/>
      </c>
      <c r="J596" s="17" t="n">
        <v>-1.195204973061633</v>
      </c>
      <c r="K596" s="17" t="n">
        <v>1.366826995827112</v>
      </c>
      <c r="L596" s="18">
        <f>$B$5*$B$3*$B$6*SIN(F596)</f>
        <v/>
      </c>
      <c r="M596" s="18">
        <f>$B$9*K596*(SIN(F596))^2 + $B$8*($B$10+K596*COS(F596))*COS(F596)</f>
        <v/>
      </c>
      <c r="N596" s="18">
        <f>0.5*$B$9*(J596^2 + (K596*SIN(F596))^2) + 0.5*$B$8*($B$10 + K596*COS(F596))^2</f>
        <v/>
      </c>
      <c r="O596" s="18">
        <f>$B$3*$B$6*$B$5*COS(F596)</f>
        <v/>
      </c>
      <c r="P596" s="18">
        <f>N596+O596</f>
        <v/>
      </c>
      <c r="Q596" s="19">
        <f>ABS(P596-$P$3)</f>
        <v/>
      </c>
    </row>
    <row r="597">
      <c r="D597" s="6" t="n">
        <v>595</v>
      </c>
      <c r="E597" s="7" t="n">
        <v>5.944245889921373</v>
      </c>
      <c r="F597" s="8" t="n">
        <v>1.285560368663332</v>
      </c>
      <c r="G597" s="9">
        <f>DEGREES(F597)</f>
        <v/>
      </c>
      <c r="H597" s="8" t="n">
        <v>6.351076391621454</v>
      </c>
      <c r="I597" s="9">
        <f>DEGREES(H597)</f>
        <v/>
      </c>
      <c r="J597" s="10" t="n">
        <v>-1.176590115495773</v>
      </c>
      <c r="K597" s="10" t="n">
        <v>1.426179790657823</v>
      </c>
      <c r="L597" s="11">
        <f>$B$5*$B$3*$B$6*SIN(F597)</f>
        <v/>
      </c>
      <c r="M597" s="11">
        <f>$B$9*K597*(SIN(F597))^2 + $B$8*($B$10+K597*COS(F597))*COS(F597)</f>
        <v/>
      </c>
      <c r="N597" s="11">
        <f>0.5*$B$9*(J597^2 + (K597*SIN(F597))^2) + 0.5*$B$8*($B$10 + K597*COS(F597))^2</f>
        <v/>
      </c>
      <c r="O597" s="11">
        <f>$B$3*$B$6*$B$5*COS(F597)</f>
        <v/>
      </c>
      <c r="P597" s="11">
        <f>N597+O597</f>
        <v/>
      </c>
      <c r="Q597" s="12">
        <f>ABS(P597-$P$3)</f>
        <v/>
      </c>
    </row>
    <row r="598">
      <c r="D598" s="13" t="n">
        <v>596</v>
      </c>
      <c r="E598" s="14" t="n">
        <v>5.954253037884204</v>
      </c>
      <c r="F598" s="15" t="n">
        <v>1.273894628621436</v>
      </c>
      <c r="G598" s="16">
        <f>DEGREES(F598)</f>
        <v/>
      </c>
      <c r="H598" s="15" t="n">
        <v>6.36564116669272</v>
      </c>
      <c r="I598" s="16">
        <f>DEGREES(H598)</f>
        <v/>
      </c>
      <c r="J598" s="17" t="n">
        <v>-1.154281161473959</v>
      </c>
      <c r="K598" s="17" t="n">
        <v>1.484508490867303</v>
      </c>
      <c r="L598" s="18">
        <f>$B$5*$B$3*$B$6*SIN(F598)</f>
        <v/>
      </c>
      <c r="M598" s="18">
        <f>$B$9*K598*(SIN(F598))^2 + $B$8*($B$10+K598*COS(F598))*COS(F598)</f>
        <v/>
      </c>
      <c r="N598" s="18">
        <f>0.5*$B$9*(J598^2 + (K598*SIN(F598))^2) + 0.5*$B$8*($B$10 + K598*COS(F598))^2</f>
        <v/>
      </c>
      <c r="O598" s="18">
        <f>$B$3*$B$6*$B$5*COS(F598)</f>
        <v/>
      </c>
      <c r="P598" s="18">
        <f>N598+O598</f>
        <v/>
      </c>
      <c r="Q598" s="19">
        <f>ABS(P598-$P$3)</f>
        <v/>
      </c>
    </row>
    <row r="599">
      <c r="D599" s="6" t="n">
        <v>597</v>
      </c>
      <c r="E599" s="7" t="n">
        <v>5.964260185847034</v>
      </c>
      <c r="F599" s="8" t="n">
        <v>1.262470333996205</v>
      </c>
      <c r="G599" s="9">
        <f>DEGREES(F599)</f>
        <v/>
      </c>
      <c r="H599" s="8" t="n">
        <v>6.380783756473546</v>
      </c>
      <c r="I599" s="9">
        <f>DEGREES(H599)</f>
        <v/>
      </c>
      <c r="J599" s="10" t="n">
        <v>-1.12834815359378</v>
      </c>
      <c r="K599" s="10" t="n">
        <v>1.54162996399346</v>
      </c>
      <c r="L599" s="11">
        <f>$B$5*$B$3*$B$6*SIN(F599)</f>
        <v/>
      </c>
      <c r="M599" s="11">
        <f>$B$9*K599*(SIN(F599))^2 + $B$8*($B$10+K599*COS(F599))*COS(F599)</f>
        <v/>
      </c>
      <c r="N599" s="11">
        <f>0.5*$B$9*(J599^2 + (K599*SIN(F599))^2) + 0.5*$B$8*($B$10 + K599*COS(F599))^2</f>
        <v/>
      </c>
      <c r="O599" s="11">
        <f>$B$3*$B$6*$B$5*COS(F599)</f>
        <v/>
      </c>
      <c r="P599" s="11">
        <f>N599+O599</f>
        <v/>
      </c>
      <c r="Q599" s="12">
        <f>ABS(P599-$P$3)</f>
        <v/>
      </c>
    </row>
    <row r="600">
      <c r="D600" s="13" t="n">
        <v>598</v>
      </c>
      <c r="E600" s="14" t="n">
        <v>5.974267333809864</v>
      </c>
      <c r="F600" s="15" t="n">
        <v>1.251323353222816</v>
      </c>
      <c r="G600" s="16">
        <f>DEGREES(F600)</f>
        <v/>
      </c>
      <c r="H600" s="15" t="n">
        <v>6.396491179314471</v>
      </c>
      <c r="I600" s="16">
        <f>DEGREES(H600)</f>
        <v/>
      </c>
      <c r="J600" s="17" t="n">
        <v>-1.098872512760654</v>
      </c>
      <c r="K600" s="17" t="n">
        <v>1.597364867860404</v>
      </c>
      <c r="L600" s="18">
        <f>$B$5*$B$3*$B$6*SIN(F600)</f>
        <v/>
      </c>
      <c r="M600" s="18">
        <f>$B$9*K600*(SIN(F600))^2 + $B$8*($B$10+K600*COS(F600))*COS(F600)</f>
        <v/>
      </c>
      <c r="N600" s="18">
        <f>0.5*$B$9*(J600^2 + (K600*SIN(F600))^2) + 0.5*$B$8*($B$10 + K600*COS(F600))^2</f>
        <v/>
      </c>
      <c r="O600" s="18">
        <f>$B$3*$B$6*$B$5*COS(F600)</f>
        <v/>
      </c>
      <c r="P600" s="18">
        <f>N600+O600</f>
        <v/>
      </c>
      <c r="Q600" s="19">
        <f>ABS(P600-$P$3)</f>
        <v/>
      </c>
    </row>
    <row r="601">
      <c r="D601" s="6" t="n">
        <v>599</v>
      </c>
      <c r="E601" s="7" t="n">
        <v>5.984274481772696</v>
      </c>
      <c r="F601" s="8" t="n">
        <v>1.2404886840644</v>
      </c>
      <c r="G601" s="9">
        <f>DEGREES(F601)</f>
        <v/>
      </c>
      <c r="H601" s="8" t="n">
        <v>6.412748680180579</v>
      </c>
      <c r="I601" s="9">
        <f>DEGREES(H601)</f>
        <v/>
      </c>
      <c r="J601" s="10" t="n">
        <v>-1.065946782553597</v>
      </c>
      <c r="K601" s="10" t="n">
        <v>1.651538213652481</v>
      </c>
      <c r="L601" s="11">
        <f>$B$5*$B$3*$B$6*SIN(F601)</f>
        <v/>
      </c>
      <c r="M601" s="11">
        <f>$B$9*K601*(SIN(F601))^2 + $B$8*($B$10+K601*COS(F601))*COS(F601)</f>
        <v/>
      </c>
      <c r="N601" s="11">
        <f>0.5*$B$9*(J601^2 + (K601*SIN(F601))^2) + 0.5*$B$8*($B$10 + K601*COS(F601))^2</f>
        <v/>
      </c>
      <c r="O601" s="11">
        <f>$B$3*$B$6*$B$5*COS(F601)</f>
        <v/>
      </c>
      <c r="P601" s="11">
        <f>N601+O601</f>
        <v/>
      </c>
      <c r="Q601" s="12">
        <f>ABS(P601-$P$3)</f>
        <v/>
      </c>
    </row>
    <row r="602">
      <c r="D602" s="13" t="n">
        <v>600</v>
      </c>
      <c r="E602" s="14" t="n">
        <v>5.994281629735526</v>
      </c>
      <c r="F602" s="15" t="n">
        <v>1.230000343730877</v>
      </c>
      <c r="G602" s="16">
        <f>DEGREES(F602)</f>
        <v/>
      </c>
      <c r="H602" s="15" t="n">
        <v>6.429539776977315</v>
      </c>
      <c r="I602" s="16">
        <f>DEGREES(H602)</f>
        <v/>
      </c>
      <c r="J602" s="17" t="n">
        <v>-1.029674338669622</v>
      </c>
      <c r="K602" s="17" t="n">
        <v>1.703979915320099</v>
      </c>
      <c r="L602" s="18">
        <f>$B$5*$B$3*$B$6*SIN(F602)</f>
        <v/>
      </c>
      <c r="M602" s="18">
        <f>$B$9*K602*(SIN(F602))^2 + $B$8*($B$10+K602*COS(F602))*COS(F602)</f>
        <v/>
      </c>
      <c r="N602" s="18">
        <f>0.5*$B$9*(J602^2 + (K602*SIN(F602))^2) + 0.5*$B$8*($B$10 + K602*COS(F602))^2</f>
        <v/>
      </c>
      <c r="O602" s="18">
        <f>$B$3*$B$6*$B$5*COS(F602)</f>
        <v/>
      </c>
      <c r="P602" s="18">
        <f>N602+O602</f>
        <v/>
      </c>
      <c r="Q602" s="19">
        <f>ABS(P602-$P$3)</f>
        <v/>
      </c>
    </row>
    <row r="603">
      <c r="D603" s="6" t="n">
        <v>601</v>
      </c>
      <c r="E603" s="7" t="n">
        <v>6.004288777698356</v>
      </c>
      <c r="F603" s="8" t="n">
        <v>1.219891262076354</v>
      </c>
      <c r="G603" s="9">
        <f>DEGREES(F603)</f>
        <v/>
      </c>
      <c r="H603" s="8" t="n">
        <v>6.446846312298737</v>
      </c>
      <c r="I603" s="9">
        <f>DEGREES(H603)</f>
        <v/>
      </c>
      <c r="J603" s="10" t="n">
        <v>-0.9901690643588258</v>
      </c>
      <c r="K603" s="10" t="n">
        <v>1.754525323592713</v>
      </c>
      <c r="L603" s="11">
        <f>$B$5*$B$3*$B$6*SIN(F603)</f>
        <v/>
      </c>
      <c r="M603" s="11">
        <f>$B$9*K603*(SIN(F603))^2 + $B$8*($B$10+K603*COS(F603))*COS(F603)</f>
        <v/>
      </c>
      <c r="N603" s="11">
        <f>0.5*$B$9*(J603^2 + (K603*SIN(F603))^2) + 0.5*$B$8*($B$10 + K603*COS(F603))^2</f>
        <v/>
      </c>
      <c r="O603" s="11">
        <f>$B$3*$B$6*$B$5*COS(F603)</f>
        <v/>
      </c>
      <c r="P603" s="11">
        <f>N603+O603</f>
        <v/>
      </c>
      <c r="Q603" s="12">
        <f>ABS(P603-$P$3)</f>
        <v/>
      </c>
    </row>
    <row r="604">
      <c r="D604" s="13" t="n">
        <v>602</v>
      </c>
      <c r="E604" s="14" t="n">
        <v>6.014295925661187</v>
      </c>
      <c r="F604" s="15" t="n">
        <v>1.210193178210504</v>
      </c>
      <c r="G604" s="16">
        <f>DEGREES(F604)</f>
        <v/>
      </c>
      <c r="H604" s="15" t="n">
        <v>6.464648510435627</v>
      </c>
      <c r="I604" s="16">
        <f>DEGREES(H604)</f>
        <v/>
      </c>
      <c r="J604" s="17" t="n">
        <v>-0.9475549928694117</v>
      </c>
      <c r="K604" s="17" t="n">
        <v>1.803015742921961</v>
      </c>
      <c r="L604" s="18">
        <f>$B$5*$B$3*$B$6*SIN(F604)</f>
        <v/>
      </c>
      <c r="M604" s="18">
        <f>$B$9*K604*(SIN(F604))^2 + $B$8*($B$10+K604*COS(F604))*COS(F604)</f>
        <v/>
      </c>
      <c r="N604" s="18">
        <f>0.5*$B$9*(J604^2 + (K604*SIN(F604))^2) + 0.5*$B$8*($B$10 + K604*COS(F604))^2</f>
        <v/>
      </c>
      <c r="O604" s="18">
        <f>$B$3*$B$6*$B$5*COS(F604)</f>
        <v/>
      </c>
      <c r="P604" s="18">
        <f>N604+O604</f>
        <v/>
      </c>
      <c r="Q604" s="19">
        <f>ABS(P604-$P$3)</f>
        <v/>
      </c>
    </row>
    <row r="605">
      <c r="D605" s="6" t="n">
        <v>603</v>
      </c>
      <c r="E605" s="7" t="n">
        <v>6.024303073624018</v>
      </c>
      <c r="F605" s="8" t="n">
        <v>1.200936540848446</v>
      </c>
      <c r="G605" s="9">
        <f>DEGREES(F605)</f>
        <v/>
      </c>
      <c r="H605" s="8" t="n">
        <v>6.482925039464567</v>
      </c>
      <c r="I605" s="9">
        <f>DEGREES(H605)</f>
        <v/>
      </c>
      <c r="J605" s="10" t="n">
        <v>-0.9019659180250651</v>
      </c>
      <c r="K605" s="10" t="n">
        <v>1.849298929732251</v>
      </c>
      <c r="L605" s="11">
        <f>$B$5*$B$3*$B$6*SIN(F605)</f>
        <v/>
      </c>
      <c r="M605" s="11">
        <f>$B$9*K605*(SIN(F605))^2 + $B$8*($B$10+K605*COS(F605))*COS(F605)</f>
        <v/>
      </c>
      <c r="N605" s="11">
        <f>0.5*$B$9*(J605^2 + (K605*SIN(F605))^2) + 0.5*$B$8*($B$10 + K605*COS(F605))^2</f>
        <v/>
      </c>
      <c r="O605" s="11">
        <f>$B$3*$B$6*$B$5*COS(F605)</f>
        <v/>
      </c>
      <c r="P605" s="11">
        <f>N605+O605</f>
        <v/>
      </c>
      <c r="Q605" s="12">
        <f>ABS(P605-$P$3)</f>
        <v/>
      </c>
    </row>
    <row r="606">
      <c r="D606" s="13" t="n">
        <v>604</v>
      </c>
      <c r="E606" s="14" t="n">
        <v>6.034310221586848</v>
      </c>
      <c r="F606" s="15" t="n">
        <v>1.192150412712043</v>
      </c>
      <c r="G606" s="16">
        <f>DEGREES(F606)</f>
        <v/>
      </c>
      <c r="H606" s="15" t="n">
        <v>6.501653078222982</v>
      </c>
      <c r="I606" s="16">
        <f>DEGREES(H606)</f>
        <v/>
      </c>
      <c r="J606" s="17" t="n">
        <v>-0.8535449741574402</v>
      </c>
      <c r="K606" s="17" t="n">
        <v>1.893229570414268</v>
      </c>
      <c r="L606" s="18">
        <f>$B$5*$B$3*$B$6*SIN(F606)</f>
        <v/>
      </c>
      <c r="M606" s="18">
        <f>$B$9*K606*(SIN(F606))^2 + $B$8*($B$10+K606*COS(F606))*COS(F606)</f>
        <v/>
      </c>
      <c r="N606" s="18">
        <f>0.5*$B$9*(J606^2 + (K606*SIN(F606))^2) + 0.5*$B$8*($B$10 + K606*COS(F606))^2</f>
        <v/>
      </c>
      <c r="O606" s="18">
        <f>$B$3*$B$6*$B$5*COS(F606)</f>
        <v/>
      </c>
      <c r="P606" s="18">
        <f>N606+O606</f>
        <v/>
      </c>
      <c r="Q606" s="19">
        <f>ABS(P606-$P$3)</f>
        <v/>
      </c>
    </row>
    <row r="607">
      <c r="D607" s="6" t="n">
        <v>605</v>
      </c>
      <c r="E607" s="7" t="n">
        <v>6.044317369549678</v>
      </c>
      <c r="F607" s="8" t="n">
        <v>1.183862379282749</v>
      </c>
      <c r="G607" s="9">
        <f>DEGREES(F607)</f>
        <v/>
      </c>
      <c r="H607" s="8" t="n">
        <v>6.520808387959908</v>
      </c>
      <c r="I607" s="9">
        <f>DEGREES(H607)</f>
        <v/>
      </c>
      <c r="J607" s="10" t="n">
        <v>-0.8024441867125951</v>
      </c>
      <c r="K607" s="10" t="n">
        <v>1.93466973756074</v>
      </c>
      <c r="L607" s="11">
        <f>$B$5*$B$3*$B$6*SIN(F607)</f>
        <v/>
      </c>
      <c r="M607" s="11">
        <f>$B$9*K607*(SIN(F607))^2 + $B$8*($B$10+K607*COS(F607))*COS(F607)</f>
        <v/>
      </c>
      <c r="N607" s="11">
        <f>0.5*$B$9*(J607^2 + (K607*SIN(F607))^2) + 0.5*$B$8*($B$10 + K607*COS(F607))^2</f>
        <v/>
      </c>
      <c r="O607" s="11">
        <f>$B$3*$B$6*$B$5*COS(F607)</f>
        <v/>
      </c>
      <c r="P607" s="11">
        <f>N607+O607</f>
        <v/>
      </c>
      <c r="Q607" s="12">
        <f>ABS(P607-$P$3)</f>
        <v/>
      </c>
    </row>
    <row r="608">
      <c r="D608" s="13" t="n">
        <v>606</v>
      </c>
      <c r="E608" s="14" t="n">
        <v>6.05432451751251</v>
      </c>
      <c r="F608" s="15" t="n">
        <v>1.176098462192493</v>
      </c>
      <c r="G608" s="16">
        <f>DEGREES(F608)</f>
        <v/>
      </c>
      <c r="H608" s="15" t="n">
        <v>6.540365388437499</v>
      </c>
      <c r="I608" s="16">
        <f>DEGREES(H608)</f>
        <v/>
      </c>
      <c r="J608" s="17" t="n">
        <v>-0.748823994942322</v>
      </c>
      <c r="K608" s="17" t="n">
        <v>1.973489323012018</v>
      </c>
      <c r="L608" s="18">
        <f>$B$5*$B$3*$B$6*SIN(F608)</f>
        <v/>
      </c>
      <c r="M608" s="18">
        <f>$B$9*K608*(SIN(F608))^2 + $B$8*($B$10+K608*COS(F608))*COS(F608)</f>
        <v/>
      </c>
      <c r="N608" s="18">
        <f>0.5*$B$9*(J608^2 + (K608*SIN(F608))^2) + 0.5*$B$8*($B$10 + K608*COS(F608))^2</f>
        <v/>
      </c>
      <c r="O608" s="18">
        <f>$B$3*$B$6*$B$5*COS(F608)</f>
        <v/>
      </c>
      <c r="P608" s="18">
        <f>N608+O608</f>
        <v/>
      </c>
      <c r="Q608" s="19">
        <f>ABS(P608-$P$3)</f>
        <v/>
      </c>
    </row>
    <row r="609">
      <c r="D609" s="6" t="n">
        <v>607</v>
      </c>
      <c r="E609" s="7" t="n">
        <v>6.06433166547534</v>
      </c>
      <c r="F609" s="8" t="n">
        <v>1.168883037524527</v>
      </c>
      <c r="G609" s="9">
        <f>DEGREES(F609)</f>
        <v/>
      </c>
      <c r="H609" s="8" t="n">
        <v>6.560297238244341</v>
      </c>
      <c r="I609" s="9">
        <f>DEGREES(H609)</f>
        <v/>
      </c>
      <c r="J609" s="10" t="n">
        <v>-0.6928527481789648</v>
      </c>
      <c r="K609" s="10" t="n">
        <v>2.009566446351847</v>
      </c>
      <c r="L609" s="11">
        <f>$B$5*$B$3*$B$6*SIN(F609)</f>
        <v/>
      </c>
      <c r="M609" s="11">
        <f>$B$9*K609*(SIN(F609))^2 + $B$8*($B$10+K609*COS(F609))*COS(F609)</f>
        <v/>
      </c>
      <c r="N609" s="11">
        <f>0.5*$B$9*(J609^2 + (K609*SIN(F609))^2) + 0.5*$B$8*($B$10 + K609*COS(F609))^2</f>
        <v/>
      </c>
      <c r="O609" s="11">
        <f>$B$3*$B$6*$B$5*COS(F609)</f>
        <v/>
      </c>
      <c r="P609" s="11">
        <f>N609+O609</f>
        <v/>
      </c>
      <c r="Q609" s="12">
        <f>ABS(P609-$P$3)</f>
        <v/>
      </c>
    </row>
    <row r="610">
      <c r="D610" s="13" t="n">
        <v>608</v>
      </c>
      <c r="E610" s="14" t="n">
        <v>6.07433881343817</v>
      </c>
      <c r="F610" s="15" t="n">
        <v>1.162238759280737</v>
      </c>
      <c r="G610" s="16">
        <f>DEGREES(F610)</f>
        <v/>
      </c>
      <c r="H610" s="15" t="n">
        <v>6.580575919068458</v>
      </c>
      <c r="I610" s="16">
        <f>DEGREES(H610)</f>
        <v/>
      </c>
      <c r="J610" s="17" t="n">
        <v>-0.6347061772752559</v>
      </c>
      <c r="K610" s="17" t="n">
        <v>2.042787837570798</v>
      </c>
      <c r="L610" s="18">
        <f>$B$5*$B$3*$B$6*SIN(F610)</f>
        <v/>
      </c>
      <c r="M610" s="18">
        <f>$B$9*K610*(SIN(F610))^2 + $B$8*($B$10+K610*COS(F610))*COS(F610)</f>
        <v/>
      </c>
      <c r="N610" s="18">
        <f>0.5*$B$9*(J610^2 + (K610*SIN(F610))^2) + 0.5*$B$8*($B$10 + K610*COS(F610))^2</f>
        <v/>
      </c>
      <c r="O610" s="18">
        <f>$B$3*$B$6*$B$5*COS(F610)</f>
        <v/>
      </c>
      <c r="P610" s="18">
        <f>N610+O610</f>
        <v/>
      </c>
      <c r="Q610" s="19">
        <f>ABS(P610-$P$3)</f>
        <v/>
      </c>
    </row>
    <row r="611">
      <c r="D611" s="6" t="n">
        <v>609</v>
      </c>
      <c r="E611" s="7" t="n">
        <v>6.084345961401001</v>
      </c>
      <c r="F611" s="8" t="n">
        <v>1.156186488255707</v>
      </c>
      <c r="G611" s="9">
        <f>DEGREES(F611)</f>
        <v/>
      </c>
      <c r="H611" s="8" t="n">
        <v>6.601172323665365</v>
      </c>
      <c r="I611" s="9">
        <f>DEGREES(H611)</f>
        <v/>
      </c>
      <c r="J611" s="10" t="n">
        <v>-0.574566842868622</v>
      </c>
      <c r="K611" s="10" t="n">
        <v>2.073049192695949</v>
      </c>
      <c r="L611" s="11">
        <f>$B$5*$B$3*$B$6*SIN(F611)</f>
        <v/>
      </c>
      <c r="M611" s="11">
        <f>$B$9*K611*(SIN(F611))^2 + $B$8*($B$10+K611*COS(F611))*COS(F611)</f>
        <v/>
      </c>
      <c r="N611" s="11">
        <f>0.5*$B$9*(J611^2 + (K611*SIN(F611))^2) + 0.5*$B$8*($B$10 + K611*COS(F611))^2</f>
        <v/>
      </c>
      <c r="O611" s="11">
        <f>$B$3*$B$6*$B$5*COS(F611)</f>
        <v/>
      </c>
      <c r="P611" s="11">
        <f>N611+O611</f>
        <v/>
      </c>
      <c r="Q611" s="12">
        <f>ABS(P611-$P$3)</f>
        <v/>
      </c>
    </row>
    <row r="612">
      <c r="D612" s="13" t="n">
        <v>610</v>
      </c>
      <c r="E612" s="14" t="n">
        <v>6.094353109363832</v>
      </c>
      <c r="F612" s="15" t="n">
        <v>1.150745226540865</v>
      </c>
      <c r="G612" s="16">
        <f>DEGREES(F612)</f>
        <v/>
      </c>
      <c r="H612" s="15" t="n">
        <v>6.622056347244988</v>
      </c>
      <c r="I612" s="16">
        <f>DEGREES(H612)</f>
        <v/>
      </c>
      <c r="J612" s="17" t="n">
        <v>-0.5126235622023878</v>
      </c>
      <c r="K612" s="17" t="n">
        <v>2.100255501270159</v>
      </c>
      <c r="L612" s="18">
        <f>$B$5*$B$3*$B$6*SIN(F612)</f>
        <v/>
      </c>
      <c r="M612" s="18">
        <f>$B$9*K612*(SIN(F612))^2 + $B$8*($B$10+K612*COS(F612))*COS(F612)</f>
        <v/>
      </c>
      <c r="N612" s="18">
        <f>0.5*$B$9*(J612^2 + (K612*SIN(F612))^2) + 0.5*$B$8*($B$10 + K612*COS(F612))^2</f>
        <v/>
      </c>
      <c r="O612" s="18">
        <f>$B$3*$B$6*$B$5*COS(F612)</f>
        <v/>
      </c>
      <c r="P612" s="18">
        <f>N612+O612</f>
        <v/>
      </c>
      <c r="Q612" s="19">
        <f>ABS(P612-$P$3)</f>
        <v/>
      </c>
    </row>
    <row r="613">
      <c r="D613" s="6" t="n">
        <v>611</v>
      </c>
      <c r="E613" s="7" t="n">
        <v>6.104360257326662</v>
      </c>
      <c r="F613" s="8" t="n">
        <v>1.145932057864307</v>
      </c>
      <c r="G613" s="9">
        <f>DEGREES(F613)</f>
        <v/>
      </c>
      <c r="H613" s="8" t="n">
        <v>6.643196981990585</v>
      </c>
      <c r="I613" s="9">
        <f>DEGREES(H613)</f>
        <v/>
      </c>
      <c r="J613" s="10" t="n">
        <v>-0.4490708163031555</v>
      </c>
      <c r="K613" s="10" t="n">
        <v>2.124321344652947</v>
      </c>
      <c r="L613" s="11">
        <f>$B$5*$B$3*$B$6*SIN(F613)</f>
        <v/>
      </c>
      <c r="M613" s="11">
        <f>$B$9*K613*(SIN(F613))^2 + $B$8*($B$10+K613*COS(F613))*COS(F613)</f>
        <v/>
      </c>
      <c r="N613" s="11">
        <f>0.5*$B$9*(J613^2 + (K613*SIN(F613))^2) + 0.5*$B$8*($B$10 + K613*COS(F613))^2</f>
        <v/>
      </c>
      <c r="O613" s="11">
        <f>$B$3*$B$6*$B$5*COS(F613)</f>
        <v/>
      </c>
      <c r="P613" s="11">
        <f>N613+O613</f>
        <v/>
      </c>
      <c r="Q613" s="12">
        <f>ABS(P613-$P$3)</f>
        <v/>
      </c>
    </row>
    <row r="614">
      <c r="D614" s="13" t="n">
        <v>612</v>
      </c>
      <c r="E614" s="14" t="n">
        <v>6.114367405289493</v>
      </c>
      <c r="F614" s="15" t="n">
        <v>1.141762093953658</v>
      </c>
      <c r="G614" s="16">
        <f>DEGREES(F614)</f>
        <v/>
      </c>
      <c r="H614" s="15" t="n">
        <v>6.664562414412831</v>
      </c>
      <c r="I614" s="16">
        <f>DEGREES(H614)</f>
        <v/>
      </c>
      <c r="J614" s="17" t="n">
        <v>-0.3841081393759981</v>
      </c>
      <c r="K614" s="17" t="n">
        <v>2.145171164206193</v>
      </c>
      <c r="L614" s="18">
        <f>$B$5*$B$3*$B$6*SIN(F614)</f>
        <v/>
      </c>
      <c r="M614" s="18">
        <f>$B$9*K614*(SIN(F614))^2 + $B$8*($B$10+K614*COS(F614))*COS(F614)</f>
        <v/>
      </c>
      <c r="N614" s="18">
        <f>0.5*$B$9*(J614^2 + (K614*SIN(F614))^2) + 0.5*$B$8*($B$10 + K614*COS(F614))^2</f>
        <v/>
      </c>
      <c r="O614" s="18">
        <f>$B$3*$B$6*$B$5*COS(F614)</f>
        <v/>
      </c>
      <c r="P614" s="18">
        <f>N614+O614</f>
        <v/>
      </c>
      <c r="Q614" s="19">
        <f>ABS(P614-$P$3)</f>
        <v/>
      </c>
    </row>
    <row r="615">
      <c r="D615" s="6" t="n">
        <v>613</v>
      </c>
      <c r="E615" s="7" t="n">
        <v>6.124374553252323</v>
      </c>
      <c r="F615" s="8" t="n">
        <v>1.138248427090335</v>
      </c>
      <c r="G615" s="9">
        <f>DEGREES(F615)</f>
        <v/>
      </c>
      <c r="H615" s="8" t="n">
        <v>6.686120125233439</v>
      </c>
      <c r="I615" s="9">
        <f>DEGREES(H615)</f>
        <v/>
      </c>
      <c r="J615" s="10" t="n">
        <v>-0.3179394923342995</v>
      </c>
      <c r="K615" s="10" t="n">
        <v>2.162739498522809</v>
      </c>
      <c r="L615" s="11">
        <f>$B$5*$B$3*$B$6*SIN(F615)</f>
        <v/>
      </c>
      <c r="M615" s="11">
        <f>$B$9*K615*(SIN(F615))^2 + $B$8*($B$10+K615*COS(F615))*COS(F615)</f>
        <v/>
      </c>
      <c r="N615" s="11">
        <f>0.5*$B$9*(J615^2 + (K615*SIN(F615))^2) + 0.5*$B$8*($B$10 + K615*COS(F615))^2</f>
        <v/>
      </c>
      <c r="O615" s="11">
        <f>$B$3*$B$6*$B$5*COS(F615)</f>
        <v/>
      </c>
      <c r="P615" s="11">
        <f>N615+O615</f>
        <v/>
      </c>
      <c r="Q615" s="12">
        <f>ABS(P615-$P$3)</f>
        <v/>
      </c>
    </row>
    <row r="616">
      <c r="D616" s="13" t="n">
        <v>614</v>
      </c>
      <c r="E616" s="14" t="n">
        <v>6.134381701215154</v>
      </c>
      <c r="F616" s="15" t="n">
        <v>1.135402089004194</v>
      </c>
      <c r="G616" s="16">
        <f>DEGREES(F616)</f>
        <v/>
      </c>
      <c r="H616" s="15" t="n">
        <v>6.707836991484766</v>
      </c>
      <c r="I616" s="16">
        <f>DEGREES(H616)</f>
        <v/>
      </c>
      <c r="J616" s="17" t="n">
        <v>-0.250772622431146</v>
      </c>
      <c r="K616" s="17" t="n">
        <v>2.176971188953512</v>
      </c>
      <c r="L616" s="18">
        <f>$B$5*$B$3*$B$6*SIN(F616)</f>
        <v/>
      </c>
      <c r="M616" s="18">
        <f>$B$9*K616*(SIN(F616))^2 + $B$8*($B$10+K616*COS(F616))*COS(F616)</f>
        <v/>
      </c>
      <c r="N616" s="18">
        <f>0.5*$B$9*(J616^2 + (K616*SIN(F616))^2) + 0.5*$B$8*($B$10 + K616*COS(F616))^2</f>
        <v/>
      </c>
      <c r="O616" s="18">
        <f>$B$3*$B$6*$B$5*COS(F616)</f>
        <v/>
      </c>
      <c r="P616" s="18">
        <f>N616+O616</f>
        <v/>
      </c>
      <c r="Q616" s="19">
        <f>ABS(P616-$P$3)</f>
        <v/>
      </c>
    </row>
    <row r="617">
      <c r="D617" s="6" t="n">
        <v>615</v>
      </c>
      <c r="E617" s="7" t="n">
        <v>6.144388849177985</v>
      </c>
      <c r="F617" s="8" t="n">
        <v>1.133232016237621</v>
      </c>
      <c r="G617" s="9">
        <f>DEGREES(F617)</f>
        <v/>
      </c>
      <c r="H617" s="8" t="n">
        <v>6.729679390504738</v>
      </c>
      <c r="I617" s="9">
        <f>DEGREES(H617)</f>
        <v/>
      </c>
      <c r="J617" s="10" t="n">
        <v>-0.1828184110030445</v>
      </c>
      <c r="K617" s="10" t="n">
        <v>2.18782155278638</v>
      </c>
      <c r="L617" s="11">
        <f>$B$5*$B$3*$B$6*SIN(F617)</f>
        <v/>
      </c>
      <c r="M617" s="11">
        <f>$B$9*K617*(SIN(F617))^2 + $B$8*($B$10+K617*COS(F617))*COS(F617)</f>
        <v/>
      </c>
      <c r="N617" s="11">
        <f>0.5*$B$9*(J617^2 + (K617*SIN(F617))^2) + 0.5*$B$8*($B$10 + K617*COS(F617))^2</f>
        <v/>
      </c>
      <c r="O617" s="11">
        <f>$B$3*$B$6*$B$5*COS(F617)</f>
        <v/>
      </c>
      <c r="P617" s="11">
        <f>N617+O617</f>
        <v/>
      </c>
      <c r="Q617" s="12">
        <f>ABS(P617-$P$3)</f>
        <v/>
      </c>
    </row>
    <row r="618">
      <c r="D618" s="13" t="n">
        <v>616</v>
      </c>
      <c r="E618" s="14" t="n">
        <v>6.154395997140815</v>
      </c>
      <c r="F618" s="15" t="n">
        <v>1.131745022087795</v>
      </c>
      <c r="G618" s="16">
        <f>DEGREES(F618)</f>
        <v/>
      </c>
      <c r="H618" s="15" t="n">
        <v>6.751613305500697</v>
      </c>
      <c r="I618" s="16">
        <f>DEGREES(H618)</f>
        <v/>
      </c>
      <c r="J618" s="17" t="n">
        <v>-0.1142902113735506</v>
      </c>
      <c r="K618" s="17" t="n">
        <v>2.19525652353551</v>
      </c>
      <c r="L618" s="18">
        <f>$B$5*$B$3*$B$6*SIN(F618)</f>
        <v/>
      </c>
      <c r="M618" s="18">
        <f>$B$9*K618*(SIN(F618))^2 + $B$8*($B$10+K618*COS(F618))*COS(F618)</f>
        <v/>
      </c>
      <c r="N618" s="18">
        <f>0.5*$B$9*(J618^2 + (K618*SIN(F618))^2) + 0.5*$B$8*($B$10 + K618*COS(F618))^2</f>
        <v/>
      </c>
      <c r="O618" s="18">
        <f>$B$3*$B$6*$B$5*COS(F618)</f>
        <v/>
      </c>
      <c r="P618" s="18">
        <f>N618+O618</f>
        <v/>
      </c>
      <c r="Q618" s="19">
        <f>ABS(P618-$P$3)</f>
        <v/>
      </c>
    </row>
    <row r="619">
      <c r="D619" s="6" t="n">
        <v>617</v>
      </c>
      <c r="E619" s="7" t="n">
        <v>6.164403145103646</v>
      </c>
      <c r="F619" s="8" t="n">
        <v>1.130945775215235</v>
      </c>
      <c r="G619" s="9">
        <f>DEGREES(F619)</f>
        <v/>
      </c>
      <c r="H619" s="8" t="n">
        <v>6.773604432350659</v>
      </c>
      <c r="I619" s="9">
        <f>DEGREES(H619)</f>
        <v/>
      </c>
      <c r="J619" s="10" t="n">
        <v>-0.04540317899574028</v>
      </c>
      <c r="K619" s="10" t="n">
        <v>2.199252757898308</v>
      </c>
      <c r="L619" s="11">
        <f>$B$5*$B$3*$B$6*SIN(F619)</f>
        <v/>
      </c>
      <c r="M619" s="11">
        <f>$B$9*K619*(SIN(F619))^2 + $B$8*($B$10+K619*COS(F619))*COS(F619)</f>
        <v/>
      </c>
      <c r="N619" s="11">
        <f>0.5*$B$9*(J619^2 + (K619*SIN(F619))^2) + 0.5*$B$8*($B$10 + K619*COS(F619))^2</f>
        <v/>
      </c>
      <c r="O619" s="11">
        <f>$B$3*$B$6*$B$5*COS(F619)</f>
        <v/>
      </c>
      <c r="P619" s="11">
        <f>N619+O619</f>
        <v/>
      </c>
      <c r="Q619" s="12">
        <f>ABS(P619-$P$3)</f>
        <v/>
      </c>
    </row>
    <row r="620">
      <c r="D620" s="13" t="n">
        <v>618</v>
      </c>
      <c r="E620" s="14" t="n">
        <v>6.174410293066477</v>
      </c>
      <c r="F620" s="15" t="n">
        <v>1.130836784985778</v>
      </c>
      <c r="G620" s="16">
        <f>DEGREES(F620)</f>
        <v/>
      </c>
      <c r="H620" s="15" t="n">
        <v>6.795618287306704</v>
      </c>
      <c r="I620" s="16">
        <f>DEGREES(H620)</f>
        <v/>
      </c>
      <c r="J620" s="17" t="n">
        <v>0.02362640406340609</v>
      </c>
      <c r="K620" s="17" t="n">
        <v>2.199797709045592</v>
      </c>
      <c r="L620" s="18">
        <f>$B$5*$B$3*$B$6*SIN(F620)</f>
        <v/>
      </c>
      <c r="M620" s="18">
        <f>$B$9*K620*(SIN(F620))^2 + $B$8*($B$10+K620*COS(F620))*COS(F620)</f>
        <v/>
      </c>
      <c r="N620" s="18">
        <f>0.5*$B$9*(J620^2 + (K620*SIN(F620))^2) + 0.5*$B$8*($B$10 + K620*COS(F620))^2</f>
        <v/>
      </c>
      <c r="O620" s="18">
        <f>$B$3*$B$6*$B$5*COS(F620)</f>
        <v/>
      </c>
      <c r="P620" s="18">
        <f>N620+O620</f>
        <v/>
      </c>
      <c r="Q620" s="19">
        <f>ABS(P620-$P$3)</f>
        <v/>
      </c>
    </row>
    <row r="621">
      <c r="D621" s="6" t="n">
        <v>619</v>
      </c>
      <c r="E621" s="7" t="n">
        <v>6.184417441029307</v>
      </c>
      <c r="F621" s="8" t="n">
        <v>1.131418393592015</v>
      </c>
      <c r="G621" s="9">
        <f>DEGREES(F621)</f>
        <v/>
      </c>
      <c r="H621" s="8" t="n">
        <v>6.817620315262309</v>
      </c>
      <c r="I621" s="9">
        <f>DEGREES(H621)</f>
        <v/>
      </c>
      <c r="J621" s="10" t="n">
        <v>0.09258180817580787</v>
      </c>
      <c r="K621" s="10" t="n">
        <v>2.196889666014408</v>
      </c>
      <c r="L621" s="11">
        <f>$B$5*$B$3*$B$6*SIN(F621)</f>
        <v/>
      </c>
      <c r="M621" s="11">
        <f>$B$9*K621*(SIN(F621))^2 + $B$8*($B$10+K621*COS(F621))*COS(F621)</f>
        <v/>
      </c>
      <c r="N621" s="11">
        <f>0.5*$B$9*(J621^2 + (K621*SIN(F621))^2) + 0.5*$B$8*($B$10 + K621*COS(F621))^2</f>
        <v/>
      </c>
      <c r="O621" s="11">
        <f>$B$3*$B$6*$B$5*COS(F621)</f>
        <v/>
      </c>
      <c r="P621" s="11">
        <f>N621+O621</f>
        <v/>
      </c>
      <c r="Q621" s="12">
        <f>ABS(P621-$P$3)</f>
        <v/>
      </c>
    </row>
    <row r="622">
      <c r="D622" s="13" t="n">
        <v>620</v>
      </c>
      <c r="E622" s="14" t="n">
        <v>6.194424588992137</v>
      </c>
      <c r="F622" s="15" t="n">
        <v>1.132688774978922</v>
      </c>
      <c r="G622" s="16">
        <f>DEGREES(F622)</f>
        <v/>
      </c>
      <c r="H622" s="15" t="n">
        <v>6.839575998243756</v>
      </c>
      <c r="I622" s="16">
        <f>DEGREES(H622)</f>
        <v/>
      </c>
      <c r="J622" s="17" t="n">
        <v>0.1612465366102792</v>
      </c>
      <c r="K622" s="17" t="n">
        <v>2.190537759079871</v>
      </c>
      <c r="L622" s="18">
        <f>$B$5*$B$3*$B$6*SIN(F622)</f>
        <v/>
      </c>
      <c r="M622" s="18">
        <f>$B$9*K622*(SIN(F622))^2 + $B$8*($B$10+K622*COS(F622))*COS(F622)</f>
        <v/>
      </c>
      <c r="N622" s="18">
        <f>0.5*$B$9*(J622^2 + (K622*SIN(F622))^2) + 0.5*$B$8*($B$10 + K622*COS(F622))^2</f>
        <v/>
      </c>
      <c r="O622" s="18">
        <f>$B$3*$B$6*$B$5*COS(F622)</f>
        <v/>
      </c>
      <c r="P622" s="18">
        <f>N622+O622</f>
        <v/>
      </c>
      <c r="Q622" s="19">
        <f>ABS(P622-$P$3)</f>
        <v/>
      </c>
    </row>
    <row r="623">
      <c r="D623" s="6" t="n">
        <v>621</v>
      </c>
      <c r="E623" s="7" t="n">
        <v>6.204431736954969</v>
      </c>
      <c r="F623" s="8" t="n">
        <v>1.134643940577059</v>
      </c>
      <c r="G623" s="9">
        <f>DEGREES(F623)</f>
        <v/>
      </c>
      <c r="H623" s="8" t="n">
        <v>6.861450963784923</v>
      </c>
      <c r="I623" s="9">
        <f>DEGREES(H623)</f>
        <v/>
      </c>
      <c r="J623" s="10" t="n">
        <v>0.229405005259306</v>
      </c>
      <c r="K623" s="10" t="n">
        <v>2.180761931089187</v>
      </c>
      <c r="L623" s="11">
        <f>$B$5*$B$3*$B$6*SIN(F623)</f>
        <v/>
      </c>
      <c r="M623" s="11">
        <f>$B$9*K623*(SIN(F623))^2 + $B$8*($B$10+K623*COS(F623))*COS(F623)</f>
        <v/>
      </c>
      <c r="N623" s="11">
        <f>0.5*$B$9*(J623^2 + (K623*SIN(F623))^2) + 0.5*$B$8*($B$10 + K623*COS(F623))^2</f>
        <v/>
      </c>
      <c r="O623" s="11">
        <f>$B$3*$B$6*$B$5*COS(F623)</f>
        <v/>
      </c>
      <c r="P623" s="11">
        <f>N623+O623</f>
        <v/>
      </c>
      <c r="Q623" s="12">
        <f>ABS(P623-$P$3)</f>
        <v/>
      </c>
    </row>
    <row r="624">
      <c r="D624" s="13" t="n">
        <v>622</v>
      </c>
      <c r="E624" s="14" t="n">
        <v>6.214438884917799</v>
      </c>
      <c r="F624" s="15" t="n">
        <v>1.137277751825331</v>
      </c>
      <c r="G624" s="16">
        <f>DEGREES(F624)</f>
        <v/>
      </c>
      <c r="H624" s="15" t="n">
        <v>6.883211092845245</v>
      </c>
      <c r="I624" s="16">
        <f>DEGREES(H624)</f>
        <v/>
      </c>
      <c r="J624" s="17" t="n">
        <v>0.2968432195004932</v>
      </c>
      <c r="K624" s="17" t="n">
        <v>2.167592874847827</v>
      </c>
      <c r="L624" s="18">
        <f>$B$5*$B$3*$B$6*SIN(F624)</f>
        <v/>
      </c>
      <c r="M624" s="18">
        <f>$B$9*K624*(SIN(F624))^2 + $B$8*($B$10+K624*COS(F624))*COS(F624)</f>
        <v/>
      </c>
      <c r="N624" s="18">
        <f>0.5*$B$9*(J624^2 + (K624*SIN(F624))^2) + 0.5*$B$8*($B$10 + K624*COS(F624))^2</f>
        <v/>
      </c>
      <c r="O624" s="18">
        <f>$B$3*$B$6*$B$5*COS(F624)</f>
        <v/>
      </c>
      <c r="P624" s="18">
        <f>N624+O624</f>
        <v/>
      </c>
      <c r="Q624" s="19">
        <f>ABS(P624-$P$3)</f>
        <v/>
      </c>
    </row>
    <row r="625">
      <c r="D625" s="6" t="n">
        <v>623</v>
      </c>
      <c r="E625" s="7" t="n">
        <v>6.224446032880629</v>
      </c>
      <c r="F625" s="8" t="n">
        <v>1.140581939444004</v>
      </c>
      <c r="G625" s="9">
        <f>DEGREES(F625)</f>
        <v/>
      </c>
      <c r="H625" s="8" t="n">
        <v>6.904822626932015</v>
      </c>
      <c r="I625" s="9">
        <f>DEGREES(H625)</f>
        <v/>
      </c>
      <c r="J625" s="10" t="n">
        <v>0.3633494460675543</v>
      </c>
      <c r="K625" s="10" t="n">
        <v>2.151071936754465</v>
      </c>
      <c r="L625" s="11">
        <f>$B$5*$B$3*$B$6*SIN(F625)</f>
        <v/>
      </c>
      <c r="M625" s="11">
        <f>$B$9*K625*(SIN(F625))^2 + $B$8*($B$10+K625*COS(F625))*COS(F625)</f>
        <v/>
      </c>
      <c r="N625" s="11">
        <f>0.5*$B$9*(J625^2 + (K625*SIN(F625))^2) + 0.5*$B$8*($B$10 + K625*COS(F625))^2</f>
        <v/>
      </c>
      <c r="O625" s="11">
        <f>$B$3*$B$6*$B$5*COS(F625)</f>
        <v/>
      </c>
      <c r="P625" s="11">
        <f>N625+O625</f>
        <v/>
      </c>
      <c r="Q625" s="12">
        <f>ABS(P625-$P$3)</f>
        <v/>
      </c>
    </row>
    <row r="626">
      <c r="D626" s="13" t="n">
        <v>624</v>
      </c>
      <c r="E626" s="14" t="n">
        <v>6.23445318084346</v>
      </c>
      <c r="F626" s="15" t="n">
        <v>1.144546129397454</v>
      </c>
      <c r="G626" s="16">
        <f>DEGREES(F626)</f>
        <v/>
      </c>
      <c r="H626" s="15" t="n">
        <v>6.926252274090667</v>
      </c>
      <c r="I626" s="16">
        <f>DEGREES(H626)</f>
        <v/>
      </c>
      <c r="J626" s="17" t="n">
        <v>0.4287148778214567</v>
      </c>
      <c r="K626" s="17" t="n">
        <v>2.131250986987211</v>
      </c>
      <c r="L626" s="18">
        <f>$B$5*$B$3*$B$6*SIN(F626)</f>
        <v/>
      </c>
      <c r="M626" s="18">
        <f>$B$9*K626*(SIN(F626))^2 + $B$8*($B$10+K626*COS(F626))*COS(F626)</f>
        <v/>
      </c>
      <c r="N626" s="18">
        <f>0.5*$B$9*(J626^2 + (K626*SIN(F626))^2) + 0.5*$B$8*($B$10 + K626*COS(F626))^2</f>
        <v/>
      </c>
      <c r="O626" s="18">
        <f>$B$3*$B$6*$B$5*COS(F626)</f>
        <v/>
      </c>
      <c r="P626" s="18">
        <f>N626+O626</f>
        <v/>
      </c>
      <c r="Q626" s="19">
        <f>ABS(P626-$P$3)</f>
        <v/>
      </c>
    </row>
    <row r="627">
      <c r="D627" s="6" t="n">
        <v>625</v>
      </c>
      <c r="E627" s="7" t="n">
        <v>6.244460328806291</v>
      </c>
      <c r="F627" s="8" t="n">
        <v>1.149157875465146</v>
      </c>
      <c r="G627" s="9">
        <f>DEGREES(F627)</f>
        <v/>
      </c>
      <c r="H627" s="8" t="n">
        <v>6.947467313430284</v>
      </c>
      <c r="I627" s="9">
        <f>DEGREES(H627)</f>
        <v/>
      </c>
      <c r="J627" s="10" t="n">
        <v>0.4927342893343791</v>
      </c>
      <c r="K627" s="10" t="n">
        <v>2.108192256648754</v>
      </c>
      <c r="L627" s="11">
        <f>$B$5*$B$3*$B$6*SIN(F627)</f>
        <v/>
      </c>
      <c r="M627" s="11">
        <f>$B$9*K627*(SIN(F627))^2 + $B$8*($B$10+K627*COS(F627))*COS(F627)</f>
        <v/>
      </c>
      <c r="N627" s="11">
        <f>0.5*$B$9*(J627^2 + (K627*SIN(F627))^2) + 0.5*$B$8*($B$10 + K627*COS(F627))^2</f>
        <v/>
      </c>
      <c r="O627" s="11">
        <f>$B$3*$B$6*$B$5*COS(F627)</f>
        <v/>
      </c>
      <c r="P627" s="11">
        <f>N627+O627</f>
        <v/>
      </c>
      <c r="Q627" s="12">
        <f>ABS(P627-$P$3)</f>
        <v/>
      </c>
    </row>
    <row r="628">
      <c r="D628" s="13" t="n">
        <v>626</v>
      </c>
      <c r="E628" s="14" t="n">
        <v>6.254467476769121</v>
      </c>
      <c r="F628" s="15" t="n">
        <v>1.154402698318569</v>
      </c>
      <c r="G628" s="16">
        <f>DEGREES(F628)</f>
        <v/>
      </c>
      <c r="H628" s="15" t="n">
        <v>6.968435697856192</v>
      </c>
      <c r="I628" s="16">
        <f>DEGREES(H628)</f>
        <v/>
      </c>
      <c r="J628" s="17" t="n">
        <v>0.5552066812285107</v>
      </c>
      <c r="K628" s="17" t="n">
        <v>2.081968142381637</v>
      </c>
      <c r="L628" s="18">
        <f>$B$5*$B$3*$B$6*SIN(F628)</f>
        <v/>
      </c>
      <c r="M628" s="18">
        <f>$B$9*K628*(SIN(F628))^2 + $B$8*($B$10+K628*COS(F628))*COS(F628)</f>
        <v/>
      </c>
      <c r="N628" s="18">
        <f>0.5*$B$9*(J628^2 + (K628*SIN(F628))^2) + 0.5*$B$8*($B$10 + K628*COS(F628))^2</f>
        <v/>
      </c>
      <c r="O628" s="18">
        <f>$B$3*$B$6*$B$5*COS(F628)</f>
        <v/>
      </c>
      <c r="P628" s="18">
        <f>N628+O628</f>
        <v/>
      </c>
      <c r="Q628" s="19">
        <f>ABS(P628-$P$3)</f>
        <v/>
      </c>
    </row>
    <row r="629">
      <c r="D629" s="6" t="n">
        <v>627</v>
      </c>
      <c r="E629" s="7" t="n">
        <v>6.264474624731952</v>
      </c>
      <c r="F629" s="8" t="n">
        <v>1.160264130981452</v>
      </c>
      <c r="G629" s="9">
        <f>DEGREES(F629)</f>
        <v/>
      </c>
      <c r="H629" s="8" t="n">
        <v>6.989126154687016</v>
      </c>
      <c r="I629" s="9">
        <f>DEGREES(H629)</f>
        <v/>
      </c>
      <c r="J629" s="10" t="n">
        <v>0.6159359112462778</v>
      </c>
      <c r="K629" s="10" t="n">
        <v>2.052660979067225</v>
      </c>
      <c r="L629" s="11">
        <f>$B$5*$B$3*$B$6*SIN(F629)</f>
        <v/>
      </c>
      <c r="M629" s="11">
        <f>$B$9*K629*(SIN(F629))^2 + $B$8*($B$10+K629*COS(F629))*COS(F629)</f>
        <v/>
      </c>
      <c r="N629" s="11">
        <f>0.5*$B$9*(J629^2 + (K629*SIN(F629))^2) + 0.5*$B$8*($B$10 + K629*COS(F629))^2</f>
        <v/>
      </c>
      <c r="O629" s="11">
        <f>$B$3*$B$6*$B$5*COS(F629)</f>
        <v/>
      </c>
      <c r="P629" s="11">
        <f>N629+O629</f>
        <v/>
      </c>
      <c r="Q629" s="12">
        <f>ABS(P629-$P$3)</f>
        <v/>
      </c>
    </row>
    <row r="630">
      <c r="D630" s="13" t="n">
        <v>628</v>
      </c>
      <c r="E630" s="14" t="n">
        <v>6.274481772694783</v>
      </c>
      <c r="F630" s="15" t="n">
        <v>1.166723770530511</v>
      </c>
      <c r="G630" s="16">
        <f>DEGREES(F630)</f>
        <v/>
      </c>
      <c r="H630" s="15" t="n">
        <v>7.009508283840368</v>
      </c>
      <c r="I630" s="16">
        <f>DEGREES(H630)</f>
        <v/>
      </c>
      <c r="J630" s="17" t="n">
        <v>0.6747313100709377</v>
      </c>
      <c r="K630" s="17" t="n">
        <v>2.020362781321926</v>
      </c>
      <c r="L630" s="18">
        <f>$B$5*$B$3*$B$6*SIN(F630)</f>
        <v/>
      </c>
      <c r="M630" s="18">
        <f>$B$9*K630*(SIN(F630))^2 + $B$8*($B$10+K630*COS(F630))*COS(F630)</f>
        <v/>
      </c>
      <c r="N630" s="18">
        <f>0.5*$B$9*(J630^2 + (K630*SIN(F630))^2) + 0.5*$B$8*($B$10 + K630*COS(F630))^2</f>
        <v/>
      </c>
      <c r="O630" s="18">
        <f>$B$3*$B$6*$B$5*COS(F630)</f>
        <v/>
      </c>
      <c r="P630" s="18">
        <f>N630+O630</f>
        <v/>
      </c>
      <c r="Q630" s="19">
        <f>ABS(P630-$P$3)</f>
        <v/>
      </c>
    </row>
    <row r="631">
      <c r="D631" s="6" t="n">
        <v>629</v>
      </c>
      <c r="E631" s="7" t="n">
        <v>6.284488920657613</v>
      </c>
      <c r="F631" s="8" t="n">
        <v>1.173761335874443</v>
      </c>
      <c r="G631" s="9">
        <f>DEGREES(F631)</f>
        <v/>
      </c>
      <c r="H631" s="8" t="n">
        <v>7.029552653278867</v>
      </c>
      <c r="I631" s="9">
        <f>DEGREES(H631)</f>
        <v/>
      </c>
      <c r="J631" s="10" t="n">
        <v>0.7314082799640447</v>
      </c>
      <c r="K631" s="10" t="n">
        <v>1.985174954602271</v>
      </c>
      <c r="L631" s="11">
        <f>$B$5*$B$3*$B$6*SIN(F631)</f>
        <v/>
      </c>
      <c r="M631" s="11">
        <f>$B$9*K631*(SIN(F631))^2 + $B$8*($B$10+K631*COS(F631))*COS(F631)</f>
        <v/>
      </c>
      <c r="N631" s="11">
        <f>0.5*$B$9*(J631^2 + (K631*SIN(F631))^2) + 0.5*$B$8*($B$10 + K631*COS(F631))^2</f>
        <v/>
      </c>
      <c r="O631" s="11">
        <f>$B$3*$B$6*$B$5*COS(F631)</f>
        <v/>
      </c>
      <c r="P631" s="11">
        <f>N631+O631</f>
        <v/>
      </c>
      <c r="Q631" s="12">
        <f>ABS(P631-$P$3)</f>
        <v/>
      </c>
    </row>
    <row r="632">
      <c r="D632" s="13" t="n">
        <v>630</v>
      </c>
      <c r="E632" s="14" t="n">
        <v>6.294496068620443</v>
      </c>
      <c r="F632" s="15" t="n">
        <v>1.181354731429699</v>
      </c>
      <c r="G632" s="16">
        <f>DEGREES(F632)</f>
        <v/>
      </c>
      <c r="H632" s="15" t="n">
        <v>7.04923089141681</v>
      </c>
      <c r="I632" s="16">
        <f>DEGREES(H632)</f>
        <v/>
      </c>
      <c r="J632" s="17" t="n">
        <v>0.7857888743400652</v>
      </c>
      <c r="K632" s="17" t="n">
        <v>1.94720797682599</v>
      </c>
      <c r="L632" s="18">
        <f>$B$5*$B$3*$B$6*SIN(F632)</f>
        <v/>
      </c>
      <c r="M632" s="18">
        <f>$B$9*K632*(SIN(F632))^2 + $B$8*($B$10+K632*COS(F632))*COS(F632)</f>
        <v/>
      </c>
      <c r="N632" s="18">
        <f>0.5*$B$9*(J632^2 + (K632*SIN(F632))^2) + 0.5*$B$8*($B$10 + K632*COS(F632))^2</f>
        <v/>
      </c>
      <c r="O632" s="18">
        <f>$B$3*$B$6*$B$5*COS(F632)</f>
        <v/>
      </c>
      <c r="P632" s="18">
        <f>N632+O632</f>
        <v/>
      </c>
      <c r="Q632" s="19">
        <f>ABS(P632-$P$3)</f>
        <v/>
      </c>
    </row>
    <row r="633">
      <c r="D633" s="6" t="n">
        <v>631</v>
      </c>
      <c r="E633" s="7" t="n">
        <v>6.304503216583274</v>
      </c>
      <c r="F633" s="8" t="n">
        <v>1.189480116493184</v>
      </c>
      <c r="G633" s="9">
        <f>DEGREES(F633)</f>
        <v/>
      </c>
      <c r="H633" s="8" t="n">
        <v>7.068515776197394</v>
      </c>
      <c r="I633" s="9">
        <f>DEGREES(H633)</f>
        <v/>
      </c>
      <c r="J633" s="10" t="n">
        <v>0.837702356458726</v>
      </c>
      <c r="K633" s="10" t="n">
        <v>1.906581051508564</v>
      </c>
      <c r="L633" s="11">
        <f>$B$5*$B$3*$B$6*SIN(F633)</f>
        <v/>
      </c>
      <c r="M633" s="11">
        <f>$B$9*K633*(SIN(F633))^2 + $B$8*($B$10+K633*COS(F633))*COS(F633)</f>
        <v/>
      </c>
      <c r="N633" s="11">
        <f>0.5*$B$9*(J633^2 + (K633*SIN(F633))^2) + 0.5*$B$8*($B$10 + K633*COS(F633))^2</f>
        <v/>
      </c>
      <c r="O633" s="11">
        <f>$B$3*$B$6*$B$5*COS(F633)</f>
        <v/>
      </c>
      <c r="P633" s="11">
        <f>N633+O633</f>
        <v/>
      </c>
      <c r="Q633" s="12">
        <f>ABS(P633-$P$3)</f>
        <v/>
      </c>
    </row>
    <row r="634">
      <c r="D634" s="13" t="n">
        <v>632</v>
      </c>
      <c r="E634" s="14" t="n">
        <v>6.314510364546105</v>
      </c>
      <c r="F634" s="15" t="n">
        <v>1.198111980094025</v>
      </c>
      <c r="G634" s="16">
        <f>DEGREES(F634)</f>
        <v/>
      </c>
      <c r="H634" s="15" t="n">
        <v>7.087381320560798</v>
      </c>
      <c r="I634" s="16">
        <f>DEGREES(H634)</f>
        <v/>
      </c>
      <c r="J634" s="17" t="n">
        <v>0.8869857354808345</v>
      </c>
      <c r="K634" s="17" t="n">
        <v>1.863421733504359</v>
      </c>
      <c r="L634" s="18">
        <f>$B$5*$B$3*$B$6*SIN(F634)</f>
        <v/>
      </c>
      <c r="M634" s="18">
        <f>$B$9*K634*(SIN(F634))^2 + $B$8*($B$10+K634*COS(F634))*COS(F634)</f>
        <v/>
      </c>
      <c r="N634" s="18">
        <f>0.5*$B$9*(J634^2 + (K634*SIN(F634))^2) + 0.5*$B$8*($B$10 + K634*COS(F634))^2</f>
        <v/>
      </c>
      <c r="O634" s="18">
        <f>$B$3*$B$6*$B$5*COS(F634)</f>
        <v/>
      </c>
      <c r="P634" s="18">
        <f>N634+O634</f>
        <v/>
      </c>
      <c r="Q634" s="19">
        <f>ABS(P634-$P$3)</f>
        <v/>
      </c>
    </row>
    <row r="635">
      <c r="D635" s="6" t="n">
        <v>633</v>
      </c>
      <c r="E635" s="7" t="n">
        <v>6.324517512508935</v>
      </c>
      <c r="F635" s="8" t="n">
        <v>1.207223221089421</v>
      </c>
      <c r="G635" s="9">
        <f>DEGREES(F635)</f>
        <v/>
      </c>
      <c r="H635" s="8" t="n">
        <v>7.105802854034794</v>
      </c>
      <c r="I635" s="9">
        <f>DEGREES(H635)</f>
        <v/>
      </c>
      <c r="J635" s="10" t="n">
        <v>0.9334842782045796</v>
      </c>
      <c r="K635" s="10" t="n">
        <v>1.817865528527378</v>
      </c>
      <c r="L635" s="11">
        <f>$B$5*$B$3*$B$6*SIN(F635)</f>
        <v/>
      </c>
      <c r="M635" s="11">
        <f>$B$9*K635*(SIN(F635))^2 + $B$8*($B$10+K635*COS(F635))*COS(F635)</f>
        <v/>
      </c>
      <c r="N635" s="11">
        <f>0.5*$B$9*(J635^2 + (K635*SIN(F635))^2) + 0.5*$B$8*($B$10 + K635*COS(F635))^2</f>
        <v/>
      </c>
      <c r="O635" s="11">
        <f>$B$3*$B$6*$B$5*COS(F635)</f>
        <v/>
      </c>
      <c r="P635" s="11">
        <f>N635+O635</f>
        <v/>
      </c>
      <c r="Q635" s="12">
        <f>ABS(P635-$P$3)</f>
        <v/>
      </c>
    </row>
    <row r="636">
      <c r="D636" s="13" t="n">
        <v>634</v>
      </c>
      <c r="E636" s="14" t="n">
        <v>6.334524660471766</v>
      </c>
      <c r="F636" s="15" t="n">
        <v>1.216785233253107</v>
      </c>
      <c r="G636" s="16">
        <f>DEGREES(F636)</f>
        <v/>
      </c>
      <c r="H636" s="15" t="n">
        <v>7.123757100191722</v>
      </c>
      <c r="I636" s="16">
        <f>DEGREES(H636)</f>
        <v/>
      </c>
      <c r="J636" s="17" t="n">
        <v>0.9770519948756698</v>
      </c>
      <c r="K636" s="17" t="n">
        <v>1.77005546770895</v>
      </c>
      <c r="L636" s="18">
        <f>$B$5*$B$3*$B$6*SIN(F636)</f>
        <v/>
      </c>
      <c r="M636" s="18">
        <f>$B$9*K636*(SIN(F636))^2 + $B$8*($B$10+K636*COS(F636))*COS(F636)</f>
        <v/>
      </c>
      <c r="N636" s="18">
        <f>0.5*$B$9*(J636^2 + (K636*SIN(F636))^2) + 0.5*$B$8*($B$10 + K636*COS(F636))^2</f>
        <v/>
      </c>
      <c r="O636" s="18">
        <f>$B$3*$B$6*$B$5*COS(F636)</f>
        <v/>
      </c>
      <c r="P636" s="18">
        <f>N636+O636</f>
        <v/>
      </c>
      <c r="Q636" s="19">
        <f>ABS(P636-$P$3)</f>
        <v/>
      </c>
    </row>
    <row r="637">
      <c r="D637" s="6" t="n">
        <v>635</v>
      </c>
      <c r="E637" s="7" t="n">
        <v>6.344531808434597</v>
      </c>
      <c r="F637" s="8" t="n">
        <v>1.226767995089248</v>
      </c>
      <c r="G637" s="9">
        <f>DEGREES(F637)</f>
        <v/>
      </c>
      <c r="H637" s="8" t="n">
        <v>7.141222249728616</v>
      </c>
      <c r="I637" s="9">
        <f>DEGREES(H637)</f>
        <v/>
      </c>
      <c r="J637" s="10" t="n">
        <v>1.017552097545908</v>
      </c>
      <c r="K637" s="10" t="n">
        <v>1.720141658528242</v>
      </c>
      <c r="L637" s="11">
        <f>$B$5*$B$3*$B$6*SIN(F637)</f>
        <v/>
      </c>
      <c r="M637" s="11">
        <f>$B$9*K637*(SIN(F637))^2 + $B$8*($B$10+K637*COS(F637))*COS(F637)</f>
        <v/>
      </c>
      <c r="N637" s="11">
        <f>0.5*$B$9*(J637^2 + (K637*SIN(F637))^2) + 0.5*$B$8*($B$10 + K637*COS(F637))^2</f>
        <v/>
      </c>
      <c r="O637" s="11">
        <f>$B$3*$B$6*$B$5*COS(F637)</f>
        <v/>
      </c>
      <c r="P637" s="11">
        <f>N637+O637</f>
        <v/>
      </c>
      <c r="Q637" s="12">
        <f>ABS(P637-$P$3)</f>
        <v/>
      </c>
    </row>
    <row r="638">
      <c r="D638" s="13" t="n">
        <v>636</v>
      </c>
      <c r="E638" s="14" t="n">
        <v>6.354538956397427</v>
      </c>
      <c r="F638" s="15" t="n">
        <v>1.237140164089836</v>
      </c>
      <c r="G638" s="16">
        <f>DEGREES(F638)</f>
        <v/>
      </c>
      <c r="H638" s="15" t="n">
        <v>7.158178028941076</v>
      </c>
      <c r="I638" s="16">
        <f>DEGREES(H638)</f>
        <v/>
      </c>
      <c r="J638" s="17" t="n">
        <v>1.0548574295413</v>
      </c>
      <c r="K638" s="17" t="n">
        <v>1.668280813525305</v>
      </c>
      <c r="L638" s="18">
        <f>$B$5*$B$3*$B$6*SIN(F638)</f>
        <v/>
      </c>
      <c r="M638" s="18">
        <f>$B$9*K638*(SIN(F638))^2 + $B$8*($B$10+K638*COS(F638))*COS(F638)</f>
        <v/>
      </c>
      <c r="N638" s="18">
        <f>0.5*$B$9*(J638^2 + (K638*SIN(F638))^2) + 0.5*$B$8*($B$10 + K638*COS(F638))^2</f>
        <v/>
      </c>
      <c r="O638" s="18">
        <f>$B$3*$B$6*$B$5*COS(F638)</f>
        <v/>
      </c>
      <c r="P638" s="18">
        <f>N638+O638</f>
        <v/>
      </c>
      <c r="Q638" s="19">
        <f>ABS(P638-$P$3)</f>
        <v/>
      </c>
    </row>
    <row r="639">
      <c r="D639" s="6" t="n">
        <v>637</v>
      </c>
      <c r="E639" s="7" t="n">
        <v>6.364546104360258</v>
      </c>
      <c r="F639" s="8" t="n">
        <v>1.247869175139595</v>
      </c>
      <c r="G639" s="9">
        <f>DEGREES(F639)</f>
        <v/>
      </c>
      <c r="H639" s="8" t="n">
        <v>7.174605763375871</v>
      </c>
      <c r="I639" s="9">
        <f>DEGREES(H639)</f>
        <v/>
      </c>
      <c r="J639" s="10" t="n">
        <v>1.088850864691161</v>
      </c>
      <c r="K639" s="10" t="n">
        <v>1.614635758276507</v>
      </c>
      <c r="L639" s="11">
        <f>$B$5*$B$3*$B$6*SIN(F639)</f>
        <v/>
      </c>
      <c r="M639" s="11">
        <f>$B$9*K639*(SIN(F639))^2 + $B$8*($B$10+K639*COS(F639))*COS(F639)</f>
        <v/>
      </c>
      <c r="N639" s="11">
        <f>0.5*$B$9*(J639^2 + (K639*SIN(F639))^2) + 0.5*$B$8*($B$10 + K639*COS(F639))^2</f>
        <v/>
      </c>
      <c r="O639" s="11">
        <f>$B$3*$B$6*$B$5*COS(F639)</f>
        <v/>
      </c>
      <c r="P639" s="11">
        <f>N639+O639</f>
        <v/>
      </c>
      <c r="Q639" s="12">
        <f>ABS(P639-$P$3)</f>
        <v/>
      </c>
    </row>
    <row r="640">
      <c r="D640" s="13" t="n">
        <v>638</v>
      </c>
      <c r="E640" s="14" t="n">
        <v>6.374553252323088</v>
      </c>
      <c r="F640" s="15" t="n">
        <v>1.258921342759464</v>
      </c>
      <c r="G640" s="16">
        <f>DEGREES(F640)</f>
        <v/>
      </c>
      <c r="H640" s="15" t="n">
        <v>7.190488436462409</v>
      </c>
      <c r="I640" s="16">
        <f>DEGREES(H640)</f>
        <v/>
      </c>
      <c r="J640" s="17" t="n">
        <v>1.11942567506477</v>
      </c>
      <c r="K640" s="17" t="n">
        <v>1.559374920177163</v>
      </c>
      <c r="L640" s="18">
        <f>$B$5*$B$3*$B$6*SIN(F640)</f>
        <v/>
      </c>
      <c r="M640" s="18">
        <f>$B$9*K640*(SIN(F640))^2 + $B$8*($B$10+K640*COS(F640))*COS(F640)</f>
        <v/>
      </c>
      <c r="N640" s="18">
        <f>0.5*$B$9*(J640^2 + (K640*SIN(F640))^2) + 0.5*$B$8*($B$10 + K640*COS(F640))^2</f>
        <v/>
      </c>
      <c r="O640" s="18">
        <f>$B$3*$B$6*$B$5*COS(F640)</f>
        <v/>
      </c>
      <c r="P640" s="18">
        <f>N640+O640</f>
        <v/>
      </c>
      <c r="Q640" s="19">
        <f>ABS(P640-$P$3)</f>
        <v/>
      </c>
    </row>
    <row r="641">
      <c r="D641" s="6" t="n">
        <v>639</v>
      </c>
      <c r="E641" s="7" t="n">
        <v>6.384560400285919</v>
      </c>
      <c r="F641" s="8" t="n">
        <v>1.270261966867661</v>
      </c>
      <c r="G641" s="9">
        <f>DEGREES(F641)</f>
        <v/>
      </c>
      <c r="H641" s="8" t="n">
        <v>7.205810742939059</v>
      </c>
      <c r="I641" s="9">
        <f>DEGREES(H641)</f>
        <v/>
      </c>
      <c r="J641" s="10" t="n">
        <v>1.146485866061168</v>
      </c>
      <c r="K641" s="10" t="n">
        <v>1.502671799636177</v>
      </c>
      <c r="L641" s="11">
        <f>$B$5*$B$3*$B$6*SIN(F641)</f>
        <v/>
      </c>
      <c r="M641" s="11">
        <f>$B$9*K641*(SIN(F641))^2 + $B$8*($B$10+K641*COS(F641))*COS(F641)</f>
        <v/>
      </c>
      <c r="N641" s="11">
        <f>0.5*$B$9*(J641^2 + (K641*SIN(F641))^2) + 0.5*$B$8*($B$10 + K641*COS(F641))^2</f>
        <v/>
      </c>
      <c r="O641" s="11">
        <f>$B$3*$B$6*$B$5*COS(F641)</f>
        <v/>
      </c>
      <c r="P641" s="11">
        <f>N641+O641</f>
        <v/>
      </c>
      <c r="Q641" s="12">
        <f>ABS(P641-$P$3)</f>
        <v/>
      </c>
    </row>
    <row r="642">
      <c r="D642" s="13" t="n">
        <v>640</v>
      </c>
      <c r="E642" s="14" t="n">
        <v>6.39456754824875</v>
      </c>
      <c r="F642" s="15" t="n">
        <v>1.281855441726236</v>
      </c>
      <c r="G642" s="16">
        <f>DEGREES(F642)</f>
        <v/>
      </c>
      <c r="H642" s="15" t="n">
        <v>7.220559136906504</v>
      </c>
      <c r="I642" s="16">
        <f>DEGREES(H642)</f>
        <v/>
      </c>
      <c r="J642" s="17" t="n">
        <v>1.169946477799811</v>
      </c>
      <c r="K642" s="17" t="n">
        <v>1.444704425343304</v>
      </c>
      <c r="L642" s="18">
        <f>$B$5*$B$3*$B$6*SIN(F642)</f>
        <v/>
      </c>
      <c r="M642" s="18">
        <f>$B$9*K642*(SIN(F642))^2 + $B$8*($B$10+K642*COS(F642))*COS(F642)</f>
        <v/>
      </c>
      <c r="N642" s="18">
        <f>0.5*$B$9*(J642^2 + (K642*SIN(F642))^2) + 0.5*$B$8*($B$10 + K642*COS(F642))^2</f>
        <v/>
      </c>
      <c r="O642" s="18">
        <f>$B$3*$B$6*$B$5*COS(F642)</f>
        <v/>
      </c>
      <c r="P642" s="18">
        <f>N642+O642</f>
        <v/>
      </c>
      <c r="Q642" s="19">
        <f>ABS(P642-$P$3)</f>
        <v/>
      </c>
    </row>
    <row r="643">
      <c r="D643" s="6" t="n">
        <v>641</v>
      </c>
      <c r="E643" s="7" t="n">
        <v>6.40457469621158</v>
      </c>
      <c r="F643" s="8" t="n">
        <v>1.293665367731092</v>
      </c>
      <c r="G643" s="9">
        <f>DEGREES(F643)</f>
        <v/>
      </c>
      <c r="H643" s="8" t="n">
        <v>7.234721874357289</v>
      </c>
      <c r="I643" s="9">
        <f>DEGREES(H643)</f>
        <v/>
      </c>
      <c r="J643" s="10" t="n">
        <v>1.189733851865982</v>
      </c>
      <c r="K643" s="10" t="n">
        <v>1.385654795319024</v>
      </c>
      <c r="L643" s="11">
        <f>$B$5*$B$3*$B$6*SIN(F643)</f>
        <v/>
      </c>
      <c r="M643" s="11">
        <f>$B$9*K643*(SIN(F643))^2 + $B$8*($B$10+K643*COS(F643))*COS(F643)</f>
        <v/>
      </c>
      <c r="N643" s="11">
        <f>0.5*$B$9*(J643^2 + (K643*SIN(F643))^2) + 0.5*$B$8*($B$10 + K643*COS(F643))^2</f>
        <v/>
      </c>
      <c r="O643" s="11">
        <f>$B$3*$B$6*$B$5*COS(F643)</f>
        <v/>
      </c>
      <c r="P643" s="11">
        <f>N643+O643</f>
        <v/>
      </c>
      <c r="Q643" s="12">
        <f>ABS(P643-$P$3)</f>
        <v/>
      </c>
    </row>
    <row r="644">
      <c r="D644" s="13" t="n">
        <v>642</v>
      </c>
      <c r="E644" s="14" t="n">
        <v>6.41458184417441</v>
      </c>
      <c r="F644" s="15" t="n">
        <v>1.305654665694477</v>
      </c>
      <c r="G644" s="16">
        <f>DEGREES(F644)</f>
        <v/>
      </c>
      <c r="H644" s="15" t="n">
        <v>7.248289050048069</v>
      </c>
      <c r="I644" s="16">
        <f>DEGREES(H644)</f>
        <v/>
      </c>
      <c r="J644" s="17" t="n">
        <v>1.205785862573391</v>
      </c>
      <c r="K644" s="17" t="n">
        <v>1.325708305502097</v>
      </c>
      <c r="L644" s="18">
        <f>$B$5*$B$3*$B$6*SIN(F644)</f>
        <v/>
      </c>
      <c r="M644" s="18">
        <f>$B$9*K644*(SIN(F644))^2 + $B$8*($B$10+K644*COS(F644))*COS(F644)</f>
        <v/>
      </c>
      <c r="N644" s="18">
        <f>0.5*$B$9*(J644^2 + (K644*SIN(F644))^2) + 0.5*$B$8*($B$10 + K644*COS(F644))^2</f>
        <v/>
      </c>
      <c r="O644" s="18">
        <f>$B$3*$B$6*$B$5*COS(F644)</f>
        <v/>
      </c>
      <c r="P644" s="18">
        <f>N644+O644</f>
        <v/>
      </c>
      <c r="Q644" s="19">
        <f>ABS(P644-$P$3)</f>
        <v/>
      </c>
    </row>
    <row r="645">
      <c r="D645" s="6" t="n">
        <v>643</v>
      </c>
      <c r="E645" s="7" t="n">
        <v>6.424588992137242</v>
      </c>
      <c r="F645" s="8" t="n">
        <v>1.317785693261138</v>
      </c>
      <c r="G645" s="9">
        <f>DEGREES(F645)</f>
        <v/>
      </c>
      <c r="H645" s="8" t="n">
        <v>7.261252628598715</v>
      </c>
      <c r="I645" s="9">
        <f>DEGREES(H645)</f>
        <v/>
      </c>
      <c r="J645" s="10" t="n">
        <v>1.218052112017884</v>
      </c>
      <c r="K645" s="10" t="n">
        <v>1.265053167668793</v>
      </c>
      <c r="L645" s="11">
        <f>$B$5*$B$3*$B$6*SIN(F645)</f>
        <v/>
      </c>
      <c r="M645" s="11">
        <f>$B$9*K645*(SIN(F645))^2 + $B$8*($B$10+K645*COS(F645))*COS(F645)</f>
        <v/>
      </c>
      <c r="N645" s="11">
        <f>0.5*$B$9*(J645^2 + (K645*SIN(F645))^2) + 0.5*$B$8*($B$10 + K645*COS(F645))^2</f>
        <v/>
      </c>
      <c r="O645" s="11">
        <f>$B$3*$B$6*$B$5*COS(F645)</f>
        <v/>
      </c>
      <c r="P645" s="11">
        <f>N645+O645</f>
        <v/>
      </c>
      <c r="Q645" s="12">
        <f>ABS(P645-$P$3)</f>
        <v/>
      </c>
    </row>
    <row r="646">
      <c r="D646" s="13" t="n">
        <v>644</v>
      </c>
      <c r="E646" s="14" t="n">
        <v>6.434596140100072</v>
      </c>
      <c r="F646" s="15" t="n">
        <v>1.330020363092628</v>
      </c>
      <c r="G646" s="16">
        <f>DEGREES(F646)</f>
        <v/>
      </c>
      <c r="H646" s="15" t="n">
        <v>7.273606469720713</v>
      </c>
      <c r="I646" s="16">
        <f>DEGREES(H646)</f>
        <v/>
      </c>
      <c r="J646" s="17" t="n">
        <v>1.226494088309891</v>
      </c>
      <c r="K646" s="17" t="n">
        <v>1.203879818511342</v>
      </c>
      <c r="L646" s="18">
        <f>$B$5*$B$3*$B$6*SIN(F646)</f>
        <v/>
      </c>
      <c r="M646" s="18">
        <f>$B$9*K646*(SIN(F646))^2 + $B$8*($B$10+K646*COS(F646))*COS(F646)</f>
        <v/>
      </c>
      <c r="N646" s="18">
        <f>0.5*$B$9*(J646^2 + (K646*SIN(F646))^2) + 0.5*$B$8*($B$10 + K646*COS(F646))^2</f>
        <v/>
      </c>
      <c r="O646" s="18">
        <f>$B$3*$B$6*$B$5*COS(F646)</f>
        <v/>
      </c>
      <c r="P646" s="18">
        <f>N646+O646</f>
        <v/>
      </c>
      <c r="Q646" s="19">
        <f>ABS(P646-$P$3)</f>
        <v/>
      </c>
    </row>
    <row r="647">
      <c r="D647" s="6" t="n">
        <v>645</v>
      </c>
      <c r="E647" s="7" t="n">
        <v>6.444603288062902</v>
      </c>
      <c r="F647" s="8" t="n">
        <v>1.342320262448717</v>
      </c>
      <c r="G647" s="9">
        <f>DEGREES(F647)</f>
        <v/>
      </c>
      <c r="H647" s="8" t="n">
        <v>7.285346347495592</v>
      </c>
      <c r="I647" s="9">
        <f>DEGREES(H647)</f>
        <v/>
      </c>
      <c r="J647" s="10" t="n">
        <v>1.231085286488769</v>
      </c>
      <c r="K647" s="10" t="n">
        <v>1.142380321730897</v>
      </c>
      <c r="L647" s="11">
        <f>$B$5*$B$3*$B$6*SIN(F647)</f>
        <v/>
      </c>
      <c r="M647" s="11">
        <f>$B$9*K647*(SIN(F647))^2 + $B$8*($B$10+K647*COS(F647))*COS(F647)</f>
        <v/>
      </c>
      <c r="N647" s="11">
        <f>0.5*$B$9*(J647^2 + (K647*SIN(F647))^2) + 0.5*$B$8*($B$10 + K647*COS(F647))^2</f>
        <v/>
      </c>
      <c r="O647" s="11">
        <f>$B$3*$B$6*$B$5*COS(F647)</f>
        <v/>
      </c>
      <c r="P647" s="11">
        <f>N647+O647</f>
        <v/>
      </c>
      <c r="Q647" s="12">
        <f>ABS(P647-$P$3)</f>
        <v/>
      </c>
    </row>
    <row r="648">
      <c r="D648" s="13" t="n">
        <v>646</v>
      </c>
      <c r="E648" s="14" t="n">
        <v>6.454610436025733</v>
      </c>
      <c r="F648" s="15" t="n">
        <v>1.35464677379045</v>
      </c>
      <c r="G648" s="16">
        <f>DEGREES(F648)</f>
        <v/>
      </c>
      <c r="H648" s="15" t="n">
        <v>7.296469963642889</v>
      </c>
      <c r="I648" s="16">
        <f>DEGREES(H648)</f>
        <v/>
      </c>
      <c r="J648" s="17" t="n">
        <v>1.231811291739455</v>
      </c>
      <c r="K648" s="17" t="n">
        <v>1.080747765022235</v>
      </c>
      <c r="L648" s="18">
        <f>$B$5*$B$3*$B$6*SIN(F648)</f>
        <v/>
      </c>
      <c r="M648" s="18">
        <f>$B$9*K648*(SIN(F648))^2 + $B$8*($B$10+K648*COS(F648))*COS(F648)</f>
        <v/>
      </c>
      <c r="N648" s="18">
        <f>0.5*$B$9*(J648^2 + (K648*SIN(F648))^2) + 0.5*$B$8*($B$10 + K648*COS(F648))^2</f>
        <v/>
      </c>
      <c r="O648" s="18">
        <f>$B$3*$B$6*$B$5*COS(F648)</f>
        <v/>
      </c>
      <c r="P648" s="18">
        <f>N648+O648</f>
        <v/>
      </c>
      <c r="Q648" s="19">
        <f>ABS(P648-$P$3)</f>
        <v/>
      </c>
    </row>
    <row r="649">
      <c r="D649" s="6" t="n">
        <v>647</v>
      </c>
      <c r="E649" s="7" t="n">
        <v>6.464617583988564</v>
      </c>
      <c r="F649" s="8" t="n">
        <v>1.366961196026203</v>
      </c>
      <c r="G649" s="9">
        <f>DEGREES(F649)</f>
        <v/>
      </c>
      <c r="H649" s="8" t="n">
        <v>7.306976954735974</v>
      </c>
      <c r="I649" s="9">
        <f>DEGREES(H649)</f>
        <v/>
      </c>
      <c r="J649" s="10" t="n">
        <v>1.228669824650122</v>
      </c>
      <c r="K649" s="10" t="n">
        <v>1.019175653843468</v>
      </c>
      <c r="L649" s="11">
        <f>$B$5*$B$3*$B$6*SIN(F649)</f>
        <v/>
      </c>
      <c r="M649" s="11">
        <f>$B$9*K649*(SIN(F649))^2 + $B$8*($B$10+K649*COS(F649))*COS(F649)</f>
        <v/>
      </c>
      <c r="N649" s="11">
        <f>0.5*$B$9*(J649^2 + (K649*SIN(F649))^2) + 0.5*$B$8*($B$10 + K649*COS(F649))^2</f>
        <v/>
      </c>
      <c r="O649" s="11">
        <f>$B$3*$B$6*$B$5*COS(F649)</f>
        <v/>
      </c>
      <c r="P649" s="11">
        <f>N649+O649</f>
        <v/>
      </c>
      <c r="Q649" s="12">
        <f>ABS(P649-$P$3)</f>
        <v/>
      </c>
    </row>
    <row r="650">
      <c r="D650" s="13" t="n">
        <v>648</v>
      </c>
      <c r="E650" s="14" t="n">
        <v>6.474624731951394</v>
      </c>
      <c r="F650" s="15" t="n">
        <v>1.379224866020072</v>
      </c>
      <c r="G650" s="16">
        <f>DEGREES(F650)</f>
        <v/>
      </c>
      <c r="H650" s="15" t="n">
        <v>7.316868893343085</v>
      </c>
      <c r="I650" s="16">
        <f>DEGREES(H650)</f>
        <v/>
      </c>
      <c r="J650" s="17" t="n">
        <v>1.22167074836877</v>
      </c>
      <c r="K650" s="17" t="n">
        <v>0.9578573038741216</v>
      </c>
      <c r="L650" s="18">
        <f>$B$5*$B$3*$B$6*SIN(F650)</f>
        <v/>
      </c>
      <c r="M650" s="18">
        <f>$B$9*K650*(SIN(F650))^2 + $B$8*($B$10+K650*COS(F650))*COS(F650)</f>
        <v/>
      </c>
      <c r="N650" s="18">
        <f>0.5*$B$9*(J650^2 + (K650*SIN(F650))^2) + 0.5*$B$8*($B$10 + K650*COS(F650))^2</f>
        <v/>
      </c>
      <c r="O650" s="18">
        <f>$B$3*$B$6*$B$5*COS(F650)</f>
        <v/>
      </c>
      <c r="P650" s="18">
        <f>N650+O650</f>
        <v/>
      </c>
      <c r="Q650" s="19">
        <f>ABS(P650-$P$3)</f>
        <v/>
      </c>
    </row>
    <row r="651">
      <c r="D651" s="6" t="n">
        <v>649</v>
      </c>
      <c r="E651" s="7" t="n">
        <v>6.484631879914225</v>
      </c>
      <c r="F651" s="8" t="n">
        <v>1.391399279981095</v>
      </c>
      <c r="G651" s="9">
        <f>DEGREES(F651)</f>
        <v/>
      </c>
      <c r="H651" s="8" t="n">
        <v>7.326149283089999</v>
      </c>
      <c r="I651" s="9">
        <f>DEGREES(H651)</f>
        <v/>
      </c>
      <c r="J651" s="10" t="n">
        <v>1.210836037636254</v>
      </c>
      <c r="K651" s="10" t="n">
        <v>0.8969852340690099</v>
      </c>
      <c r="L651" s="11">
        <f>$B$5*$B$3*$B$6*SIN(F651)</f>
        <v/>
      </c>
      <c r="M651" s="11">
        <f>$B$9*K651*(SIN(F651))^2 + $B$8*($B$10+K651*COS(F651))*COS(F651)</f>
        <v/>
      </c>
      <c r="N651" s="11">
        <f>0.5*$B$9*(J651^2 + (K651*SIN(F651))^2) + 0.5*$B$8*($B$10 + K651*COS(F651))^2</f>
        <v/>
      </c>
      <c r="O651" s="11">
        <f>$B$3*$B$6*$B$5*COS(F651)</f>
        <v/>
      </c>
      <c r="P651" s="11">
        <f>N651+O651</f>
        <v/>
      </c>
      <c r="Q651" s="12">
        <f>ABS(P651-$P$3)</f>
        <v/>
      </c>
    </row>
    <row r="652">
      <c r="D652" s="13" t="n">
        <v>650</v>
      </c>
      <c r="E652" s="14" t="n">
        <v>6.494639027877056</v>
      </c>
      <c r="F652" s="15" t="n">
        <v>1.403446214352162</v>
      </c>
      <c r="G652" s="16">
        <f>DEGREES(F652)</f>
        <v/>
      </c>
      <c r="H652" s="15" t="n">
        <v>7.334823547659822</v>
      </c>
      <c r="I652" s="16">
        <f>DEGREES(H652)</f>
        <v/>
      </c>
      <c r="J652" s="17" t="n">
        <v>1.196199709793018</v>
      </c>
      <c r="K652" s="17" t="n">
        <v>0.8367505622136719</v>
      </c>
      <c r="L652" s="18">
        <f>$B$5*$B$3*$B$6*SIN(F652)</f>
        <v/>
      </c>
      <c r="M652" s="18">
        <f>$B$9*K652*(SIN(F652))^2 + $B$8*($B$10+K652*COS(F652))*COS(F652)</f>
        <v/>
      </c>
      <c r="N652" s="18">
        <f>0.5*$B$9*(J652^2 + (K652*SIN(F652))^2) + 0.5*$B$8*($B$10 + K652*COS(F652))^2</f>
        <v/>
      </c>
      <c r="O652" s="18">
        <f>$B$3*$B$6*$B$5*COS(F652)</f>
        <v/>
      </c>
      <c r="P652" s="18">
        <f>N652+O652</f>
        <v/>
      </c>
      <c r="Q652" s="19">
        <f>ABS(P652-$P$3)</f>
        <v/>
      </c>
    </row>
    <row r="653">
      <c r="D653" s="6" t="n">
        <v>651</v>
      </c>
      <c r="E653" s="7" t="n">
        <v>6.504646175839886</v>
      </c>
      <c r="F653" s="8" t="n">
        <v>1.415327845819124</v>
      </c>
      <c r="G653" s="9">
        <f>DEGREES(F653)</f>
        <v/>
      </c>
      <c r="H653" s="8" t="n">
        <v>7.342899013764452</v>
      </c>
      <c r="I653" s="9">
        <f>DEGREES(H653)</f>
        <v/>
      </c>
      <c r="J653" s="10" t="n">
        <v>1.177807717976102</v>
      </c>
      <c r="K653" s="10" t="n">
        <v>0.7773424048788622</v>
      </c>
      <c r="L653" s="11">
        <f>$B$5*$B$3*$B$6*SIN(F653)</f>
        <v/>
      </c>
      <c r="M653" s="11">
        <f>$B$9*K653*(SIN(F653))^2 + $B$8*($B$10+K653*COS(F653))*COS(F653)</f>
        <v/>
      </c>
      <c r="N653" s="11">
        <f>0.5*$B$9*(J653^2 + (K653*SIN(F653))^2) + 0.5*$B$8*($B$10 + K653*COS(F653))^2</f>
        <v/>
      </c>
      <c r="O653" s="11">
        <f>$B$3*$B$6*$B$5*COS(F653)</f>
        <v/>
      </c>
      <c r="P653" s="11">
        <f>N653+O653</f>
        <v/>
      </c>
      <c r="Q653" s="12">
        <f>ABS(P653-$P$3)</f>
        <v/>
      </c>
    </row>
    <row r="654">
      <c r="D654" s="13" t="n">
        <v>652</v>
      </c>
      <c r="E654" s="14" t="n">
        <v>6.514653323802717</v>
      </c>
      <c r="F654" s="15" t="n">
        <v>1.427006870063246</v>
      </c>
      <c r="G654" s="16">
        <f>DEGREES(F654)</f>
        <v/>
      </c>
      <c r="H654" s="15" t="n">
        <v>7.350384888141179</v>
      </c>
      <c r="I654" s="16">
        <f>DEGREES(H654)</f>
        <v/>
      </c>
      <c r="J654" s="17" t="n">
        <v>1.155717806841765</v>
      </c>
      <c r="K654" s="17" t="n">
        <v>0.7189472836582509</v>
      </c>
      <c r="L654" s="18">
        <f>$B$5*$B$3*$B$6*SIN(F654)</f>
        <v/>
      </c>
      <c r="M654" s="18">
        <f>$B$9*K654*(SIN(F654))^2 + $B$8*($B$10+K654*COS(F654))*COS(F654)</f>
        <v/>
      </c>
      <c r="N654" s="18">
        <f>0.5*$B$9*(J654^2 + (K654*SIN(F654))^2) + 0.5*$B$8*($B$10 + K654*COS(F654))^2</f>
        <v/>
      </c>
      <c r="O654" s="18">
        <f>$B$3*$B$6*$B$5*COS(F654)</f>
        <v/>
      </c>
      <c r="P654" s="18">
        <f>N654+O654</f>
        <v/>
      </c>
      <c r="Q654" s="19">
        <f>ABS(P654-$P$3)</f>
        <v/>
      </c>
    </row>
    <row r="655">
      <c r="D655" s="6" t="n">
        <v>653</v>
      </c>
      <c r="E655" s="7" t="n">
        <v>6.524660471765547</v>
      </c>
      <c r="F655" s="8" t="n">
        <v>1.438446618884186</v>
      </c>
      <c r="G655" s="9">
        <f>DEGREES(F655)</f>
        <v/>
      </c>
      <c r="H655" s="8" t="n">
        <v>7.357292228646624</v>
      </c>
      <c r="I655" s="9">
        <f>DEGREES(H655)</f>
        <v/>
      </c>
      <c r="J655" s="10" t="n">
        <v>1.12999933126676</v>
      </c>
      <c r="K655" s="10" t="n">
        <v>0.6617485395535512</v>
      </c>
      <c r="L655" s="11">
        <f>$B$5*$B$3*$B$6*SIN(F655)</f>
        <v/>
      </c>
      <c r="M655" s="11">
        <f>$B$9*K655*(SIN(F655))^2 + $B$8*($B$10+K655*COS(F655))*COS(F655)</f>
        <v/>
      </c>
      <c r="N655" s="11">
        <f>0.5*$B$9*(J655^2 + (K655*SIN(F655))^2) + 0.5*$B$8*($B$10 + K655*COS(F655))^2</f>
        <v/>
      </c>
      <c r="O655" s="11">
        <f>$B$3*$B$6*$B$5*COS(F655)</f>
        <v/>
      </c>
      <c r="P655" s="11">
        <f>N655+O655</f>
        <v/>
      </c>
      <c r="Q655" s="12">
        <f>ABS(P655-$P$3)</f>
        <v/>
      </c>
    </row>
    <row r="656">
      <c r="D656" s="13" t="n">
        <v>654</v>
      </c>
      <c r="E656" s="14" t="n">
        <v>6.534667619728378</v>
      </c>
      <c r="F656" s="15" t="n">
        <v>1.449611175325805</v>
      </c>
      <c r="G656" s="16">
        <f>DEGREES(F656)</f>
        <v/>
      </c>
      <c r="H656" s="15" t="n">
        <v>7.363633909538803</v>
      </c>
      <c r="I656" s="16">
        <f>DEGREES(H656)</f>
        <v/>
      </c>
      <c r="J656" s="17" t="n">
        <v>1.100733038597349</v>
      </c>
      <c r="K656" s="17" t="n">
        <v>0.6059257573454555</v>
      </c>
      <c r="L656" s="18">
        <f>$B$5*$B$3*$B$6*SIN(F656)</f>
        <v/>
      </c>
      <c r="M656" s="18">
        <f>$B$9*K656*(SIN(F656))^2 + $B$8*($B$10+K656*COS(F656))*COS(F656)</f>
        <v/>
      </c>
      <c r="N656" s="18">
        <f>0.5*$B$9*(J656^2 + (K656*SIN(F656))^2) + 0.5*$B$8*($B$10 + K656*COS(F656))^2</f>
        <v/>
      </c>
      <c r="O656" s="18">
        <f>$B$3*$B$6*$B$5*COS(F656)</f>
        <v/>
      </c>
      <c r="P656" s="18">
        <f>N656+O656</f>
        <v/>
      </c>
      <c r="Q656" s="19">
        <f>ABS(P656-$P$3)</f>
        <v/>
      </c>
    </row>
    <row r="657">
      <c r="D657" s="6" t="n">
        <v>655</v>
      </c>
      <c r="E657" s="7" t="n">
        <v>6.544674767691208</v>
      </c>
      <c r="F657" s="8" t="n">
        <v>1.460465486443292</v>
      </c>
      <c r="G657" s="9">
        <f>DEGREES(F657)</f>
        <v/>
      </c>
      <c r="H657" s="8" t="n">
        <v>7.369424581056292</v>
      </c>
      <c r="I657" s="9">
        <f>DEGREES(H657)</f>
        <v/>
      </c>
      <c r="J657" s="10" t="n">
        <v>1.068010815129877</v>
      </c>
      <c r="K657" s="10" t="n">
        <v>0.5516542017580248</v>
      </c>
      <c r="L657" s="11">
        <f>$B$5*$B$3*$B$6*SIN(F657)</f>
        <v/>
      </c>
      <c r="M657" s="11">
        <f>$B$9*K657*(SIN(F657))^2 + $B$8*($B$10+K657*COS(F657))*COS(F657)</f>
        <v/>
      </c>
      <c r="N657" s="11">
        <f>0.5*$B$9*(J657^2 + (K657*SIN(F657))^2) + 0.5*$B$8*($B$10 + K657*COS(F657))^2</f>
        <v/>
      </c>
      <c r="O657" s="11">
        <f>$B$3*$B$6*$B$5*COS(F657)</f>
        <v/>
      </c>
      <c r="P657" s="11">
        <f>N657+O657</f>
        <v/>
      </c>
      <c r="Q657" s="12">
        <f>ABS(P657-$P$3)</f>
        <v/>
      </c>
    </row>
    <row r="658">
      <c r="D658" s="13" t="n">
        <v>656</v>
      </c>
      <c r="E658" s="14" t="n">
        <v>6.554681915654039</v>
      </c>
      <c r="F658" s="15" t="n">
        <v>1.4709754733576</v>
      </c>
      <c r="G658" s="16">
        <f>DEGREES(F658)</f>
        <v/>
      </c>
      <c r="H658" s="15" t="n">
        <v>7.374680623421415</v>
      </c>
      <c r="I658" s="16">
        <f>DEGREES(H658)</f>
        <v/>
      </c>
      <c r="J658" s="17" t="n">
        <v>1.031935397618762</v>
      </c>
      <c r="K658" s="17" t="n">
        <v>0.4991042671864816</v>
      </c>
      <c r="L658" s="18">
        <f>$B$5*$B$3*$B$6*SIN(F658)</f>
        <v/>
      </c>
      <c r="M658" s="18">
        <f>$B$9*K658*(SIN(F658))^2 + $B$8*($B$10+K658*COS(F658))*COS(F658)</f>
        <v/>
      </c>
      <c r="N658" s="18">
        <f>0.5*$B$9*(J658^2 + (K658*SIN(F658))^2) + 0.5*$B$8*($B$10 + K658*COS(F658))^2</f>
        <v/>
      </c>
      <c r="O658" s="18">
        <f>$B$3*$B$6*$B$5*COS(F658)</f>
        <v/>
      </c>
      <c r="P658" s="18">
        <f>N658+O658</f>
        <v/>
      </c>
      <c r="Q658" s="19">
        <f>ABS(P658-$P$3)</f>
        <v/>
      </c>
    </row>
    <row r="659">
      <c r="D659" s="6" t="n">
        <v>657</v>
      </c>
      <c r="E659" s="7" t="n">
        <v>6.56468906361687</v>
      </c>
      <c r="F659" s="8" t="n">
        <v>1.481108138251649</v>
      </c>
      <c r="G659" s="9">
        <f>DEGREES(F659)</f>
        <v/>
      </c>
      <c r="H659" s="8" t="n">
        <v>7.379420095411863</v>
      </c>
      <c r="I659" s="9">
        <f>DEGREES(H659)</f>
        <v/>
      </c>
      <c r="J659" s="10" t="n">
        <v>0.9926200507176978</v>
      </c>
      <c r="K659" s="10" t="n">
        <v>0.4484409427162386</v>
      </c>
      <c r="L659" s="11">
        <f>$B$5*$B$3*$B$6*SIN(F659)</f>
        <v/>
      </c>
      <c r="M659" s="11">
        <f>$B$9*K659*(SIN(F659))^2 + $B$8*($B$10+K659*COS(F659))*COS(F659)</f>
        <v/>
      </c>
      <c r="N659" s="11">
        <f>0.5*$B$9*(J659^2 + (K659*SIN(F659))^2) + 0.5*$B$8*($B$10 + K659*COS(F659))^2</f>
        <v/>
      </c>
      <c r="O659" s="11">
        <f>$B$3*$B$6*$B$5*COS(F659)</f>
        <v/>
      </c>
      <c r="P659" s="11">
        <f>N659+O659</f>
        <v/>
      </c>
      <c r="Q659" s="12">
        <f>ABS(P659-$P$3)</f>
        <v/>
      </c>
    </row>
    <row r="660">
      <c r="D660" s="13" t="n">
        <v>658</v>
      </c>
      <c r="E660" s="14" t="n">
        <v>6.5746962115797</v>
      </c>
      <c r="F660" s="15" t="n">
        <v>1.490831667972342</v>
      </c>
      <c r="G660" s="16">
        <f>DEGREES(F660)</f>
        <v/>
      </c>
      <c r="H660" s="15" t="n">
        <v>7.383662677662227</v>
      </c>
      <c r="I660" s="16">
        <f>DEGREES(H660)</f>
        <v/>
      </c>
      <c r="J660" s="17" t="n">
        <v>0.9501882113668225</v>
      </c>
      <c r="K660" s="17" t="n">
        <v>0.3998232941127714</v>
      </c>
      <c r="L660" s="18">
        <f>$B$5*$B$3*$B$6*SIN(F660)</f>
        <v/>
      </c>
      <c r="M660" s="18">
        <f>$B$9*K660*(SIN(F660))^2 + $B$8*($B$10+K660*COS(F660))*COS(F660)</f>
        <v/>
      </c>
      <c r="N660" s="18">
        <f>0.5*$B$9*(J660^2 + (K660*SIN(F660))^2) + 0.5*$B$8*($B$10 + K660*COS(F660))^2</f>
        <v/>
      </c>
      <c r="O660" s="18">
        <f>$B$3*$B$6*$B$5*COS(F660)</f>
        <v/>
      </c>
      <c r="P660" s="18">
        <f>N660+O660</f>
        <v/>
      </c>
      <c r="Q660" s="19">
        <f>ABS(P660-$P$3)</f>
        <v/>
      </c>
    </row>
    <row r="661">
      <c r="D661" s="6" t="n">
        <v>659</v>
      </c>
      <c r="E661" s="7" t="n">
        <v>6.584703359542531</v>
      </c>
      <c r="F661" s="8" t="n">
        <v>1.500115533913153</v>
      </c>
      <c r="G661" s="9">
        <f>DEGREES(F661)</f>
        <v/>
      </c>
      <c r="H661" s="8" t="n">
        <v>7.38742961087343</v>
      </c>
      <c r="I661" s="9">
        <f>DEGREES(H661)</f>
        <v/>
      </c>
      <c r="J661" s="10" t="n">
        <v>0.9047731012423182</v>
      </c>
      <c r="K661" s="10" t="n">
        <v>0.3534039644087195</v>
      </c>
      <c r="L661" s="11">
        <f>$B$5*$B$3*$B$6*SIN(F661)</f>
        <v/>
      </c>
      <c r="M661" s="11">
        <f>$B$9*K661*(SIN(F661))^2 + $B$8*($B$10+K661*COS(F661))*COS(F661)</f>
        <v/>
      </c>
      <c r="N661" s="11">
        <f>0.5*$B$9*(J661^2 + (K661*SIN(F661))^2) + 0.5*$B$8*($B$10 + K661*COS(F661))^2</f>
        <v/>
      </c>
      <c r="O661" s="11">
        <f>$B$3*$B$6*$B$5*COS(F661)</f>
        <v/>
      </c>
      <c r="P661" s="11">
        <f>N661+O661</f>
        <v/>
      </c>
      <c r="Q661" s="12">
        <f>ABS(P661-$P$3)</f>
        <v/>
      </c>
    </row>
    <row r="662">
      <c r="D662" s="13" t="n">
        <v>660</v>
      </c>
      <c r="E662" s="14" t="n">
        <v>6.594710507505361</v>
      </c>
      <c r="F662" s="15" t="n">
        <v>1.508930587863656</v>
      </c>
      <c r="G662" s="16">
        <f>DEGREES(F662)</f>
        <v/>
      </c>
      <c r="H662" s="15" t="n">
        <v>7.390743629124081</v>
      </c>
      <c r="I662" s="16">
        <f>DEGREES(H662)</f>
        <v/>
      </c>
      <c r="J662" s="17" t="n">
        <v>0.8565173084852445</v>
      </c>
      <c r="K662" s="17" t="n">
        <v>0.3093286946562038</v>
      </c>
      <c r="L662" s="18">
        <f>$B$5*$B$3*$B$6*SIN(F662)</f>
        <v/>
      </c>
      <c r="M662" s="18">
        <f>$B$9*K662*(SIN(F662))^2 + $B$8*($B$10+K662*COS(F662))*COS(F662)</f>
        <v/>
      </c>
      <c r="N662" s="18">
        <f>0.5*$B$9*(J662^2 + (K662*SIN(F662))^2) + 0.5*$B$8*($B$10 + K662*COS(F662))^2</f>
        <v/>
      </c>
      <c r="O662" s="18">
        <f>$B$3*$B$6*$B$5*COS(F662)</f>
        <v/>
      </c>
      <c r="P662" s="18">
        <f>N662+O662</f>
        <v/>
      </c>
      <c r="Q662" s="19">
        <f>ABS(P662-$P$3)</f>
        <v/>
      </c>
    </row>
    <row r="663">
      <c r="D663" s="6" t="n">
        <v>661</v>
      </c>
      <c r="E663" s="7" t="n">
        <v>6.604717655468192</v>
      </c>
      <c r="F663" s="8" t="n">
        <v>1.517249153525088</v>
      </c>
      <c r="G663" s="9">
        <f>DEGREES(F663)</f>
        <v/>
      </c>
      <c r="H663" s="8" t="n">
        <v>7.393628888493142</v>
      </c>
      <c r="I663" s="9">
        <f>DEGREES(H663)</f>
        <v/>
      </c>
      <c r="J663" s="10" t="n">
        <v>0.805572340022834</v>
      </c>
      <c r="K663" s="10" t="n">
        <v>0.2677358663490425</v>
      </c>
      <c r="L663" s="11">
        <f>$B$5*$B$3*$B$6*SIN(F663)</f>
        <v/>
      </c>
      <c r="M663" s="11">
        <f>$B$9*K663*(SIN(F663))^2 + $B$8*($B$10+K663*COS(F663))*COS(F663)</f>
        <v/>
      </c>
      <c r="N663" s="11">
        <f>0.5*$B$9*(J663^2 + (K663*SIN(F663))^2) + 0.5*$B$8*($B$10 + K663*COS(F663))^2</f>
        <v/>
      </c>
      <c r="O663" s="11">
        <f>$B$3*$B$6*$B$5*COS(F663)</f>
        <v/>
      </c>
      <c r="P663" s="11">
        <f>N663+O663</f>
        <v/>
      </c>
      <c r="Q663" s="12">
        <f>ABS(P663-$P$3)</f>
        <v/>
      </c>
    </row>
    <row r="664">
      <c r="D664" s="13" t="n">
        <v>662</v>
      </c>
      <c r="E664" s="14" t="n">
        <v>6.614724803431023</v>
      </c>
      <c r="F664" s="15" t="n">
        <v>1.525045113404603</v>
      </c>
      <c r="G664" s="16">
        <f>DEGREES(F664)</f>
        <v/>
      </c>
      <c r="H664" s="15" t="n">
        <v>7.396110891217965</v>
      </c>
      <c r="I664" s="16">
        <f>DEGREES(H664)</f>
        <v/>
      </c>
      <c r="J664" s="17" t="n">
        <v>0.7520981458877646</v>
      </c>
      <c r="K664" s="17" t="n">
        <v>0.228756066951469</v>
      </c>
      <c r="L664" s="18">
        <f>$B$5*$B$3*$B$6*SIN(F664)</f>
        <v/>
      </c>
      <c r="M664" s="18">
        <f>$B$9*K664*(SIN(F664))^2 + $B$8*($B$10+K664*COS(F664))*COS(F664)</f>
        <v/>
      </c>
      <c r="N664" s="18">
        <f>0.5*$B$9*(J664^2 + (K664*SIN(F664))^2) + 0.5*$B$8*($B$10 + K664*COS(F664))^2</f>
        <v/>
      </c>
      <c r="O664" s="18">
        <f>$B$3*$B$6*$B$5*COS(F664)</f>
        <v/>
      </c>
      <c r="P664" s="18">
        <f>N664+O664</f>
        <v/>
      </c>
      <c r="Q664" s="19">
        <f>ABS(P664-$P$3)</f>
        <v/>
      </c>
    </row>
    <row r="665">
      <c r="D665" s="6" t="n">
        <v>663</v>
      </c>
      <c r="E665" s="7" t="n">
        <v>6.624731951393853</v>
      </c>
      <c r="F665" s="8" t="n">
        <v>1.532293990815385</v>
      </c>
      <c r="G665" s="9">
        <f>DEGREES(F665)</f>
        <v/>
      </c>
      <c r="H665" s="8" t="n">
        <v>7.398216405625878</v>
      </c>
      <c r="I665" s="9">
        <f>DEGREES(H665)</f>
        <v/>
      </c>
      <c r="J665" s="10" t="n">
        <v>0.6962626170290335</v>
      </c>
      <c r="K665" s="10" t="n">
        <v>0.1925116798975568</v>
      </c>
      <c r="L665" s="11">
        <f>$B$5*$B$3*$B$6*SIN(F665)</f>
        <v/>
      </c>
      <c r="M665" s="11">
        <f>$B$9*K665*(SIN(F665))^2 + $B$8*($B$10+K665*COS(F665))*COS(F665)</f>
        <v/>
      </c>
      <c r="N665" s="11">
        <f>0.5*$B$9*(J665^2 + (K665*SIN(F665))^2) + 0.5*$B$8*($B$10 + K665*COS(F665))^2</f>
        <v/>
      </c>
      <c r="O665" s="11">
        <f>$B$3*$B$6*$B$5*COS(F665)</f>
        <v/>
      </c>
      <c r="P665" s="11">
        <f>N665+O665</f>
        <v/>
      </c>
      <c r="Q665" s="12">
        <f>ABS(P665-$P$3)</f>
        <v/>
      </c>
    </row>
    <row r="666">
      <c r="D666" s="13" t="n">
        <v>664</v>
      </c>
      <c r="E666" s="14" t="n">
        <v>6.634739099356683</v>
      </c>
      <c r="F666" s="15" t="n">
        <v>1.538973026725214</v>
      </c>
      <c r="G666" s="16">
        <f>DEGREES(F666)</f>
        <v/>
      </c>
      <c r="H666" s="15" t="n">
        <v>7.39997338209064</v>
      </c>
      <c r="I666" s="16">
        <f>DEGREES(H666)</f>
        <v/>
      </c>
      <c r="J666" s="17" t="n">
        <v>0.638241058190861</v>
      </c>
      <c r="K666" s="17" t="n">
        <v>0.1591165003484111</v>
      </c>
      <c r="L666" s="18">
        <f>$B$5*$B$3*$B$6*SIN(F666)</f>
        <v/>
      </c>
      <c r="M666" s="18">
        <f>$B$9*K666*(SIN(F666))^2 + $B$8*($B$10+K666*COS(F666))*COS(F666)</f>
        <v/>
      </c>
      <c r="N666" s="18">
        <f>0.5*$B$9*(J666^2 + (K666*SIN(F666))^2) + 0.5*$B$8*($B$10 + K666*COS(F666))^2</f>
        <v/>
      </c>
      <c r="O666" s="18">
        <f>$B$3*$B$6*$B$5*COS(F666)</f>
        <v/>
      </c>
      <c r="P666" s="18">
        <f>N666+O666</f>
        <v/>
      </c>
      <c r="Q666" s="19">
        <f>ABS(P666-$P$3)</f>
        <v/>
      </c>
    </row>
    <row r="667">
      <c r="D667" s="6" t="n">
        <v>665</v>
      </c>
      <c r="E667" s="7" t="n">
        <v>6.644746247319515</v>
      </c>
      <c r="F667" s="8" t="n">
        <v>1.545061251212145</v>
      </c>
      <c r="G667" s="9">
        <f>DEGREES(F667)</f>
        <v/>
      </c>
      <c r="H667" s="8" t="n">
        <v>7.4014108652777</v>
      </c>
      <c r="I667" s="9">
        <f>DEGREES(H667)</f>
        <v/>
      </c>
      <c r="J667" s="10" t="n">
        <v>0.5782156375149379</v>
      </c>
      <c r="K667" s="10" t="n">
        <v>0.1286753779137598</v>
      </c>
      <c r="L667" s="11">
        <f>$B$5*$B$3*$B$6*SIN(F667)</f>
        <v/>
      </c>
      <c r="M667" s="11">
        <f>$B$9*K667*(SIN(F667))^2 + $B$8*($B$10+K667*COS(F667))*COS(F667)</f>
        <v/>
      </c>
      <c r="N667" s="11">
        <f>0.5*$B$9*(J667^2 + (K667*SIN(F667))^2) + 0.5*$B$8*($B$10 + K667*COS(F667))^2</f>
        <v/>
      </c>
      <c r="O667" s="11">
        <f>$B$3*$B$6*$B$5*COS(F667)</f>
        <v/>
      </c>
      <c r="P667" s="11">
        <f>N667+O667</f>
        <v/>
      </c>
      <c r="Q667" s="12">
        <f>ABS(P667-$P$3)</f>
        <v/>
      </c>
    </row>
    <row r="668">
      <c r="D668" s="13" t="n">
        <v>666</v>
      </c>
      <c r="E668" s="14" t="n">
        <v>6.654753395282345</v>
      </c>
      <c r="F668" s="15" t="n">
        <v>1.550539549302995</v>
      </c>
      <c r="G668" s="16">
        <f>DEGREES(F668)</f>
        <v/>
      </c>
      <c r="H668" s="15" t="n">
        <v>7.402558902953733</v>
      </c>
      <c r="I668" s="16">
        <f>DEGREES(H668)</f>
        <v/>
      </c>
      <c r="J668" s="17" t="n">
        <v>0.5163748145938558</v>
      </c>
      <c r="K668" s="17" t="n">
        <v>0.1012838874595083</v>
      </c>
      <c r="L668" s="18">
        <f>$B$5*$B$3*$B$6*SIN(F668)</f>
        <v/>
      </c>
      <c r="M668" s="18">
        <f>$B$9*K668*(SIN(F668))^2 + $B$8*($B$10+K668*COS(F668))*COS(F668)</f>
        <v/>
      </c>
      <c r="N668" s="18">
        <f>0.5*$B$9*(J668^2 + (K668*SIN(F668))^2) + 0.5*$B$8*($B$10 + K668*COS(F668))^2</f>
        <v/>
      </c>
      <c r="O668" s="18">
        <f>$B$3*$B$6*$B$5*COS(F668)</f>
        <v/>
      </c>
      <c r="P668" s="18">
        <f>N668+O668</f>
        <v/>
      </c>
      <c r="Q668" s="19">
        <f>ABS(P668-$P$3)</f>
        <v/>
      </c>
    </row>
    <row r="669">
      <c r="D669" s="6" t="n">
        <v>667</v>
      </c>
      <c r="E669" s="7" t="n">
        <v>6.664760543245175</v>
      </c>
      <c r="F669" s="8" t="n">
        <v>1.555390720987929</v>
      </c>
      <c r="G669" s="9">
        <f>DEGREES(F669)</f>
        <v/>
      </c>
      <c r="H669" s="8" t="n">
        <v>7.403448451646771</v>
      </c>
      <c r="I669" s="9">
        <f>DEGREES(H669)</f>
        <v/>
      </c>
      <c r="J669" s="10" t="n">
        <v>0.4529127487714255</v>
      </c>
      <c r="K669" s="10" t="n">
        <v>0.07702802903483685</v>
      </c>
      <c r="L669" s="11">
        <f>$B$5*$B$3*$B$6*SIN(F669)</f>
        <v/>
      </c>
      <c r="M669" s="11">
        <f>$B$9*K669*(SIN(F669))^2 + $B$8*($B$10+K669*COS(F669))*COS(F669)</f>
        <v/>
      </c>
      <c r="N669" s="11">
        <f>0.5*$B$9*(J669^2 + (K669*SIN(F669))^2) + 0.5*$B$8*($B$10 + K669*COS(F669))^2</f>
        <v/>
      </c>
      <c r="O669" s="11">
        <f>$B$3*$B$6*$B$5*COS(F669)</f>
        <v/>
      </c>
      <c r="P669" s="11">
        <f>N669+O669</f>
        <v/>
      </c>
      <c r="Q669" s="12">
        <f>ABS(P669-$P$3)</f>
        <v/>
      </c>
    </row>
    <row r="670">
      <c r="D670" s="13" t="n">
        <v>668</v>
      </c>
      <c r="E670" s="14" t="n">
        <v>6.674767691208007</v>
      </c>
      <c r="F670" s="15" t="n">
        <v>1.559599535222684</v>
      </c>
      <c r="G670" s="16">
        <f>DEGREES(F670)</f>
        <v/>
      </c>
      <c r="H670" s="15" t="n">
        <v>7.404111279453145</v>
      </c>
      <c r="I670" s="16">
        <f>DEGREES(H670)</f>
        <v/>
      </c>
      <c r="J670" s="17" t="n">
        <v>0.3880286895478454</v>
      </c>
      <c r="K670" s="17" t="n">
        <v>0.05598395786106414</v>
      </c>
      <c r="L670" s="18">
        <f>$B$5*$B$3*$B$6*SIN(F670)</f>
        <v/>
      </c>
      <c r="M670" s="18">
        <f>$B$9*K670*(SIN(F670))^2 + $B$8*($B$10+K670*COS(F670))*COS(F670)</f>
        <v/>
      </c>
      <c r="N670" s="18">
        <f>0.5*$B$9*(J670^2 + (K670*SIN(F670))^2) + 0.5*$B$8*($B$10 + K670*COS(F670))^2</f>
        <v/>
      </c>
      <c r="O670" s="18">
        <f>$B$3*$B$6*$B$5*COS(F670)</f>
        <v/>
      </c>
      <c r="P670" s="18">
        <f>N670+O670</f>
        <v/>
      </c>
      <c r="Q670" s="19">
        <f>ABS(P670-$P$3)</f>
        <v/>
      </c>
    </row>
    <row r="671">
      <c r="D671" s="6" t="n">
        <v>669</v>
      </c>
      <c r="E671" s="7" t="n">
        <v>6.684774839170837</v>
      </c>
      <c r="F671" s="8" t="n">
        <v>1.563152777748917</v>
      </c>
      <c r="G671" s="9">
        <f>DEGREES(F671)</f>
        <v/>
      </c>
      <c r="H671" s="8" t="n">
        <v>7.404579866296368</v>
      </c>
      <c r="I671" s="9">
        <f>DEGREES(H671)</f>
        <v/>
      </c>
      <c r="J671" s="10" t="n">
        <v>0.3219263510033795</v>
      </c>
      <c r="K671" s="10" t="n">
        <v>0.03821774522989796</v>
      </c>
      <c r="L671" s="11">
        <f>$B$5*$B$3*$B$6*SIN(F671)</f>
        <v/>
      </c>
      <c r="M671" s="11">
        <f>$B$9*K671*(SIN(F671))^2 + $B$8*($B$10+K671*COS(F671))*COS(F671)</f>
        <v/>
      </c>
      <c r="N671" s="11">
        <f>0.5*$B$9*(J671^2 + (K671*SIN(F671))^2) + 0.5*$B$8*($B$10 + K671*COS(F671))^2</f>
        <v/>
      </c>
      <c r="O671" s="11">
        <f>$B$3*$B$6*$B$5*COS(F671)</f>
        <v/>
      </c>
      <c r="P671" s="11">
        <f>N671+O671</f>
        <v/>
      </c>
      <c r="Q671" s="12">
        <f>ABS(P671-$P$3)</f>
        <v/>
      </c>
    </row>
    <row r="672">
      <c r="D672" s="13" t="n">
        <v>670</v>
      </c>
      <c r="E672" s="14" t="n">
        <v>6.694781987133667</v>
      </c>
      <c r="F672" s="15" t="n">
        <v>1.566039292582527</v>
      </c>
      <c r="G672" s="16">
        <f>DEGREES(F672)</f>
        <v/>
      </c>
      <c r="H672" s="15" t="n">
        <v>7.404887301951117</v>
      </c>
      <c r="I672" s="16">
        <f>DEGREES(H672)</f>
        <v/>
      </c>
      <c r="J672" s="17" t="n">
        <v>0.2548132722048034</v>
      </c>
      <c r="K672" s="17" t="n">
        <v>0.02378517106184996</v>
      </c>
      <c r="L672" s="18">
        <f>$B$5*$B$3*$B$6*SIN(F672)</f>
        <v/>
      </c>
      <c r="M672" s="18">
        <f>$B$9*K672*(SIN(F672))^2 + $B$8*($B$10+K672*COS(F672))*COS(F672)</f>
        <v/>
      </c>
      <c r="N672" s="18">
        <f>0.5*$B$9*(J672^2 + (K672*SIN(F672))^2) + 0.5*$B$8*($B$10 + K672*COS(F672))^2</f>
        <v/>
      </c>
      <c r="O672" s="18">
        <f>$B$3*$B$6*$B$5*COS(F672)</f>
        <v/>
      </c>
      <c r="P672" s="18">
        <f>N672+O672</f>
        <v/>
      </c>
      <c r="Q672" s="19">
        <f>ABS(P672-$P$3)</f>
        <v/>
      </c>
    </row>
    <row r="673">
      <c r="D673" s="6" t="n">
        <v>671</v>
      </c>
      <c r="E673" s="7" t="n">
        <v>6.704789135096498</v>
      </c>
      <c r="F673" s="8" t="n">
        <v>1.56825001703968</v>
      </c>
      <c r="G673" s="9">
        <f>DEGREES(F673)</f>
        <v/>
      </c>
      <c r="H673" s="8" t="n">
        <v>7.405067182152494</v>
      </c>
      <c r="I673" s="9">
        <f>DEGREES(H673)</f>
        <v/>
      </c>
      <c r="J673" s="10" t="n">
        <v>0.1869001656026747</v>
      </c>
      <c r="K673" s="10" t="n">
        <v>0.01273154877608107</v>
      </c>
      <c r="L673" s="11">
        <f>$B$5*$B$3*$B$6*SIN(F673)</f>
        <v/>
      </c>
      <c r="M673" s="11">
        <f>$B$9*K673*(SIN(F673))^2 + $B$8*($B$10+K673*COS(F673))*COS(F673)</f>
        <v/>
      </c>
      <c r="N673" s="11">
        <f>0.5*$B$9*(J673^2 + (K673*SIN(F673))^2) + 0.5*$B$8*($B$10 + K673*COS(F673))^2</f>
        <v/>
      </c>
      <c r="O673" s="11">
        <f>$B$3*$B$6*$B$5*COS(F673)</f>
        <v/>
      </c>
      <c r="P673" s="11">
        <f>N673+O673</f>
        <v/>
      </c>
      <c r="Q673" s="12">
        <f>ABS(P673-$P$3)</f>
        <v/>
      </c>
    </row>
    <row r="674">
      <c r="D674" s="13" t="n">
        <v>672</v>
      </c>
      <c r="E674" s="14" t="n">
        <v>6.714796283059329</v>
      </c>
      <c r="F674" s="15" t="n">
        <v>1.569778010190589</v>
      </c>
      <c r="G674" s="16">
        <f>DEGREES(F674)</f>
        <v/>
      </c>
      <c r="H674" s="15" t="n">
        <v>7.405153503116736</v>
      </c>
      <c r="I674" s="16">
        <f>DEGREES(H674)</f>
        <v/>
      </c>
      <c r="J674" s="17" t="n">
        <v>0.1184002554652476</v>
      </c>
      <c r="K674" s="17" t="n">
        <v>0.005091583021537005</v>
      </c>
      <c r="L674" s="18">
        <f>$B$5*$B$3*$B$6*SIN(F674)</f>
        <v/>
      </c>
      <c r="M674" s="18">
        <f>$B$9*K674*(SIN(F674))^2 + $B$8*($B$10+K674*COS(F674))*COS(F674)</f>
        <v/>
      </c>
      <c r="N674" s="18">
        <f>0.5*$B$9*(J674^2 + (K674*SIN(F674))^2) + 0.5*$B$8*($B$10 + K674*COS(F674))^2</f>
        <v/>
      </c>
      <c r="O674" s="18">
        <f>$B$3*$B$6*$B$5*COS(F674)</f>
        <v/>
      </c>
      <c r="P674" s="18">
        <f>N674+O674</f>
        <v/>
      </c>
      <c r="Q674" s="19">
        <f>ABS(P674-$P$3)</f>
        <v/>
      </c>
    </row>
    <row r="675">
      <c r="D675" s="6" t="n">
        <v>673</v>
      </c>
      <c r="E675" s="7" t="n">
        <v>6.724803431022159</v>
      </c>
      <c r="F675" s="8" t="n">
        <v>1.570618474651687</v>
      </c>
      <c r="G675" s="9">
        <f>DEGREES(F675)</f>
        <v/>
      </c>
      <c r="H675" s="8" t="n">
        <v>7.405180554804561</v>
      </c>
      <c r="I675" s="9">
        <f>DEGREES(H675)</f>
        <v/>
      </c>
      <c r="J675" s="10" t="n">
        <v>0.0495286084261265</v>
      </c>
      <c r="K675" s="10" t="n">
        <v>0.0008892607160457811</v>
      </c>
      <c r="L675" s="11">
        <f>$B$5*$B$3*$B$6*SIN(F675)</f>
        <v/>
      </c>
      <c r="M675" s="11">
        <f>$B$9*K675*(SIN(F675))^2 + $B$8*($B$10+K675*COS(F675))*COS(F675)</f>
        <v/>
      </c>
      <c r="N675" s="11">
        <f>0.5*$B$9*(J675^2 + (K675*SIN(F675))^2) + 0.5*$B$8*($B$10 + K675*COS(F675))^2</f>
        <v/>
      </c>
      <c r="O675" s="11">
        <f>$B$3*$B$6*$B$5*COS(F675)</f>
        <v/>
      </c>
      <c r="P675" s="11">
        <f>N675+O675</f>
        <v/>
      </c>
      <c r="Q675" s="12">
        <f>ABS(P675-$P$3)</f>
        <v/>
      </c>
    </row>
    <row r="676">
      <c r="D676" s="13" t="n">
        <v>674</v>
      </c>
      <c r="E676" s="14" t="n">
        <v>6.73481057898499</v>
      </c>
      <c r="F676" s="15" t="n">
        <v>1.570768771647801</v>
      </c>
      <c r="G676" s="16">
        <f>DEGREES(F676)</f>
        <v/>
      </c>
      <c r="H676" s="15" t="n">
        <v>7.405182813262239</v>
      </c>
      <c r="I676" s="16">
        <f>DEGREES(H676)</f>
        <v/>
      </c>
      <c r="J676" s="17" t="n">
        <v>-0.019498541752487</v>
      </c>
      <c r="K676" s="17" t="n">
        <v>0.0001377757354790177</v>
      </c>
      <c r="L676" s="18">
        <f>$B$5*$B$3*$B$6*SIN(F676)</f>
        <v/>
      </c>
      <c r="M676" s="18">
        <f>$B$9*K676*(SIN(F676))^2 + $B$8*($B$10+K676*COS(F676))*COS(F676)</f>
        <v/>
      </c>
      <c r="N676" s="18">
        <f>0.5*$B$9*(J676^2 + (K676*SIN(F676))^2) + 0.5*$B$8*($B$10 + K676*COS(F676))^2</f>
        <v/>
      </c>
      <c r="O676" s="18">
        <f>$B$3*$B$6*$B$5*COS(F676)</f>
        <v/>
      </c>
      <c r="P676" s="18">
        <f>N676+O676</f>
        <v/>
      </c>
      <c r="Q676" s="19">
        <f>ABS(P676-$P$3)</f>
        <v/>
      </c>
    </row>
    <row r="677">
      <c r="D677" s="6" t="n">
        <v>675</v>
      </c>
      <c r="E677" s="7" t="n">
        <v>6.74481772694782</v>
      </c>
      <c r="F677" s="8" t="n">
        <v>1.570228429297011</v>
      </c>
      <c r="G677" s="9">
        <f>DEGREES(F677)</f>
        <v/>
      </c>
      <c r="H677" s="8" t="n">
        <v>7.405194832378423</v>
      </c>
      <c r="I677" s="9">
        <f>DEGREES(H677)</f>
        <v/>
      </c>
      <c r="J677" s="10" t="n">
        <v>-0.08846447308093722</v>
      </c>
      <c r="K677" s="10" t="n">
        <v>0.00283948748942775</v>
      </c>
      <c r="L677" s="11">
        <f>$B$5*$B$3*$B$6*SIN(F677)</f>
        <v/>
      </c>
      <c r="M677" s="11">
        <f>$B$9*K677*(SIN(F677))^2 + $B$8*($B$10+K677*COS(F677))*COS(F677)</f>
        <v/>
      </c>
      <c r="N677" s="11">
        <f>0.5*$B$9*(J677^2 + (K677*SIN(F677))^2) + 0.5*$B$8*($B$10 + K677*COS(F677))^2</f>
        <v/>
      </c>
      <c r="O677" s="11">
        <f>$B$3*$B$6*$B$5*COS(F677)</f>
        <v/>
      </c>
      <c r="P677" s="11">
        <f>N677+O677</f>
        <v/>
      </c>
      <c r="Q677" s="12">
        <f>ABS(P677-$P$3)</f>
        <v/>
      </c>
    </row>
    <row r="678">
      <c r="D678" s="13" t="n">
        <v>676</v>
      </c>
      <c r="E678" s="14" t="n">
        <v>6.754824874910651</v>
      </c>
      <c r="F678" s="15" t="n">
        <v>1.568999144092206</v>
      </c>
      <c r="G678" s="16">
        <f>DEGREES(F678)</f>
        <v/>
      </c>
      <c r="H678" s="15" t="n">
        <v>7.405251135396596</v>
      </c>
      <c r="I678" s="16">
        <f>DEGREES(H678)</f>
        <v/>
      </c>
      <c r="J678" s="17" t="n">
        <v>-0.1571526557761188</v>
      </c>
      <c r="K678" s="17" t="n">
        <v>0.008985913513450683</v>
      </c>
      <c r="L678" s="18">
        <f>$B$5*$B$3*$B$6*SIN(F678)</f>
        <v/>
      </c>
      <c r="M678" s="18">
        <f>$B$9*K678*(SIN(F678))^2 + $B$8*($B$10+K678*COS(F678))*COS(F678)</f>
        <v/>
      </c>
      <c r="N678" s="18">
        <f>0.5*$B$9*(J678^2 + (K678*SIN(F678))^2) + 0.5*$B$8*($B$10 + K678*COS(F678))^2</f>
        <v/>
      </c>
      <c r="O678" s="18">
        <f>$B$3*$B$6*$B$5*COS(F678)</f>
        <v/>
      </c>
      <c r="P678" s="18">
        <f>N678+O678</f>
        <v/>
      </c>
      <c r="Q678" s="19">
        <f>ABS(P678-$P$3)</f>
        <v/>
      </c>
    </row>
    <row r="679">
      <c r="D679" s="6" t="n">
        <v>677</v>
      </c>
      <c r="E679" s="7" t="n">
        <v>6.764832022873482</v>
      </c>
      <c r="F679" s="8" t="n">
        <v>1.567084775574665</v>
      </c>
      <c r="G679" s="9">
        <f>DEGREES(F679)</f>
        <v/>
      </c>
      <c r="H679" s="8" t="n">
        <v>7.405386106523703</v>
      </c>
      <c r="I679" s="9">
        <f>DEGREES(H679)</f>
        <v/>
      </c>
      <c r="J679" s="10" t="n">
        <v>-0.2253474320920693</v>
      </c>
      <c r="K679" s="10" t="n">
        <v>0.01855775610115962</v>
      </c>
      <c r="L679" s="11">
        <f>$B$5*$B$3*$B$6*SIN(F679)</f>
        <v/>
      </c>
      <c r="M679" s="11">
        <f>$B$9*K679*(SIN(F679))^2 + $B$8*($B$10+K679*COS(F679))*COS(F679)</f>
        <v/>
      </c>
      <c r="N679" s="11">
        <f>0.5*$B$9*(J679^2 + (K679*SIN(F679))^2) + 0.5*$B$8*($B$10 + K679*COS(F679))^2</f>
        <v/>
      </c>
      <c r="O679" s="11">
        <f>$B$3*$B$6*$B$5*COS(F679)</f>
        <v/>
      </c>
      <c r="P679" s="11">
        <f>N679+O679</f>
        <v/>
      </c>
      <c r="Q679" s="12">
        <f>ABS(P679-$P$3)</f>
        <v/>
      </c>
    </row>
    <row r="680">
      <c r="D680" s="13" t="n">
        <v>678</v>
      </c>
      <c r="E680" s="14" t="n">
        <v>6.774839170836312</v>
      </c>
      <c r="F680" s="15" t="n">
        <v>1.564491334216396</v>
      </c>
      <c r="G680" s="16">
        <f>DEGREES(F680)</f>
        <v/>
      </c>
      <c r="H680" s="15" t="n">
        <v>7.405633882975346</v>
      </c>
      <c r="I680" s="16">
        <f>DEGREES(H680)</f>
        <v/>
      </c>
      <c r="J680" s="17" t="n">
        <v>-0.2928346934125201</v>
      </c>
      <c r="K680" s="17" t="n">
        <v>0.03152496289250095</v>
      </c>
      <c r="L680" s="18">
        <f>$B$5*$B$3*$B$6*SIN(F680)</f>
        <v/>
      </c>
      <c r="M680" s="18">
        <f>$B$9*K680*(SIN(F680))^2 + $B$8*($B$10+K680*COS(F680))*COS(F680)</f>
        <v/>
      </c>
      <c r="N680" s="18">
        <f>0.5*$B$9*(J680^2 + (K680*SIN(F680))^2) + 0.5*$B$8*($B$10 + K680*COS(F680))^2</f>
        <v/>
      </c>
      <c r="O680" s="18">
        <f>$B$3*$B$6*$B$5*COS(F680)</f>
        <v/>
      </c>
      <c r="P680" s="18">
        <f>N680+O680</f>
        <v/>
      </c>
      <c r="Q680" s="19">
        <f>ABS(P680-$P$3)</f>
        <v/>
      </c>
    </row>
    <row r="681">
      <c r="D681" s="6" t="n">
        <v>679</v>
      </c>
      <c r="E681" s="7" t="n">
        <v>6.784846318799143</v>
      </c>
      <c r="F681" s="8" t="n">
        <v>1.561226962549285</v>
      </c>
      <c r="G681" s="9">
        <f>DEGREES(F681)</f>
        <v/>
      </c>
      <c r="H681" s="8" t="n">
        <v>7.406028247796417</v>
      </c>
      <c r="I681" s="9">
        <f>DEGREES(H681)</f>
        <v/>
      </c>
      <c r="J681" s="10" t="n">
        <v>-0.359402552479919</v>
      </c>
      <c r="K681" s="10" t="n">
        <v>0.04784682122805739</v>
      </c>
      <c r="L681" s="11">
        <f>$B$5*$B$3*$B$6*SIN(F681)</f>
        <v/>
      </c>
      <c r="M681" s="11">
        <f>$B$9*K681*(SIN(F681))^2 + $B$8*($B$10+K681*COS(F681))*COS(F681)</f>
        <v/>
      </c>
      <c r="N681" s="11">
        <f>0.5*$B$9*(J681^2 + (K681*SIN(F681))^2) + 0.5*$B$8*($B$10 + K681*COS(F681))^2</f>
        <v/>
      </c>
      <c r="O681" s="11">
        <f>$B$3*$B$6*$B$5*COS(F681)</f>
        <v/>
      </c>
      <c r="P681" s="11">
        <f>N681+O681</f>
        <v/>
      </c>
      <c r="Q681" s="12">
        <f>ABS(P681-$P$3)</f>
        <v/>
      </c>
    </row>
    <row r="682">
      <c r="D682" s="13" t="n">
        <v>680</v>
      </c>
      <c r="E682" s="14" t="n">
        <v>6.794853466761973</v>
      </c>
      <c r="F682" s="15" t="n">
        <v>1.557301909600284</v>
      </c>
      <c r="G682" s="16">
        <f>DEGREES(F682)</f>
        <v/>
      </c>
      <c r="H682" s="15" t="n">
        <v>7.406602523793732</v>
      </c>
      <c r="I682" s="16">
        <f>DEGREES(H682)</f>
        <v/>
      </c>
      <c r="J682" s="17" t="n">
        <v>-0.4248420086499186</v>
      </c>
      <c r="K682" s="17" t="n">
        <v>0.06747208597306198</v>
      </c>
      <c r="L682" s="18">
        <f>$B$5*$B$3*$B$6*SIN(F682)</f>
        <v/>
      </c>
      <c r="M682" s="18">
        <f>$B$9*K682*(SIN(F682))^2 + $B$8*($B$10+K682*COS(F682))*COS(F682)</f>
        <v/>
      </c>
      <c r="N682" s="18">
        <f>0.5*$B$9*(J682^2 + (K682*SIN(F682))^2) + 0.5*$B$8*($B$10 + K682*COS(F682))^2</f>
        <v/>
      </c>
      <c r="O682" s="18">
        <f>$B$3*$B$6*$B$5*COS(F682)</f>
        <v/>
      </c>
      <c r="P682" s="18">
        <f>N682+O682</f>
        <v/>
      </c>
      <c r="Q682" s="19">
        <f>ABS(P682-$P$3)</f>
        <v/>
      </c>
    </row>
    <row r="683">
      <c r="D683" s="6" t="n">
        <v>681</v>
      </c>
      <c r="E683" s="7" t="n">
        <v>6.804860614724804</v>
      </c>
      <c r="F683" s="8" t="n">
        <v>1.552728498712925</v>
      </c>
      <c r="G683" s="9">
        <f>DEGREES(F683)</f>
        <v/>
      </c>
      <c r="H683" s="8" t="n">
        <v>7.407389468913641</v>
      </c>
      <c r="I683" s="9">
        <f>DEGREES(H683)</f>
        <v/>
      </c>
      <c r="J683" s="10" t="n">
        <v>-0.48894760408301</v>
      </c>
      <c r="K683" s="10" t="n">
        <v>0.09033914040985991</v>
      </c>
      <c r="L683" s="11">
        <f>$B$5*$B$3*$B$6*SIN(F683)</f>
        <v/>
      </c>
      <c r="M683" s="11">
        <f>$B$9*K683*(SIN(F683))^2 + $B$8*($B$10+K683*COS(F683))*COS(F683)</f>
        <v/>
      </c>
      <c r="N683" s="11">
        <f>0.5*$B$9*(J683^2 + (K683*SIN(F683))^2) + 0.5*$B$8*($B$10 + K683*COS(F683))^2</f>
        <v/>
      </c>
      <c r="O683" s="11">
        <f>$B$3*$B$6*$B$5*COS(F683)</f>
        <v/>
      </c>
      <c r="P683" s="11">
        <f>N683+O683</f>
        <v/>
      </c>
      <c r="Q683" s="12">
        <f>ABS(P683-$P$3)</f>
        <v/>
      </c>
    </row>
    <row r="684">
      <c r="D684" s="13" t="n">
        <v>682</v>
      </c>
      <c r="E684" s="14" t="n">
        <v>6.814867762687634</v>
      </c>
      <c r="F684" s="15" t="n">
        <v>1.547521088856169</v>
      </c>
      <c r="G684" s="16">
        <f>DEGREES(F684)</f>
        <v/>
      </c>
      <c r="H684" s="15" t="n">
        <v>7.408421173393119</v>
      </c>
      <c r="I684" s="16">
        <f>DEGREES(H684)</f>
        <v/>
      </c>
      <c r="J684" s="17" t="n">
        <v>-0.551518068812892</v>
      </c>
      <c r="K684" s="17" t="n">
        <v>0.1163761896936366</v>
      </c>
      <c r="L684" s="18">
        <f>$B$5*$B$3*$B$6*SIN(F684)</f>
        <v/>
      </c>
      <c r="M684" s="18">
        <f>$B$9*K684*(SIN(F684))^2 + $B$8*($B$10+K684*COS(F684))*COS(F684)</f>
        <v/>
      </c>
      <c r="N684" s="18">
        <f>0.5*$B$9*(J684^2 + (K684*SIN(F684))^2) + 0.5*$B$8*($B$10 + K684*COS(F684))^2</f>
        <v/>
      </c>
      <c r="O684" s="18">
        <f>$B$3*$B$6*$B$5*COS(F684)</f>
        <v/>
      </c>
      <c r="P684" s="18">
        <f>N684+O684</f>
        <v/>
      </c>
      <c r="Q684" s="19">
        <f>ABS(P684-$P$3)</f>
        <v/>
      </c>
    </row>
    <row r="685">
      <c r="D685" s="6" t="n">
        <v>683</v>
      </c>
      <c r="E685" s="7" t="n">
        <v>6.824874910650465</v>
      </c>
      <c r="F685" s="8" t="n">
        <v>1.54169602954209</v>
      </c>
      <c r="G685" s="9">
        <f>DEGREES(F685)</f>
        <v/>
      </c>
      <c r="H685" s="8" t="n">
        <v>7.409728959007231</v>
      </c>
      <c r="I685" s="9">
        <f>DEGREES(H685)</f>
        <v/>
      </c>
      <c r="J685" s="10" t="n">
        <v>-0.6123569526663378</v>
      </c>
      <c r="K685" s="10" t="n">
        <v>0.1455014862640339</v>
      </c>
      <c r="L685" s="11">
        <f>$B$5*$B$3*$B$6*SIN(F685)</f>
        <v/>
      </c>
      <c r="M685" s="11">
        <f>$B$9*K685*(SIN(F685))^2 + $B$8*($B$10+K685*COS(F685))*COS(F685)</f>
        <v/>
      </c>
      <c r="N685" s="11">
        <f>0.5*$B$9*(J685^2 + (K685*SIN(F685))^2) + 0.5*$B$8*($B$10 + K685*COS(F685))^2</f>
        <v/>
      </c>
      <c r="O685" s="11">
        <f>$B$3*$B$6*$B$5*COS(F685)</f>
        <v/>
      </c>
      <c r="P685" s="11">
        <f>N685+O685</f>
        <v/>
      </c>
      <c r="Q685" s="12">
        <f>ABS(P685-$P$3)</f>
        <v/>
      </c>
    </row>
    <row r="686">
      <c r="D686" s="13" t="n">
        <v>684</v>
      </c>
      <c r="E686" s="14" t="n">
        <v>6.834882058613296</v>
      </c>
      <c r="F686" s="15" t="n">
        <v>1.535271609493908</v>
      </c>
      <c r="G686" s="16">
        <f>DEGREES(F686)</f>
        <v/>
      </c>
      <c r="H686" s="15" t="n">
        <v>7.411343280729324</v>
      </c>
      <c r="I686" s="16">
        <f>DEGREES(H686)</f>
        <v/>
      </c>
      <c r="J686" s="17" t="n">
        <v>-0.6712732420505361</v>
      </c>
      <c r="K686" s="17" t="n">
        <v>0.1776235865049429</v>
      </c>
      <c r="L686" s="18">
        <f>$B$5*$B$3*$B$6*SIN(F686)</f>
        <v/>
      </c>
      <c r="M686" s="18">
        <f>$B$9*K686*(SIN(F686))^2 + $B$8*($B$10+K686*COS(F686))*COS(F686)</f>
        <v/>
      </c>
      <c r="N686" s="18">
        <f>0.5*$B$9*(J686^2 + (K686*SIN(F686))^2) + 0.5*$B$8*($B$10 + K686*COS(F686))^2</f>
        <v/>
      </c>
      <c r="O686" s="18">
        <f>$B$3*$B$6*$B$5*COS(F686)</f>
        <v/>
      </c>
      <c r="P686" s="18">
        <f>N686+O686</f>
        <v/>
      </c>
      <c r="Q686" s="19">
        <f>ABS(P686-$P$3)</f>
        <v/>
      </c>
    </row>
    <row r="687">
      <c r="D687" s="6" t="n">
        <v>685</v>
      </c>
      <c r="E687" s="7" t="n">
        <v>6.844889206576126</v>
      </c>
      <c r="F687" s="8" t="n">
        <v>1.528267999225568</v>
      </c>
      <c r="G687" s="9">
        <f>DEGREES(F687)</f>
        <v/>
      </c>
      <c r="H687" s="8" t="n">
        <v>7.413293631112661</v>
      </c>
      <c r="I687" s="9">
        <f>DEGREES(H687)</f>
        <v/>
      </c>
      <c r="J687" s="10" t="n">
        <v>-0.7280819596714013</v>
      </c>
      <c r="K687" s="10" t="n">
        <v>0.2126416378466411</v>
      </c>
      <c r="L687" s="11">
        <f>$B$5*$B$3*$B$6*SIN(F687)</f>
        <v/>
      </c>
      <c r="M687" s="11">
        <f>$B$9*K687*(SIN(F687))^2 + $B$8*($B$10+K687*COS(F687))*COS(F687)</f>
        <v/>
      </c>
      <c r="N687" s="11">
        <f>0.5*$B$9*(J687^2 + (K687*SIN(F687))^2) + 0.5*$B$8*($B$10 + K687*COS(F687))^2</f>
        <v/>
      </c>
      <c r="O687" s="11">
        <f>$B$3*$B$6*$B$5*COS(F687)</f>
        <v/>
      </c>
      <c r="P687" s="11">
        <f>N687+O687</f>
        <v/>
      </c>
      <c r="Q687" s="12">
        <f>ABS(P687-$P$3)</f>
        <v/>
      </c>
    </row>
    <row r="688">
      <c r="D688" s="13" t="n">
        <v>686</v>
      </c>
      <c r="E688" s="14" t="n">
        <v>6.854896354538957</v>
      </c>
      <c r="F688" s="15" t="n">
        <v>1.520707187713123</v>
      </c>
      <c r="G688" s="16">
        <f>DEGREES(F688)</f>
        <v/>
      </c>
      <c r="H688" s="15" t="n">
        <v>7.415608447693756</v>
      </c>
      <c r="I688" s="16">
        <f>DEGREES(H688)</f>
        <v/>
      </c>
      <c r="J688" s="17" t="n">
        <v>-0.7826047452999341</v>
      </c>
      <c r="K688" s="17" t="n">
        <v>0.25044569540887</v>
      </c>
      <c r="L688" s="18">
        <f>$B$5*$B$3*$B$6*SIN(F688)</f>
        <v/>
      </c>
      <c r="M688" s="18">
        <f>$B$9*K688*(SIN(F688))^2 + $B$8*($B$10+K688*COS(F688))*COS(F688)</f>
        <v/>
      </c>
      <c r="N688" s="18">
        <f>0.5*$B$9*(J688^2 + (K688*SIN(F688))^2) + 0.5*$B$8*($B$10 + K688*COS(F688))^2</f>
        <v/>
      </c>
      <c r="O688" s="18">
        <f>$B$3*$B$6*$B$5*COS(F688)</f>
        <v/>
      </c>
      <c r="P688" s="18">
        <f>N688+O688</f>
        <v/>
      </c>
      <c r="Q688" s="19">
        <f>ABS(P688-$P$3)</f>
        <v/>
      </c>
    </row>
    <row r="689">
      <c r="D689" s="6" t="n">
        <v>687</v>
      </c>
      <c r="E689" s="7" t="n">
        <v>6.864903502501788</v>
      </c>
      <c r="F689" s="8" t="n">
        <v>1.51261291335675</v>
      </c>
      <c r="G689" s="9">
        <f>DEGREES(F689)</f>
        <v/>
      </c>
      <c r="H689" s="8" t="n">
        <v>7.418315023708079</v>
      </c>
      <c r="I689" s="9">
        <f>DEGREES(H689)</f>
        <v/>
      </c>
      <c r="J689" s="10" t="n">
        <v>-0.8346704157632664</v>
      </c>
      <c r="K689" s="10" t="n">
        <v>0.2909170671907323</v>
      </c>
      <c r="L689" s="11">
        <f>$B$5*$B$3*$B$6*SIN(F689)</f>
        <v/>
      </c>
      <c r="M689" s="11">
        <f>$B$9*K689*(SIN(F689))^2 + $B$8*($B$10+K689*COS(F689))*COS(F689)</f>
        <v/>
      </c>
      <c r="N689" s="11">
        <f>0.5*$B$9*(J689^2 + (K689*SIN(F689))^2) + 0.5*$B$8*($B$10 + K689*COS(F689))^2</f>
        <v/>
      </c>
      <c r="O689" s="11">
        <f>$B$3*$B$6*$B$5*COS(F689)</f>
        <v/>
      </c>
      <c r="P689" s="11">
        <f>N689+O689</f>
        <v/>
      </c>
      <c r="Q689" s="12">
        <f>ABS(P689-$P$3)</f>
        <v/>
      </c>
    </row>
    <row r="690">
      <c r="D690" s="13" t="n">
        <v>688</v>
      </c>
      <c r="E690" s="14" t="n">
        <v>6.874910650464618</v>
      </c>
      <c r="F690" s="15" t="n">
        <v>1.504010589450191</v>
      </c>
      <c r="G690" s="16">
        <f>DEGREES(F690)</f>
        <v/>
      </c>
      <c r="H690" s="15" t="n">
        <v>7.421439422398505</v>
      </c>
      <c r="I690" s="16">
        <f>DEGREES(H690)</f>
        <v/>
      </c>
      <c r="J690" s="17" t="n">
        <v>-0.88411550240207</v>
      </c>
      <c r="K690" s="17" t="n">
        <v>0.3339286867235274</v>
      </c>
      <c r="L690" s="18">
        <f>$B$5*$B$3*$B$6*SIN(F690)</f>
        <v/>
      </c>
      <c r="M690" s="18">
        <f>$B$9*K690*(SIN(F690))^2 + $B$8*($B$10+K690*COS(F690))*COS(F690)</f>
        <v/>
      </c>
      <c r="N690" s="18">
        <f>0.5*$B$9*(J690^2 + (K690*SIN(F690))^2) + 0.5*$B$8*($B$10 + K690*COS(F690))^2</f>
        <v/>
      </c>
      <c r="O690" s="18">
        <f>$B$3*$B$6*$B$5*COS(F690)</f>
        <v/>
      </c>
      <c r="P690" s="18">
        <f>N690+O690</f>
        <v/>
      </c>
      <c r="Q690" s="19">
        <f>ABS(P690-$P$3)</f>
        <v/>
      </c>
    </row>
    <row r="691">
      <c r="D691" s="6" t="n">
        <v>689</v>
      </c>
      <c r="E691" s="7" t="n">
        <v>6.884917798427448</v>
      </c>
      <c r="F691" s="8" t="n">
        <v>1.49492722439156</v>
      </c>
      <c r="G691" s="9">
        <f>DEGREES(F691)</f>
        <v/>
      </c>
      <c r="H691" s="8" t="n">
        <v>7.425006395185513</v>
      </c>
      <c r="I691" s="9">
        <f>DEGREES(H691)</f>
        <v/>
      </c>
      <c r="J691" s="10" t="n">
        <v>-0.9307847643071192</v>
      </c>
      <c r="K691" s="10" t="n">
        <v>0.3793455120166845</v>
      </c>
      <c r="L691" s="11">
        <f>$B$5*$B$3*$B$6*SIN(F691)</f>
        <v/>
      </c>
      <c r="M691" s="11">
        <f>$B$9*K691*(SIN(F691))^2 + $B$8*($B$10+K691*COS(F691))*COS(F691)</f>
        <v/>
      </c>
      <c r="N691" s="11">
        <f>0.5*$B$9*(J691^2 + (K691*SIN(F691))^2) + 0.5*$B$8*($B$10 + K691*COS(F691))^2</f>
        <v/>
      </c>
      <c r="O691" s="11">
        <f>$B$3*$B$6*$B$5*COS(F691)</f>
        <v/>
      </c>
      <c r="P691" s="11">
        <f>N691+O691</f>
        <v/>
      </c>
      <c r="Q691" s="12">
        <f>ABS(P691-$P$3)</f>
        <v/>
      </c>
    </row>
    <row r="692">
      <c r="D692" s="13" t="n">
        <v>690</v>
      </c>
      <c r="E692" s="14" t="n">
        <v>6.89492494639028</v>
      </c>
      <c r="F692" s="15" t="n">
        <v>1.485391336886074</v>
      </c>
      <c r="G692" s="16">
        <f>DEGREES(F692)</f>
        <v/>
      </c>
      <c r="H692" s="15" t="n">
        <v>7.429039303956058</v>
      </c>
      <c r="I692" s="16">
        <f>DEGREES(H692)</f>
        <v/>
      </c>
      <c r="J692" s="17" t="n">
        <v>-0.9745316757234253</v>
      </c>
      <c r="K692" s="17" t="n">
        <v>0.4270249495441104</v>
      </c>
      <c r="L692" s="18">
        <f>$B$5*$B$3*$B$6*SIN(F692)</f>
        <v/>
      </c>
      <c r="M692" s="18">
        <f>$B$9*K692*(SIN(F692))^2 + $B$8*($B$10+K692*COS(F692))*COS(F692)</f>
        <v/>
      </c>
      <c r="N692" s="18">
        <f>0.5*$B$9*(J692^2 + (K692*SIN(F692))^2) + 0.5*$B$8*($B$10 + K692*COS(F692))^2</f>
        <v/>
      </c>
      <c r="O692" s="18">
        <f>$B$3*$B$6*$B$5*COS(F692)</f>
        <v/>
      </c>
      <c r="P692" s="18">
        <f>N692+O692</f>
        <v/>
      </c>
      <c r="Q692" s="19">
        <f>ABS(P692-$P$3)</f>
        <v/>
      </c>
    </row>
    <row r="693">
      <c r="D693" s="6" t="n">
        <v>691</v>
      </c>
      <c r="E693" s="7" t="n">
        <v>6.90493209435311</v>
      </c>
      <c r="F693" s="8" t="n">
        <v>1.475432866406947</v>
      </c>
      <c r="G693" s="9">
        <f>DEGREES(F693)</f>
        <v/>
      </c>
      <c r="H693" s="8" t="n">
        <v>7.433560047715132</v>
      </c>
      <c r="I693" s="9">
        <f>DEGREES(H693)</f>
        <v/>
      </c>
      <c r="J693" s="10" t="n">
        <v>-1.015218886091673</v>
      </c>
      <c r="K693" s="10" t="n">
        <v>0.4768173019397466</v>
      </c>
      <c r="L693" s="11">
        <f>$B$5*$B$3*$B$6*SIN(F693)</f>
        <v/>
      </c>
      <c r="M693" s="11">
        <f>$B$9*K693*(SIN(F693))^2 + $B$8*($B$10+K693*COS(F693))*COS(F693)</f>
        <v/>
      </c>
      <c r="N693" s="11">
        <f>0.5*$B$9*(J693^2 + (K693*SIN(F693))^2) + 0.5*$B$8*($B$10 + K693*COS(F693))^2</f>
        <v/>
      </c>
      <c r="O693" s="11">
        <f>$B$3*$B$6*$B$5*COS(F693)</f>
        <v/>
      </c>
      <c r="P693" s="11">
        <f>N693+O693</f>
        <v/>
      </c>
      <c r="Q693" s="12">
        <f>ABS(P693-$P$3)</f>
        <v/>
      </c>
    </row>
    <row r="694">
      <c r="D694" s="13" t="n">
        <v>692</v>
      </c>
      <c r="E694" s="14" t="n">
        <v>6.91493924231594</v>
      </c>
      <c r="F694" s="15" t="n">
        <v>1.465083079195509</v>
      </c>
      <c r="G694" s="16">
        <f>DEGREES(F694)</f>
        <v/>
      </c>
      <c r="H694" s="15" t="n">
        <v>7.438588993830257</v>
      </c>
      <c r="I694" s="16">
        <f>DEGREES(H694)</f>
        <v/>
      </c>
      <c r="J694" s="17" t="n">
        <v>-1.052718651282768</v>
      </c>
      <c r="K694" s="17" t="n">
        <v>0.5285662379969354</v>
      </c>
      <c r="L694" s="18">
        <f>$B$5*$B$3*$B$6*SIN(F694)</f>
        <v/>
      </c>
      <c r="M694" s="18">
        <f>$B$9*K694*(SIN(F694))^2 + $B$8*($B$10+K694*COS(F694))*COS(F694)</f>
        <v/>
      </c>
      <c r="N694" s="18">
        <f>0.5*$B$9*(J694^2 + (K694*SIN(F694))^2) + 0.5*$B$8*($B$10 + K694*COS(F694))^2</f>
        <v/>
      </c>
      <c r="O694" s="18">
        <f>$B$3*$B$6*$B$5*COS(F694)</f>
        <v/>
      </c>
      <c r="P694" s="18">
        <f>N694+O694</f>
        <v/>
      </c>
      <c r="Q694" s="19">
        <f>ABS(P694-$P$3)</f>
        <v/>
      </c>
    </row>
    <row r="695">
      <c r="D695" s="6" t="n">
        <v>693</v>
      </c>
      <c r="E695" s="7" t="n">
        <v>6.924946390278771</v>
      </c>
      <c r="F695" s="8" t="n">
        <v>1.454374470095765</v>
      </c>
      <c r="G695" s="9">
        <f>DEGREES(F695)</f>
        <v/>
      </c>
      <c r="H695" s="8" t="n">
        <v>7.444144914084823</v>
      </c>
      <c r="I695" s="9">
        <f>DEGREES(H695)</f>
        <v/>
      </c>
      <c r="J695" s="10" t="n">
        <v>-1.086913234671293</v>
      </c>
      <c r="K695" s="10" t="n">
        <v>0.5821092834956594</v>
      </c>
      <c r="L695" s="11">
        <f>$B$5*$B$3*$B$6*SIN(F695)</f>
        <v/>
      </c>
      <c r="M695" s="11">
        <f>$B$9*K695*(SIN(F695))^2 + $B$8*($B$10+K695*COS(F695))*COS(F695)</f>
        <v/>
      </c>
      <c r="N695" s="11">
        <f>0.5*$B$9*(J695^2 + (K695*SIN(F695))^2) + 0.5*$B$8*($B$10 + K695*COS(F695))^2</f>
        <v/>
      </c>
      <c r="O695" s="11">
        <f>$B$3*$B$6*$B$5*COS(F695)</f>
        <v/>
      </c>
      <c r="P695" s="11">
        <f>N695+O695</f>
        <v/>
      </c>
      <c r="Q695" s="12">
        <f>ABS(P695-$P$3)</f>
        <v/>
      </c>
    </row>
    <row r="696">
      <c r="D696" s="13" t="n">
        <v>694</v>
      </c>
      <c r="E696" s="14" t="n">
        <v>6.934953538241602</v>
      </c>
      <c r="F696" s="15" t="n">
        <v>1.443340660531523</v>
      </c>
      <c r="G696" s="16">
        <f>DEGREES(F696)</f>
        <v/>
      </c>
      <c r="H696" s="15" t="n">
        <v>7.450244925741007</v>
      </c>
      <c r="I696" s="16">
        <f>DEGREES(H696)</f>
        <v/>
      </c>
      <c r="J696" s="17" t="n">
        <v>-1.117695276788862</v>
      </c>
      <c r="K696" s="17" t="n">
        <v>0.6372783313168693</v>
      </c>
      <c r="L696" s="18">
        <f>$B$5*$B$3*$B$6*SIN(F696)</f>
        <v/>
      </c>
      <c r="M696" s="18">
        <f>$B$9*K696*(SIN(F696))^2 + $B$8*($B$10+K696*COS(F696))*COS(F696)</f>
        <v/>
      </c>
      <c r="N696" s="18">
        <f>0.5*$B$9*(J696^2 + (K696*SIN(F696))^2) + 0.5*$B$8*($B$10 + K696*COS(F696))^2</f>
        <v/>
      </c>
      <c r="O696" s="18">
        <f>$B$3*$B$6*$B$5*COS(F696)</f>
        <v/>
      </c>
      <c r="P696" s="18">
        <f>N696+O696</f>
        <v/>
      </c>
      <c r="Q696" s="19">
        <f>ABS(P696-$P$3)</f>
        <v/>
      </c>
    </row>
    <row r="697">
      <c r="D697" s="6" t="n">
        <v>695</v>
      </c>
      <c r="E697" s="7" t="n">
        <v>6.944960686204432</v>
      </c>
      <c r="F697" s="8" t="n">
        <v>1.43201629294646</v>
      </c>
      <c r="G697" s="9">
        <f>DEGREES(F697)</f>
        <v/>
      </c>
      <c r="H697" s="8" t="n">
        <v>7.456904437797347</v>
      </c>
      <c r="I697" s="9">
        <f>DEGREES(H697)</f>
        <v/>
      </c>
      <c r="J697" s="10" t="n">
        <v>-1.144968132396664</v>
      </c>
      <c r="K697" s="10" t="n">
        <v>0.6939001692421805</v>
      </c>
      <c r="L697" s="11">
        <f>$B$5*$B$3*$B$6*SIN(F697)</f>
        <v/>
      </c>
      <c r="M697" s="11">
        <f>$B$9*K697*(SIN(F697))^2 + $B$8*($B$10+K697*COS(F697))*COS(F697)</f>
        <v/>
      </c>
      <c r="N697" s="11">
        <f>0.5*$B$9*(J697^2 + (K697*SIN(F697))^2) + 0.5*$B$8*($B$10 + K697*COS(F697))^2</f>
        <v/>
      </c>
      <c r="O697" s="11">
        <f>$B$3*$B$6*$B$5*COS(F697)</f>
        <v/>
      </c>
      <c r="P697" s="11">
        <f>N697+O697</f>
        <v/>
      </c>
      <c r="Q697" s="12">
        <f>ABS(P697-$P$3)</f>
        <v/>
      </c>
    </row>
    <row r="698">
      <c r="D698" s="13" t="n">
        <v>696</v>
      </c>
      <c r="E698" s="14" t="n">
        <v>6.954967834167263</v>
      </c>
      <c r="F698" s="15" t="n">
        <v>1.420436922038523</v>
      </c>
      <c r="G698" s="16">
        <f>DEGREES(F698)</f>
        <v/>
      </c>
      <c r="H698" s="15" t="n">
        <v>7.464137102609667</v>
      </c>
      <c r="I698" s="16">
        <f>DEGREES(H698)</f>
        <v/>
      </c>
      <c r="J698" s="17" t="n">
        <v>-1.168646173918947</v>
      </c>
      <c r="K698" s="17" t="n">
        <v>0.7517970237818661</v>
      </c>
      <c r="L698" s="18">
        <f>$B$5*$B$3*$B$6*SIN(F698)</f>
        <v/>
      </c>
      <c r="M698" s="18">
        <f>$B$9*K698*(SIN(F698))^2 + $B$8*($B$10+K698*COS(F698))*COS(F698)</f>
        <v/>
      </c>
      <c r="N698" s="18">
        <f>0.5*$B$9*(J698^2 + (K698*SIN(F698))^2) + 0.5*$B$8*($B$10 + K698*COS(F698))^2</f>
        <v/>
      </c>
      <c r="O698" s="18">
        <f>$B$3*$B$6*$B$5*COS(F698)</f>
        <v/>
      </c>
      <c r="P698" s="18">
        <f>N698+O698</f>
        <v/>
      </c>
      <c r="Q698" s="19">
        <f>ABS(P698-$P$3)</f>
        <v/>
      </c>
    </row>
    <row r="699">
      <c r="D699" s="6" t="n">
        <v>697</v>
      </c>
      <c r="E699" s="7" t="n">
        <v>6.964974982130093</v>
      </c>
      <c r="F699" s="8" t="n">
        <v>1.408638903130155</v>
      </c>
      <c r="G699" s="9">
        <f>DEGREES(F699)</f>
        <v/>
      </c>
      <c r="H699" s="8" t="n">
        <v>7.471954773027296</v>
      </c>
      <c r="I699" s="9">
        <f>DEGREES(H699)</f>
        <v/>
      </c>
      <c r="J699" s="10" t="n">
        <v>-1.188655060284748</v>
      </c>
      <c r="K699" s="10" t="n">
        <v>0.8107871183237066</v>
      </c>
      <c r="L699" s="11">
        <f>$B$5*$B$3*$B$6*SIN(F699)</f>
        <v/>
      </c>
      <c r="M699" s="11">
        <f>$B$9*K699*(SIN(F699))^2 + $B$8*($B$10+K699*COS(F699))*COS(F699)</f>
        <v/>
      </c>
      <c r="N699" s="11">
        <f>0.5*$B$9*(J699^2 + (K699*SIN(F699))^2) + 0.5*$B$8*($B$10 + K699*COS(F699))^2</f>
        <v/>
      </c>
      <c r="O699" s="11">
        <f>$B$3*$B$6*$B$5*COS(F699)</f>
        <v/>
      </c>
      <c r="P699" s="11">
        <f>N699+O699</f>
        <v/>
      </c>
      <c r="Q699" s="12">
        <f>ABS(P699-$P$3)</f>
        <v/>
      </c>
    </row>
    <row r="700">
      <c r="D700" s="13" t="n">
        <v>698</v>
      </c>
      <c r="E700" s="14" t="n">
        <v>6.974982130092924</v>
      </c>
      <c r="F700" s="15" t="n">
        <v>1.396659278024838</v>
      </c>
      <c r="G700" s="16">
        <f>DEGREES(F700)</f>
        <v/>
      </c>
      <c r="H700" s="15" t="n">
        <v>7.480367465179098</v>
      </c>
      <c r="I700" s="16">
        <f>DEGREES(H700)</f>
        <v/>
      </c>
      <c r="J700" s="17" t="n">
        <v>-1.2049319703338</v>
      </c>
      <c r="K700" s="17" t="n">
        <v>0.8706852438502937</v>
      </c>
      <c r="L700" s="18">
        <f>$B$5*$B$3*$B$6*SIN(F700)</f>
        <v/>
      </c>
      <c r="M700" s="18">
        <f>$B$9*K700*(SIN(F700))^2 + $B$8*($B$10+K700*COS(F700))*COS(F700)</f>
        <v/>
      </c>
      <c r="N700" s="18">
        <f>0.5*$B$9*(J700^2 + (K700*SIN(F700))^2) + 0.5*$B$8*($B$10 + K700*COS(F700))^2</f>
        <v/>
      </c>
      <c r="O700" s="18">
        <f>$B$3*$B$6*$B$5*COS(F700)</f>
        <v/>
      </c>
      <c r="P700" s="18">
        <f>N700+O700</f>
        <v/>
      </c>
      <c r="Q700" s="19">
        <f>ABS(P700-$P$3)</f>
        <v/>
      </c>
    </row>
    <row r="701">
      <c r="D701" s="6" t="n">
        <v>699</v>
      </c>
      <c r="E701" s="7" t="n">
        <v>6.984989278055755</v>
      </c>
      <c r="F701" s="8" t="n">
        <v>1.384535658708311</v>
      </c>
      <c r="G701" s="9">
        <f>DEGREES(F701)</f>
        <v/>
      </c>
      <c r="H701" s="8" t="n">
        <v>7.48938332702622</v>
      </c>
      <c r="I701" s="9">
        <f>DEGREES(H701)</f>
        <v/>
      </c>
      <c r="J701" s="10" t="n">
        <v>-1.217425800053812</v>
      </c>
      <c r="K701" s="10" t="n">
        <v>0.9313033404329301</v>
      </c>
      <c r="L701" s="11">
        <f>$B$5*$B$3*$B$6*SIN(F701)</f>
        <v/>
      </c>
      <c r="M701" s="11">
        <f>$B$9*K701*(SIN(F701))^2 + $B$8*($B$10+K701*COS(F701))*COS(F701)</f>
        <v/>
      </c>
      <c r="N701" s="11">
        <f>0.5*$B$9*(J701^2 + (K701*SIN(F701))^2) + 0.5*$B$8*($B$10 + K701*COS(F701))^2</f>
        <v/>
      </c>
      <c r="O701" s="11">
        <f>$B$3*$B$6*$B$5*COS(F701)</f>
        <v/>
      </c>
      <c r="P701" s="11">
        <f>N701+O701</f>
        <v/>
      </c>
      <c r="Q701" s="12">
        <f>ABS(P701-$P$3)</f>
        <v/>
      </c>
    </row>
    <row r="702">
      <c r="D702" s="13" t="n">
        <v>700</v>
      </c>
      <c r="E702" s="14" t="n">
        <v>6.994996426018585</v>
      </c>
      <c r="F702" s="15" t="n">
        <v>1.37230610925961</v>
      </c>
      <c r="G702" s="16">
        <f>DEGREES(F702)</f>
        <v/>
      </c>
      <c r="H702" s="15" t="n">
        <v>7.499008612780228</v>
      </c>
      <c r="I702" s="16">
        <f>DEGREES(H702)</f>
        <v/>
      </c>
      <c r="J702" s="17" t="n">
        <v>-1.226097323029839</v>
      </c>
      <c r="K702" s="17" t="n">
        <v>0.99245108767643</v>
      </c>
      <c r="L702" s="18">
        <f>$B$5*$B$3*$B$6*SIN(F702)</f>
        <v/>
      </c>
      <c r="M702" s="18">
        <f>$B$9*K702*(SIN(F702))^2 + $B$8*($B$10+K702*COS(F702))*COS(F702)</f>
        <v/>
      </c>
      <c r="N702" s="18">
        <f>0.5*$B$9*(J702^2 + (K702*SIN(F702))^2) + 0.5*$B$8*($B$10 + K702*COS(F702))^2</f>
        <v/>
      </c>
      <c r="O702" s="18">
        <f>$B$3*$B$6*$B$5*COS(F702)</f>
        <v/>
      </c>
      <c r="P702" s="18">
        <f>N702+O702</f>
        <v/>
      </c>
      <c r="Q702" s="19">
        <f>ABS(P702-$P$3)</f>
        <v/>
      </c>
    </row>
    <row r="703">
      <c r="D703" s="6" t="n">
        <v>701</v>
      </c>
      <c r="E703" s="7" t="n">
        <v>7.005003573981416</v>
      </c>
      <c r="F703" s="8" t="n">
        <v>1.360009026342693</v>
      </c>
      <c r="G703" s="9">
        <f>DEGREES(F703)</f>
        <v/>
      </c>
      <c r="H703" s="8" t="n">
        <v>7.509247663266993</v>
      </c>
      <c r="I703" s="9">
        <f>DEGREES(H703)</f>
        <v/>
      </c>
      <c r="J703" s="10" t="n">
        <v>-1.230919313602008</v>
      </c>
      <c r="K703" s="10" t="n">
        <v>1.053936502261015</v>
      </c>
      <c r="L703" s="11">
        <f>$B$5*$B$3*$B$6*SIN(F703)</f>
        <v/>
      </c>
      <c r="M703" s="11">
        <f>$B$9*K703*(SIN(F703))^2 + $B$8*($B$10+K703*COS(F703))*COS(F703)</f>
        <v/>
      </c>
      <c r="N703" s="11">
        <f>0.5*$B$9*(J703^2 + (K703*SIN(F703))^2) + 0.5*$B$8*($B$10 + K703*COS(F703))^2</f>
        <v/>
      </c>
      <c r="O703" s="11">
        <f>$B$3*$B$6*$B$5*COS(F703)</f>
        <v/>
      </c>
      <c r="P703" s="11">
        <f>N703+O703</f>
        <v/>
      </c>
      <c r="Q703" s="12">
        <f>ABS(P703-$P$3)</f>
        <v/>
      </c>
    </row>
    <row r="704">
      <c r="D704" s="13" t="n">
        <v>702</v>
      </c>
      <c r="E704" s="14" t="n">
        <v>7.015010721944247</v>
      </c>
      <c r="F704" s="15" t="n">
        <v>1.34768301865384</v>
      </c>
      <c r="G704" s="16">
        <f>DEGREES(F704)</f>
        <v/>
      </c>
      <c r="H704" s="15" t="n">
        <v>7.520102892297964</v>
      </c>
      <c r="I704" s="16">
        <f>DEGREES(H704)</f>
        <v/>
      </c>
      <c r="J704" s="17" t="n">
        <v>-1.231876632344917</v>
      </c>
      <c r="K704" s="17" t="n">
        <v>1.115566540705281</v>
      </c>
      <c r="L704" s="18">
        <f>$B$5*$B$3*$B$6*SIN(F704)</f>
        <v/>
      </c>
      <c r="M704" s="18">
        <f>$B$9*K704*(SIN(F704))^2 + $B$8*($B$10+K704*COS(F704))*COS(F704)</f>
        <v/>
      </c>
      <c r="N704" s="18">
        <f>0.5*$B$9*(J704^2 + (K704*SIN(F704))^2) + 0.5*$B$8*($B$10 + K704*COS(F704))^2</f>
        <v/>
      </c>
      <c r="O704" s="18">
        <f>$B$3*$B$6*$B$5*COS(F704)</f>
        <v/>
      </c>
      <c r="P704" s="18">
        <f>N704+O704</f>
        <v/>
      </c>
      <c r="Q704" s="19">
        <f>ABS(P704-$P$3)</f>
        <v/>
      </c>
    </row>
    <row r="705">
      <c r="D705" s="6" t="n">
        <v>703</v>
      </c>
      <c r="E705" s="7" t="n">
        <v>7.025017869907077</v>
      </c>
      <c r="F705" s="8" t="n">
        <v>1.335366785703378</v>
      </c>
      <c r="G705" s="9">
        <f>DEGREES(F705)</f>
        <v/>
      </c>
      <c r="H705" s="8" t="n">
        <v>7.531574779091611</v>
      </c>
      <c r="I705" s="9">
        <f>DEGREES(H705)</f>
        <v/>
      </c>
      <c r="J705" s="10" t="n">
        <v>-1.228966273600327</v>
      </c>
      <c r="K705" s="10" t="n">
        <v>1.177147705457594</v>
      </c>
      <c r="L705" s="11">
        <f>$B$5*$B$3*$B$6*SIN(F705)</f>
        <v/>
      </c>
      <c r="M705" s="11">
        <f>$B$9*K705*(SIN(F705))^2 + $B$8*($B$10+K705*COS(F705))*COS(F705)</f>
        <v/>
      </c>
      <c r="N705" s="11">
        <f>0.5*$B$9*(J705^2 + (K705*SIN(F705))^2) + 0.5*$B$8*($B$10 + K705*COS(F705))^2</f>
        <v/>
      </c>
      <c r="O705" s="11">
        <f>$B$3*$B$6*$B$5*COS(F705)</f>
        <v/>
      </c>
      <c r="P705" s="11">
        <f>N705+O705</f>
        <v/>
      </c>
      <c r="Q705" s="12">
        <f>ABS(P705-$P$3)</f>
        <v/>
      </c>
    </row>
    <row r="706">
      <c r="D706" s="13" t="n">
        <v>704</v>
      </c>
      <c r="E706" s="14" t="n">
        <v>7.035025017869907</v>
      </c>
      <c r="F706" s="15" t="n">
        <v>1.323098996312243</v>
      </c>
      <c r="G706" s="16">
        <f>DEGREES(F706)</f>
        <v/>
      </c>
      <c r="H706" s="15" t="n">
        <v>7.543661866768839</v>
      </c>
      <c r="I706" s="16">
        <f>DEGREES(H706)</f>
        <v/>
      </c>
      <c r="J706" s="17" t="n">
        <v>-1.222197374913915</v>
      </c>
      <c r="K706" s="17" t="n">
        <v>1.238486652413266</v>
      </c>
      <c r="L706" s="18">
        <f>$B$5*$B$3*$B$6*SIN(F706)</f>
        <v/>
      </c>
      <c r="M706" s="18">
        <f>$B$9*K706*(SIN(F706))^2 + $B$8*($B$10+K706*COS(F706))*COS(F706)</f>
        <v/>
      </c>
      <c r="N706" s="18">
        <f>0.5*$B$9*(J706^2 + (K706*SIN(F706))^2) + 0.5*$B$8*($B$10 + K706*COS(F706))^2</f>
        <v/>
      </c>
      <c r="O706" s="18">
        <f>$B$3*$B$6*$B$5*COS(F706)</f>
        <v/>
      </c>
      <c r="P706" s="18">
        <f>N706+O706</f>
        <v/>
      </c>
      <c r="Q706" s="19">
        <f>ABS(P706-$P$3)</f>
        <v/>
      </c>
    </row>
    <row r="707">
      <c r="D707" s="6" t="n">
        <v>705</v>
      </c>
      <c r="E707" s="7" t="n">
        <v>7.045032165832739</v>
      </c>
      <c r="F707" s="8" t="n">
        <v>1.310918167204919</v>
      </c>
      <c r="G707" s="9">
        <f>DEGREES(F707)</f>
        <v/>
      </c>
      <c r="H707" s="8" t="n">
        <v>7.556360766927101</v>
      </c>
      <c r="I707" s="9">
        <f>DEGREES(H707)</f>
        <v/>
      </c>
      <c r="J707" s="10" t="n">
        <v>-1.211591188346458</v>
      </c>
      <c r="K707" s="10" t="n">
        <v>1.299390797949887</v>
      </c>
      <c r="L707" s="11">
        <f>$B$5*$B$3*$B$6*SIN(F707)</f>
        <v/>
      </c>
      <c r="M707" s="11">
        <f>$B$9*K707*(SIN(F707))^2 + $B$8*($B$10+K707*COS(F707))*COS(F707)</f>
        <v/>
      </c>
      <c r="N707" s="11">
        <f>0.5*$B$9*(J707^2 + (K707*SIN(F707))^2) + 0.5*$B$8*($B$10 + K707*COS(F707))^2</f>
        <v/>
      </c>
      <c r="O707" s="11">
        <f>$B$3*$B$6*$B$5*COS(F707)</f>
        <v/>
      </c>
      <c r="P707" s="11">
        <f>N707+O707</f>
        <v/>
      </c>
      <c r="Q707" s="12">
        <f>ABS(P707-$P$3)</f>
        <v/>
      </c>
    </row>
    <row r="708">
      <c r="D708" s="13" t="n">
        <v>706</v>
      </c>
      <c r="E708" s="14" t="n">
        <v>7.055039313795569</v>
      </c>
      <c r="F708" s="15" t="n">
        <v>1.298862542079912</v>
      </c>
      <c r="G708" s="16">
        <f>DEGREES(F708)</f>
        <v/>
      </c>
      <c r="H708" s="15" t="n">
        <v>7.569666170278835</v>
      </c>
      <c r="I708" s="16">
        <f>DEGREES(H708)</f>
        <v/>
      </c>
      <c r="J708" s="17" t="n">
        <v>-1.197181013749538</v>
      </c>
      <c r="K708" s="17" t="n">
        <v>1.359668923574922</v>
      </c>
      <c r="L708" s="18">
        <f>$B$5*$B$3*$B$6*SIN(F708)</f>
        <v/>
      </c>
      <c r="M708" s="18">
        <f>$B$9*K708*(SIN(F708))^2 + $B$8*($B$10+K708*COS(F708))*COS(F708)</f>
        <v/>
      </c>
      <c r="N708" s="18">
        <f>0.5*$B$9*(J708^2 + (K708*SIN(F708))^2) + 0.5*$B$8*($B$10 + K708*COS(F708))^2</f>
        <v/>
      </c>
      <c r="O708" s="18">
        <f>$B$3*$B$6*$B$5*COS(F708)</f>
        <v/>
      </c>
      <c r="P708" s="18">
        <f>N708+O708</f>
        <v/>
      </c>
      <c r="Q708" s="19">
        <f>ABS(P708-$P$3)</f>
        <v/>
      </c>
    </row>
    <row r="709">
      <c r="D709" s="6" t="n">
        <v>707</v>
      </c>
      <c r="E709" s="7" t="n">
        <v>7.065046461758399</v>
      </c>
      <c r="F709" s="8" t="n">
        <v>1.286969971537407</v>
      </c>
      <c r="G709" s="9">
        <f>DEGREES(F709)</f>
        <v/>
      </c>
      <c r="H709" s="8" t="n">
        <v>7.583570863320846</v>
      </c>
      <c r="I709" s="9">
        <f>DEGREES(H709)</f>
        <v/>
      </c>
      <c r="J709" s="10" t="n">
        <v>-1.179012094215204</v>
      </c>
      <c r="K709" s="10" t="n">
        <v>1.419131776287448</v>
      </c>
      <c r="L709" s="11">
        <f>$B$5*$B$3*$B$6*SIN(F709)</f>
        <v/>
      </c>
      <c r="M709" s="11">
        <f>$B$9*K709*(SIN(F709))^2 + $B$8*($B$10+K709*COS(F709))*COS(F709)</f>
        <v/>
      </c>
      <c r="N709" s="11">
        <f>0.5*$B$9*(J709^2 + (K709*SIN(F709))^2) + 0.5*$B$8*($B$10 + K709*COS(F709))^2</f>
        <v/>
      </c>
      <c r="O709" s="11">
        <f>$B$3*$B$6*$B$5*COS(F709)</f>
        <v/>
      </c>
      <c r="P709" s="11">
        <f>N709+O709</f>
        <v/>
      </c>
      <c r="Q709" s="12">
        <f>ABS(P709-$P$3)</f>
        <v/>
      </c>
    </row>
    <row r="710">
      <c r="D710" s="13" t="n">
        <v>708</v>
      </c>
      <c r="E710" s="14" t="n">
        <v>7.07505360972123</v>
      </c>
      <c r="F710" s="15" t="n">
        <v>1.275277794241155</v>
      </c>
      <c r="G710" s="16">
        <f>DEGREES(F710)</f>
        <v/>
      </c>
      <c r="H710" s="15" t="n">
        <v>7.598065750982267</v>
      </c>
      <c r="I710" s="16">
        <f>DEGREES(H710)</f>
        <v/>
      </c>
      <c r="J710" s="17" t="n">
        <v>-1.157141474027937</v>
      </c>
      <c r="K710" s="17" t="n">
        <v>1.47759266276871</v>
      </c>
      <c r="L710" s="18">
        <f>$B$5*$B$3*$B$6*SIN(F710)</f>
        <v/>
      </c>
      <c r="M710" s="18">
        <f>$B$9*K710*(SIN(F710))^2 + $B$8*($B$10+K710*COS(F710))*COS(F710)</f>
        <v/>
      </c>
      <c r="N710" s="18">
        <f>0.5*$B$9*(J710^2 + (K710*SIN(F710))^2) + 0.5*$B$8*($B$10 + K710*COS(F710))^2</f>
        <v/>
      </c>
      <c r="O710" s="18">
        <f>$B$3*$B$6*$B$5*COS(F710)</f>
        <v/>
      </c>
      <c r="P710" s="18">
        <f>N710+O710</f>
        <v/>
      </c>
      <c r="Q710" s="19">
        <f>ABS(P710-$P$3)</f>
        <v/>
      </c>
    </row>
    <row r="711">
      <c r="D711" s="6" t="n">
        <v>709</v>
      </c>
      <c r="E711" s="7" t="n">
        <v>7.085060757684061</v>
      </c>
      <c r="F711" s="8" t="n">
        <v>1.263822719687643</v>
      </c>
      <c r="G711" s="9">
        <f>DEGREES(F711)</f>
        <v/>
      </c>
      <c r="H711" s="8" t="n">
        <v>7.613139885180018</v>
      </c>
      <c r="I711" s="9">
        <f>DEGREES(H711)</f>
        <v/>
      </c>
      <c r="J711" s="10" t="n">
        <v>-1.1316378195648</v>
      </c>
      <c r="K711" s="10" t="n">
        <v>1.534868035536269</v>
      </c>
      <c r="L711" s="11">
        <f>$B$5*$B$3*$B$6*SIN(F711)</f>
        <v/>
      </c>
      <c r="M711" s="11">
        <f>$B$9*K711*(SIN(F711))^2 + $B$8*($B$10+K711*COS(F711))*COS(F711)</f>
        <v/>
      </c>
      <c r="N711" s="11">
        <f>0.5*$B$9*(J711^2 + (K711*SIN(F711))^2) + 0.5*$B$8*($B$10 + K711*COS(F711))^2</f>
        <v/>
      </c>
      <c r="O711" s="11">
        <f>$B$3*$B$6*$B$5*COS(F711)</f>
        <v/>
      </c>
      <c r="P711" s="11">
        <f>N711+O711</f>
        <v/>
      </c>
      <c r="Q711" s="12">
        <f>ABS(P711-$P$3)</f>
        <v/>
      </c>
    </row>
    <row r="712">
      <c r="D712" s="13" t="n">
        <v>710</v>
      </c>
      <c r="E712" s="14" t="n">
        <v>7.095067905646891</v>
      </c>
      <c r="F712" s="15" t="n">
        <v>1.25264071295065</v>
      </c>
      <c r="G712" s="16">
        <f>DEGREES(F712)</f>
        <v/>
      </c>
      <c r="H712" s="15" t="n">
        <v>7.628780499192102</v>
      </c>
      <c r="I712" s="16">
        <f>DEGREES(H712)</f>
        <v/>
      </c>
      <c r="J712" s="17" t="n">
        <v>-1.102581203706169</v>
      </c>
      <c r="K712" s="17" t="n">
        <v>1.590778069221232</v>
      </c>
      <c r="L712" s="18">
        <f>$B$5*$B$3*$B$6*SIN(F712)</f>
        <v/>
      </c>
      <c r="M712" s="18">
        <f>$B$9*K712*(SIN(F712))^2 + $B$8*($B$10+K712*COS(F712))*COS(F712)</f>
        <v/>
      </c>
      <c r="N712" s="18">
        <f>0.5*$B$9*(J712^2 + (K712*SIN(F712))^2) + 0.5*$B$8*($B$10 + K712*COS(F712))^2</f>
        <v/>
      </c>
      <c r="O712" s="18">
        <f>$B$3*$B$6*$B$5*COS(F712)</f>
        <v/>
      </c>
      <c r="P712" s="18">
        <f>N712+O712</f>
        <v/>
      </c>
      <c r="Q712" s="19">
        <f>ABS(P712-$P$3)</f>
        <v/>
      </c>
    </row>
    <row r="713">
      <c r="D713" s="6" t="n">
        <v>711</v>
      </c>
      <c r="E713" s="7" t="n">
        <v>7.105075053609721</v>
      </c>
      <c r="F713" s="8" t="n">
        <v>1.241766881763034</v>
      </c>
      <c r="G713" s="9">
        <f>DEGREES(F713)</f>
        <v/>
      </c>
      <c r="H713" s="8" t="n">
        <v>7.644973047740805</v>
      </c>
      <c r="I713" s="9">
        <f>DEGREES(H713)</f>
        <v/>
      </c>
      <c r="J713" s="10" t="n">
        <v>-1.070062854433862</v>
      </c>
      <c r="K713" s="10" t="n">
        <v>1.645147225159312</v>
      </c>
      <c r="L713" s="11">
        <f>$B$5*$B$3*$B$6*SIN(F713)</f>
        <v/>
      </c>
      <c r="M713" s="11">
        <f>$B$9*K713*(SIN(F713))^2 + $B$8*($B$10+K713*COS(F713))*COS(F713)</f>
        <v/>
      </c>
      <c r="N713" s="11">
        <f>0.5*$B$9*(J713^2 + (K713*SIN(F713))^2) + 0.5*$B$8*($B$10 + K713*COS(F713))^2</f>
        <v/>
      </c>
      <c r="O713" s="11">
        <f>$B$3*$B$6*$B$5*COS(F713)</f>
        <v/>
      </c>
      <c r="P713" s="11">
        <f>N713+O713</f>
        <v/>
      </c>
      <c r="Q713" s="12">
        <f>ABS(P713-$P$3)</f>
        <v/>
      </c>
    </row>
    <row r="714">
      <c r="D714" s="13" t="n">
        <v>712</v>
      </c>
      <c r="E714" s="14" t="n">
        <v>7.115082201572553</v>
      </c>
      <c r="F714" s="15" t="n">
        <v>1.231235366290282</v>
      </c>
      <c r="G714" s="16">
        <f>DEGREES(F714)</f>
        <v/>
      </c>
      <c r="H714" s="15" t="n">
        <v>7.661701252659971</v>
      </c>
      <c r="I714" s="16">
        <f>DEGREES(H714)</f>
        <v/>
      </c>
      <c r="J714" s="17" t="n">
        <v>-1.034184868406025</v>
      </c>
      <c r="K714" s="17" t="n">
        <v>1.697804802523076</v>
      </c>
      <c r="L714" s="18">
        <f>$B$5*$B$3*$B$6*SIN(F714)</f>
        <v/>
      </c>
      <c r="M714" s="18">
        <f>$B$9*K714*(SIN(F714))^2 + $B$8*($B$10+K714*COS(F714))*COS(F714)</f>
        <v/>
      </c>
      <c r="N714" s="18">
        <f>0.5*$B$9*(J714^2 + (K714*SIN(F714))^2) + 0.5*$B$8*($B$10 + K714*COS(F714))^2</f>
        <v/>
      </c>
      <c r="O714" s="18">
        <f>$B$3*$B$6*$B$5*COS(F714)</f>
        <v/>
      </c>
      <c r="P714" s="18">
        <f>N714+O714</f>
        <v/>
      </c>
      <c r="Q714" s="19">
        <f>ABS(P714-$P$3)</f>
        <v/>
      </c>
    </row>
    <row r="715">
      <c r="D715" s="6" t="n">
        <v>713</v>
      </c>
      <c r="E715" s="7" t="n">
        <v>7.125089349535383</v>
      </c>
      <c r="F715" s="8" t="n">
        <v>1.221079231941893</v>
      </c>
      <c r="G715" s="9">
        <f>DEGREES(F715)</f>
        <v/>
      </c>
      <c r="H715" s="8" t="n">
        <v>7.678947154002947</v>
      </c>
      <c r="I715" s="9">
        <f>DEGREES(H715)</f>
        <v/>
      </c>
      <c r="J715" s="10" t="n">
        <v>-0.9950598904080319</v>
      </c>
      <c r="K715" s="10" t="n">
        <v>1.748585474265019</v>
      </c>
      <c r="L715" s="11">
        <f>$B$5*$B$3*$B$6*SIN(F715)</f>
        <v/>
      </c>
      <c r="M715" s="11">
        <f>$B$9*K715*(SIN(F715))^2 + $B$8*($B$10+K715*COS(F715))*COS(F715)</f>
        <v/>
      </c>
      <c r="N715" s="11">
        <f>0.5*$B$9*(J715^2 + (K715*SIN(F715))^2) + 0.5*$B$8*($B$10 + K715*COS(F715))^2</f>
        <v/>
      </c>
      <c r="O715" s="11">
        <f>$B$3*$B$6*$B$5*COS(F715)</f>
        <v/>
      </c>
      <c r="P715" s="11">
        <f>N715+O715</f>
        <v/>
      </c>
      <c r="Q715" s="12">
        <f>ABS(P715-$P$3)</f>
        <v/>
      </c>
    </row>
    <row r="716">
      <c r="D716" s="13" t="n">
        <v>714</v>
      </c>
      <c r="E716" s="14" t="n">
        <v>7.135096497498213</v>
      </c>
      <c r="F716" s="15" t="n">
        <v>1.211330365557142</v>
      </c>
      <c r="G716" s="16">
        <f>DEGREES(F716)</f>
        <v/>
      </c>
      <c r="H716" s="15" t="n">
        <v>7.696691166430781</v>
      </c>
      <c r="I716" s="16">
        <f>DEGREES(H716)</f>
        <v/>
      </c>
      <c r="J716" s="17" t="n">
        <v>-0.9528107596858227</v>
      </c>
      <c r="K716" s="17" t="n">
        <v>1.797329806188773</v>
      </c>
      <c r="L716" s="18">
        <f>$B$5*$B$3*$B$6*SIN(F716)</f>
        <v/>
      </c>
      <c r="M716" s="18">
        <f>$B$9*K716*(SIN(F716))^2 + $B$8*($B$10+K716*COS(F716))*COS(F716)</f>
        <v/>
      </c>
      <c r="N716" s="18">
        <f>0.5*$B$9*(J716^2 + (K716*SIN(F716))^2) + 0.5*$B$8*($B$10 + K716*COS(F716))^2</f>
        <v/>
      </c>
      <c r="O716" s="18">
        <f>$B$3*$B$6*$B$5*COS(F716)</f>
        <v/>
      </c>
      <c r="P716" s="18">
        <f>N716+O716</f>
        <v/>
      </c>
      <c r="Q716" s="19">
        <f>ABS(P716-$P$3)</f>
        <v/>
      </c>
    </row>
    <row r="717">
      <c r="D717" s="6" t="n">
        <v>715</v>
      </c>
      <c r="E717" s="7" t="n">
        <v>7.145103645461044</v>
      </c>
      <c r="F717" s="8" t="n">
        <v>1.20201937529114</v>
      </c>
      <c r="G717" s="9">
        <f>DEGREES(F717)</f>
        <v/>
      </c>
      <c r="H717" s="8" t="n">
        <v>7.714912140703571</v>
      </c>
      <c r="I717" s="9">
        <f>DEGREES(H717)</f>
        <v/>
      </c>
      <c r="J717" s="10" t="n">
        <v>-0.9075701242720415</v>
      </c>
      <c r="K717" s="10" t="n">
        <v>1.843884757518781</v>
      </c>
      <c r="L717" s="11">
        <f>$B$5*$B$3*$B$6*SIN(F717)</f>
        <v/>
      </c>
      <c r="M717" s="11">
        <f>$B$9*K717*(SIN(F717))^2 + $B$8*($B$10+K717*COS(F717))*COS(F717)</f>
        <v/>
      </c>
      <c r="N717" s="11">
        <f>0.5*$B$9*(J717^2 + (K717*SIN(F717))^2) + 0.5*$B$8*($B$10 + K717*COS(F717))^2</f>
        <v/>
      </c>
      <c r="O717" s="11">
        <f>$B$3*$B$6*$B$5*COS(F717)</f>
        <v/>
      </c>
      <c r="P717" s="11">
        <f>N717+O717</f>
        <v/>
      </c>
      <c r="Q717" s="12">
        <f>ABS(P717-$P$3)</f>
        <v/>
      </c>
    </row>
    <row r="718">
      <c r="D718" s="13" t="n">
        <v>716</v>
      </c>
      <c r="E718" s="14" t="n">
        <v>7.155110793423875</v>
      </c>
      <c r="F718" s="15" t="n">
        <v>1.193175494515557</v>
      </c>
      <c r="G718" s="16">
        <f>DEGREES(F718)</f>
        <v/>
      </c>
      <c r="H718" s="15" t="n">
        <v>7.733587430081955</v>
      </c>
      <c r="I718" s="16">
        <f>DEGREES(H718)</f>
        <v/>
      </c>
      <c r="J718" s="17" t="n">
        <v>-0.8594800245159762</v>
      </c>
      <c r="K718" s="17" t="n">
        <v>1.888104161396698</v>
      </c>
      <c r="L718" s="18">
        <f>$B$5*$B$3*$B$6*SIN(F718)</f>
        <v/>
      </c>
      <c r="M718" s="18">
        <f>$B$9*K718*(SIN(F718))^2 + $B$8*($B$10+K718*COS(F718))*COS(F718)</f>
        <v/>
      </c>
      <c r="N718" s="18">
        <f>0.5*$B$9*(J718^2 + (K718*SIN(F718))^2) + 0.5*$B$8*($B$10 + K718*COS(F718))^2</f>
        <v/>
      </c>
      <c r="O718" s="18">
        <f>$B$3*$B$6*$B$5*COS(F718)</f>
        <v/>
      </c>
      <c r="P718" s="18">
        <f>N718+O718</f>
        <v/>
      </c>
      <c r="Q718" s="19">
        <f>ABS(P718-$P$3)</f>
        <v/>
      </c>
    </row>
    <row r="719">
      <c r="D719" s="6" t="n">
        <v>717</v>
      </c>
      <c r="E719" s="7" t="n">
        <v>7.165117941386705</v>
      </c>
      <c r="F719" s="8" t="n">
        <v>1.184826490035667</v>
      </c>
      <c r="G719" s="9">
        <f>DEGREES(F719)</f>
        <v/>
      </c>
      <c r="H719" s="8" t="n">
        <v>7.752692961430247</v>
      </c>
      <c r="I719" s="9">
        <f>DEGREES(H719)</f>
        <v/>
      </c>
      <c r="J719" s="10" t="n">
        <v>-0.8086914471246496</v>
      </c>
      <c r="K719" s="10" t="n">
        <v>1.929849183796147</v>
      </c>
      <c r="L719" s="11">
        <f>$B$5*$B$3*$B$6*SIN(F719)</f>
        <v/>
      </c>
      <c r="M719" s="11">
        <f>$B$9*K719*(SIN(F719))^2 + $B$8*($B$10+K719*COS(F719))*COS(F719)</f>
        <v/>
      </c>
      <c r="N719" s="11">
        <f>0.5*$B$9*(J719^2 + (K719*SIN(F719))^2) + 0.5*$B$8*($B$10 + K719*COS(F719))^2</f>
        <v/>
      </c>
      <c r="O719" s="11">
        <f>$B$3*$B$6*$B$5*COS(F719)</f>
        <v/>
      </c>
      <c r="P719" s="11">
        <f>N719+O719</f>
        <v/>
      </c>
      <c r="Q719" s="12">
        <f>ABS(P719-$P$3)</f>
        <v/>
      </c>
    </row>
    <row r="720">
      <c r="D720" s="13" t="n">
        <v>718</v>
      </c>
      <c r="E720" s="14" t="n">
        <v>7.175125089349536</v>
      </c>
      <c r="F720" s="15" t="n">
        <v>1.176998574911953</v>
      </c>
      <c r="G720" s="16">
        <f>DEGREES(F720)</f>
        <v/>
      </c>
      <c r="H720" s="15" t="n">
        <v>7.772203310797963</v>
      </c>
      <c r="I720" s="16">
        <f>DEGREES(H720)</f>
        <v/>
      </c>
      <c r="J720" s="17" t="n">
        <v>-0.7553638511154988</v>
      </c>
      <c r="K720" s="17" t="n">
        <v>1.968988759414717</v>
      </c>
      <c r="L720" s="18">
        <f>$B$5*$B$3*$B$6*SIN(F720)</f>
        <v/>
      </c>
      <c r="M720" s="18">
        <f>$B$9*K720*(SIN(F720))^2 + $B$8*($B$10+K720*COS(F720))*COS(F720)</f>
        <v/>
      </c>
      <c r="N720" s="18">
        <f>0.5*$B$9*(J720^2 + (K720*SIN(F720))^2) + 0.5*$B$8*($B$10 + K720*COS(F720))^2</f>
        <v/>
      </c>
      <c r="O720" s="18">
        <f>$B$3*$B$6*$B$5*COS(F720)</f>
        <v/>
      </c>
      <c r="P720" s="18">
        <f>N720+O720</f>
        <v/>
      </c>
      <c r="Q720" s="19">
        <f>ABS(P720-$P$3)</f>
        <v/>
      </c>
    </row>
    <row r="721">
      <c r="D721" s="6" t="n">
        <v>719</v>
      </c>
      <c r="E721" s="7" t="n">
        <v>7.185132237312366</v>
      </c>
      <c r="F721" s="8" t="n">
        <v>1.169716326159926</v>
      </c>
      <c r="G721" s="9">
        <f>DEGREES(F721)</f>
        <v/>
      </c>
      <c r="H721" s="8" t="n">
        <v>7.792091783242456</v>
      </c>
      <c r="I721" s="9">
        <f>DEGREES(H721)</f>
        <v/>
      </c>
      <c r="J721" s="10" t="n">
        <v>-0.6996646671688024</v>
      </c>
      <c r="K721" s="10" t="n">
        <v>2.00540000317485</v>
      </c>
      <c r="L721" s="11">
        <f>$B$5*$B$3*$B$6*SIN(F721)</f>
        <v/>
      </c>
      <c r="M721" s="11">
        <f>$B$9*K721*(SIN(F721))^2 + $B$8*($B$10+K721*COS(F721))*COS(F721)</f>
        <v/>
      </c>
      <c r="N721" s="11">
        <f>0.5*$B$9*(J721^2 + (K721*SIN(F721))^2) + 0.5*$B$8*($B$10 + K721*COS(F721))^2</f>
        <v/>
      </c>
      <c r="O721" s="11">
        <f>$B$3*$B$6*$B$5*COS(F721)</f>
        <v/>
      </c>
      <c r="P721" s="11">
        <f>N721+O721</f>
        <v/>
      </c>
      <c r="Q721" s="12">
        <f>ABS(P721-$P$3)</f>
        <v/>
      </c>
    </row>
    <row r="722">
      <c r="D722" s="13" t="n">
        <v>720</v>
      </c>
      <c r="E722" s="14" t="n">
        <v>7.195139385275197</v>
      </c>
      <c r="F722" s="15" t="n">
        <v>1.163002607586574</v>
      </c>
      <c r="G722" s="16">
        <f>DEGREES(F722)</f>
        <v/>
      </c>
      <c r="H722" s="15" t="n">
        <v>7.81233049664205</v>
      </c>
      <c r="I722" s="16">
        <f>DEGREES(H722)</f>
        <v/>
      </c>
      <c r="J722" s="17" t="n">
        <v>-0.6417687719517043</v>
      </c>
      <c r="K722" s="17" t="n">
        <v>2.038968596041615</v>
      </c>
      <c r="L722" s="18">
        <f>$B$5*$B$3*$B$6*SIN(F722)</f>
        <v/>
      </c>
      <c r="M722" s="18">
        <f>$B$9*K722*(SIN(F722))^2 + $B$8*($B$10+K722*COS(F722))*COS(F722)</f>
        <v/>
      </c>
      <c r="N722" s="18">
        <f>0.5*$B$9*(J722^2 + (K722*SIN(F722))^2) + 0.5*$B$8*($B$10 + K722*COS(F722))^2</f>
        <v/>
      </c>
      <c r="O722" s="18">
        <f>$B$3*$B$6*$B$5*COS(F722)</f>
        <v/>
      </c>
      <c r="P722" s="18">
        <f>N722+O722</f>
        <v/>
      </c>
      <c r="Q722" s="19">
        <f>ABS(P722-$P$3)</f>
        <v/>
      </c>
    </row>
    <row r="723">
      <c r="D723" s="6" t="n">
        <v>721</v>
      </c>
      <c r="E723" s="7" t="n">
        <v>7.205146533238028</v>
      </c>
      <c r="F723" s="8" t="n">
        <v>1.156878498005717</v>
      </c>
      <c r="G723" s="9">
        <f>DEGREES(F723)</f>
        <v/>
      </c>
      <c r="H723" s="8" t="n">
        <v>7.832890469236499</v>
      </c>
      <c r="I723" s="9">
        <f>DEGREES(H723)</f>
        <v/>
      </c>
      <c r="J723" s="10" t="n">
        <v>-0.5818579390644818</v>
      </c>
      <c r="K723" s="10" t="n">
        <v>2.0695891439459</v>
      </c>
      <c r="L723" s="11">
        <f>$B$5*$B$3*$B$6*SIN(F723)</f>
        <v/>
      </c>
      <c r="M723" s="11">
        <f>$B$9*K723*(SIN(F723))^2 + $B$8*($B$10+K723*COS(F723))*COS(F723)</f>
        <v/>
      </c>
      <c r="N723" s="11">
        <f>0.5*$B$9*(J723^2 + (K723*SIN(F723))^2) + 0.5*$B$8*($B$10 + K723*COS(F723))^2</f>
        <v/>
      </c>
      <c r="O723" s="11">
        <f>$B$3*$B$6*$B$5*COS(F723)</f>
        <v/>
      </c>
      <c r="P723" s="11">
        <f>N723+O723</f>
        <v/>
      </c>
      <c r="Q723" s="12">
        <f>ABS(P723-$P$3)</f>
        <v/>
      </c>
    </row>
    <row r="724">
      <c r="D724" s="13" t="n">
        <v>722</v>
      </c>
      <c r="E724" s="14" t="n">
        <v>7.215153681200858</v>
      </c>
      <c r="F724" s="15" t="n">
        <v>1.151363225057636</v>
      </c>
      <c r="G724" s="16">
        <f>DEGREES(F724)</f>
        <v/>
      </c>
      <c r="H724" s="15" t="n">
        <v>7.853741710619946</v>
      </c>
      <c r="I724" s="16">
        <f>DEGREES(H724)</f>
        <v/>
      </c>
      <c r="J724" s="17" t="n">
        <v>-0.5201202683326619</v>
      </c>
      <c r="K724" s="17" t="n">
        <v>2.097165508686305</v>
      </c>
      <c r="L724" s="18">
        <f>$B$5*$B$3*$B$6*SIN(F724)</f>
        <v/>
      </c>
      <c r="M724" s="18">
        <f>$B$9*K724*(SIN(F724))^2 + $B$8*($B$10+K724*COS(F724))*COS(F724)</f>
        <v/>
      </c>
      <c r="N724" s="18">
        <f>0.5*$B$9*(J724^2 + (K724*SIN(F724))^2) + 0.5*$B$8*($B$10 + K724*COS(F724))^2</f>
        <v/>
      </c>
      <c r="O724" s="18">
        <f>$B$3*$B$6*$B$5*COS(F724)</f>
        <v/>
      </c>
      <c r="P724" s="18">
        <f>N724+O724</f>
        <v/>
      </c>
      <c r="Q724" s="19">
        <f>ABS(P724-$P$3)</f>
        <v/>
      </c>
    </row>
    <row r="725">
      <c r="D725" s="6" t="n">
        <v>723</v>
      </c>
      <c r="E725" s="7" t="n">
        <v>7.225160829163689</v>
      </c>
      <c r="F725" s="8" t="n">
        <v>1.146474104840761</v>
      </c>
      <c r="G725" s="9">
        <f>DEGREES(F725)</f>
        <v/>
      </c>
      <c r="H725" s="8" t="n">
        <v>7.874853315900695</v>
      </c>
      <c r="I725" s="9">
        <f>DEGREES(H725)</f>
        <v/>
      </c>
      <c r="J725" s="10" t="n">
        <v>-0.4567495952369661</v>
      </c>
      <c r="K725" s="10" t="n">
        <v>2.121611109770679</v>
      </c>
      <c r="L725" s="11">
        <f>$B$5*$B$3*$B$6*SIN(F725)</f>
        <v/>
      </c>
      <c r="M725" s="11">
        <f>$B$9*K725*(SIN(F725))^2 + $B$8*($B$10+K725*COS(F725))*COS(F725)</f>
        <v/>
      </c>
      <c r="N725" s="11">
        <f>0.5*$B$9*(J725^2 + (K725*SIN(F725))^2) + 0.5*$B$8*($B$10 + K725*COS(F725))^2</f>
        <v/>
      </c>
      <c r="O725" s="11">
        <f>$B$3*$B$6*$B$5*COS(F725)</f>
        <v/>
      </c>
      <c r="P725" s="11">
        <f>N725+O725</f>
        <v/>
      </c>
      <c r="Q725" s="12">
        <f>ABS(P725-$P$3)</f>
        <v/>
      </c>
    </row>
    <row r="726">
      <c r="D726" s="13" t="n">
        <v>724</v>
      </c>
      <c r="E726" s="14" t="n">
        <v>7.23516797712652</v>
      </c>
      <c r="F726" s="15" t="n">
        <v>1.142226487544957</v>
      </c>
      <c r="G726" s="16">
        <f>DEGREES(F726)</f>
        <v/>
      </c>
      <c r="H726" s="15" t="n">
        <v>7.896193562732154</v>
      </c>
      <c r="I726" s="16">
        <f>DEGREES(H726)</f>
        <v/>
      </c>
      <c r="J726" s="17" t="n">
        <v>-0.3919448823352226</v>
      </c>
      <c r="K726" s="17" t="n">
        <v>2.1428491962497</v>
      </c>
      <c r="L726" s="18">
        <f>$B$5*$B$3*$B$6*SIN(F726)</f>
        <v/>
      </c>
      <c r="M726" s="18">
        <f>$B$9*K726*(SIN(F726))^2 + $B$8*($B$10+K726*COS(F726))*COS(F726)</f>
        <v/>
      </c>
      <c r="N726" s="18">
        <f>0.5*$B$9*(J726^2 + (K726*SIN(F726))^2) + 0.5*$B$8*($B$10 + K726*COS(F726))^2</f>
        <v/>
      </c>
      <c r="O726" s="18">
        <f>$B$3*$B$6*$B$5*COS(F726)</f>
        <v/>
      </c>
      <c r="P726" s="18">
        <f>N726+O726</f>
        <v/>
      </c>
      <c r="Q726" s="19">
        <f>ABS(P726-$P$3)</f>
        <v/>
      </c>
    </row>
    <row r="727">
      <c r="D727" s="6" t="n">
        <v>725</v>
      </c>
      <c r="E727" s="7" t="n">
        <v>7.24517512508935</v>
      </c>
      <c r="F727" s="8" t="n">
        <v>1.1386337092571</v>
      </c>
      <c r="G727" s="9">
        <f>DEGREES(F727)</f>
        <v/>
      </c>
      <c r="H727" s="8" t="n">
        <v>7.91773001091031</v>
      </c>
      <c r="I727" s="9">
        <f>DEGREES(H727)</f>
        <v/>
      </c>
      <c r="J727" s="10" t="n">
        <v>-0.3259095945869839</v>
      </c>
      <c r="K727" s="10" t="n">
        <v>2.160813087688984</v>
      </c>
      <c r="L727" s="11">
        <f>$B$5*$B$3*$B$6*SIN(F727)</f>
        <v/>
      </c>
      <c r="M727" s="11">
        <f>$B$9*K727*(SIN(F727))^2 + $B$8*($B$10+K727*COS(F727))*COS(F727)</f>
        <v/>
      </c>
      <c r="N727" s="11">
        <f>0.5*$B$9*(J727^2 + (K727*SIN(F727))^2) + 0.5*$B$8*($B$10 + K727*COS(F727))^2</f>
        <v/>
      </c>
      <c r="O727" s="11">
        <f>$B$3*$B$6*$B$5*COS(F727)</f>
        <v/>
      </c>
      <c r="P727" s="11">
        <f>N727+O727</f>
        <v/>
      </c>
      <c r="Q727" s="12">
        <f>ABS(P727-$P$3)</f>
        <v/>
      </c>
    </row>
    <row r="728">
      <c r="D728" s="13" t="n">
        <v>726</v>
      </c>
      <c r="E728" s="14" t="n">
        <v>7.25518227305218</v>
      </c>
      <c r="F728" s="15" t="n">
        <v>1.135707050090261</v>
      </c>
      <c r="G728" s="16">
        <f>DEGREES(F728)</f>
        <v/>
      </c>
      <c r="H728" s="15" t="n">
        <v>7.939429604225046</v>
      </c>
      <c r="I728" s="16">
        <f>DEGREES(H728)</f>
        <v/>
      </c>
      <c r="J728" s="17" t="n">
        <v>-0.2588510605421216</v>
      </c>
      <c r="K728" s="17" t="n">
        <v>2.175446383523179</v>
      </c>
      <c r="L728" s="18">
        <f>$B$5*$B$3*$B$6*SIN(F728)</f>
        <v/>
      </c>
      <c r="M728" s="18">
        <f>$B$9*K728*(SIN(F728))^2 + $B$8*($B$10+K728*COS(F728))*COS(F728)</f>
        <v/>
      </c>
      <c r="N728" s="18">
        <f>0.5*$B$9*(J728^2 + (K728*SIN(F728))^2) + 0.5*$B$8*($B$10 + K728*COS(F728))^2</f>
        <v/>
      </c>
      <c r="O728" s="18">
        <f>$B$3*$B$6*$B$5*COS(F728)</f>
        <v/>
      </c>
      <c r="P728" s="18">
        <f>N728+O728</f>
        <v/>
      </c>
      <c r="Q728" s="19">
        <f>ABS(P728-$P$3)</f>
        <v/>
      </c>
    </row>
    <row r="729">
      <c r="D729" s="6" t="n">
        <v>727</v>
      </c>
      <c r="E729" s="7" t="n">
        <v>7.265189421015012</v>
      </c>
      <c r="F729" s="8" t="n">
        <v>1.13345569876795</v>
      </c>
      <c r="G729" s="9">
        <f>DEGREES(F729)</f>
        <v/>
      </c>
      <c r="H729" s="8" t="n">
        <v>7.961258774245493</v>
      </c>
      <c r="I729" s="9">
        <f>DEGREES(H729)</f>
        <v/>
      </c>
      <c r="J729" s="10" t="n">
        <v>-0.1909798213990478</v>
      </c>
      <c r="K729" s="10" t="n">
        <v>2.186703140134733</v>
      </c>
      <c r="L729" s="11">
        <f>$B$5*$B$3*$B$6*SIN(F729)</f>
        <v/>
      </c>
      <c r="M729" s="11">
        <f>$B$9*K729*(SIN(F729))^2 + $B$8*($B$10+K729*COS(F729))*COS(F729)</f>
        <v/>
      </c>
      <c r="N729" s="11">
        <f>0.5*$B$9*(J729^2 + (K729*SIN(F729))^2) + 0.5*$B$8*($B$10 + K729*COS(F729))^2</f>
        <v/>
      </c>
      <c r="O729" s="11">
        <f>$B$3*$B$6*$B$5*COS(F729)</f>
        <v/>
      </c>
      <c r="P729" s="11">
        <f>N729+O729</f>
        <v/>
      </c>
      <c r="Q729" s="12">
        <f>ABS(P729-$P$3)</f>
        <v/>
      </c>
    </row>
    <row r="730">
      <c r="D730" s="13" t="n">
        <v>728</v>
      </c>
      <c r="E730" s="14" t="n">
        <v>7.275196568977842</v>
      </c>
      <c r="F730" s="15" t="n">
        <v>1.131886723774622</v>
      </c>
      <c r="G730" s="16">
        <f>DEGREES(F730)</f>
        <v/>
      </c>
      <c r="H730" s="15" t="n">
        <v>7.983183545713588</v>
      </c>
      <c r="I730" s="16">
        <f>DEGREES(H730)</f>
        <v/>
      </c>
      <c r="J730" s="17" t="n">
        <v>-0.1225089699763045</v>
      </c>
      <c r="K730" s="17" t="n">
        <v>2.194548015101375</v>
      </c>
      <c r="L730" s="18">
        <f>$B$5*$B$3*$B$6*SIN(F730)</f>
        <v/>
      </c>
      <c r="M730" s="18">
        <f>$B$9*K730*(SIN(F730))^2 + $B$8*($B$10+K730*COS(F730))*COS(F730)</f>
        <v/>
      </c>
      <c r="N730" s="18">
        <f>0.5*$B$9*(J730^2 + (K730*SIN(F730))^2) + 0.5*$B$8*($B$10 + K730*COS(F730))^2</f>
        <v/>
      </c>
      <c r="O730" s="18">
        <f>$B$3*$B$6*$B$5*COS(F730)</f>
        <v/>
      </c>
      <c r="P730" s="18">
        <f>N730+O730</f>
        <v/>
      </c>
      <c r="Q730" s="19">
        <f>ABS(P730-$P$3)</f>
        <v/>
      </c>
    </row>
    <row r="731">
      <c r="D731" s="6" t="n">
        <v>729</v>
      </c>
      <c r="E731" s="7" t="n">
        <v>7.285203716940672</v>
      </c>
      <c r="F731" s="8" t="n">
        <v>1.131005051163016</v>
      </c>
      <c r="G731" s="9">
        <f>DEGREES(F731)</f>
        <v/>
      </c>
      <c r="H731" s="8" t="n">
        <v>8.005169643214948</v>
      </c>
      <c r="I731" s="9">
        <f>DEGREES(H731)</f>
        <v/>
      </c>
      <c r="J731" s="10" t="n">
        <v>-0.05365348167293354</v>
      </c>
      <c r="K731" s="10" t="n">
        <v>2.198956378159404</v>
      </c>
      <c r="L731" s="11">
        <f>$B$5*$B$3*$B$6*SIN(F731)</f>
        <v/>
      </c>
      <c r="M731" s="11">
        <f>$B$9*K731*(SIN(F731))^2 + $B$8*($B$10+K731*COS(F731))*COS(F731)</f>
        <v/>
      </c>
      <c r="N731" s="11">
        <f>0.5*$B$9*(J731^2 + (K731*SIN(F731))^2) + 0.5*$B$8*($B$10 + K731*COS(F731))^2</f>
        <v/>
      </c>
      <c r="O731" s="11">
        <f>$B$3*$B$6*$B$5*COS(F731)</f>
        <v/>
      </c>
      <c r="P731" s="11">
        <f>N731+O731</f>
        <v/>
      </c>
      <c r="Q731" s="12">
        <f>ABS(P731-$P$3)</f>
        <v/>
      </c>
    </row>
    <row r="732">
      <c r="D732" s="13" t="n">
        <v>730</v>
      </c>
      <c r="E732" s="14" t="n">
        <v>7.295210864903503</v>
      </c>
      <c r="F732" s="15" t="n">
        <v>1.130813449088012</v>
      </c>
      <c r="G732" s="16">
        <f>DEGREES(F732)</f>
        <v/>
      </c>
      <c r="H732" s="15" t="n">
        <v>8.027182598792113</v>
      </c>
      <c r="I732" s="16">
        <f>DEGREES(H732)</f>
        <v/>
      </c>
      <c r="J732" s="17" t="n">
        <v>0.01537046048187459</v>
      </c>
      <c r="K732" s="17" t="n">
        <v>2.199914388534422</v>
      </c>
      <c r="L732" s="18">
        <f>$B$5*$B$3*$B$6*SIN(F732)</f>
        <v/>
      </c>
      <c r="M732" s="18">
        <f>$B$9*K732*(SIN(F732))^2 + $B$8*($B$10+K732*COS(F732))*COS(F732)</f>
        <v/>
      </c>
      <c r="N732" s="18">
        <f>0.5*$B$9*(J732^2 + (K732*SIN(F732))^2) + 0.5*$B$8*($B$10 + K732*COS(F732))^2</f>
        <v/>
      </c>
      <c r="O732" s="18">
        <f>$B$3*$B$6*$B$5*COS(F732)</f>
        <v/>
      </c>
      <c r="P732" s="18">
        <f>N732+O732</f>
        <v/>
      </c>
      <c r="Q732" s="19">
        <f>ABS(P732-$P$3)</f>
        <v/>
      </c>
    </row>
    <row r="733">
      <c r="D733" s="6" t="n">
        <v>731</v>
      </c>
      <c r="E733" s="7" t="n">
        <v>7.305218012866334</v>
      </c>
      <c r="F733" s="8" t="n">
        <v>1.131312519115558</v>
      </c>
      <c r="G733" s="9">
        <f>DEGREES(F733)</f>
        <v/>
      </c>
      <c r="H733" s="8" t="n">
        <v>8.049187860162302</v>
      </c>
      <c r="I733" s="9">
        <f>DEGREES(H733)</f>
        <v/>
      </c>
      <c r="J733" s="10" t="n">
        <v>0.08434614457054293</v>
      </c>
      <c r="K733" s="10" t="n">
        <v>2.197419038396695</v>
      </c>
      <c r="L733" s="11">
        <f>$B$5*$B$3*$B$6*SIN(F733)</f>
        <v/>
      </c>
      <c r="M733" s="11">
        <f>$B$9*K733*(SIN(F733))^2 + $B$8*($B$10+K733*COS(F733))*COS(F733)</f>
        <v/>
      </c>
      <c r="N733" s="11">
        <f>0.5*$B$9*(J733^2 + (K733*SIN(F733))^2) + 0.5*$B$8*($B$10 + K733*COS(F733))^2</f>
        <v/>
      </c>
      <c r="O733" s="11">
        <f>$B$3*$B$6*$B$5*COS(F733)</f>
        <v/>
      </c>
      <c r="P733" s="11">
        <f>N733+O733</f>
        <v/>
      </c>
      <c r="Q733" s="12">
        <f>ABS(P733-$P$3)</f>
        <v/>
      </c>
    </row>
    <row r="734">
      <c r="D734" s="13" t="n">
        <v>732</v>
      </c>
      <c r="E734" s="14" t="n">
        <v>7.315225160829164</v>
      </c>
      <c r="F734" s="15" t="n">
        <v>1.13250069433395</v>
      </c>
      <c r="G734" s="16">
        <f>DEGREES(F734)</f>
        <v/>
      </c>
      <c r="H734" s="15" t="n">
        <v>8.071150899199967</v>
      </c>
      <c r="I734" s="16">
        <f>DEGREES(H734)</f>
        <v/>
      </c>
      <c r="J734" s="17" t="n">
        <v>0.1530570101896206</v>
      </c>
      <c r="K734" s="17" t="n">
        <v>2.191478162304733</v>
      </c>
      <c r="L734" s="18">
        <f>$B$5*$B$3*$B$6*SIN(F734)</f>
        <v/>
      </c>
      <c r="M734" s="18">
        <f>$B$9*K734*(SIN(F734))^2 + $B$8*($B$10+K734*COS(F734))*COS(F734)</f>
        <v/>
      </c>
      <c r="N734" s="18">
        <f>0.5*$B$9*(J734^2 + (K734*SIN(F734))^2) + 0.5*$B$8*($B$10 + K734*COS(F734))^2</f>
        <v/>
      </c>
      <c r="O734" s="18">
        <f>$B$3*$B$6*$B$5*COS(F734)</f>
        <v/>
      </c>
      <c r="P734" s="18">
        <f>N734+O734</f>
        <v/>
      </c>
      <c r="Q734" s="19">
        <f>ABS(P734-$P$3)</f>
        <v/>
      </c>
    </row>
    <row r="735">
      <c r="D735" s="6" t="n">
        <v>733</v>
      </c>
      <c r="E735" s="7" t="n">
        <v>7.325232308791994</v>
      </c>
      <c r="F735" s="8" t="n">
        <v>1.134374244273415</v>
      </c>
      <c r="G735" s="9">
        <f>DEGREES(F735)</f>
        <v/>
      </c>
      <c r="H735" s="8" t="n">
        <v>8.093037320343448</v>
      </c>
      <c r="I735" s="9">
        <f>DEGREES(H735)</f>
        <v/>
      </c>
      <c r="J735" s="10" t="n">
        <v>0.2212873283763732</v>
      </c>
      <c r="K735" s="10" t="n">
        <v>2.18211041260741</v>
      </c>
      <c r="L735" s="11">
        <f>$B$5*$B$3*$B$6*SIN(F735)</f>
        <v/>
      </c>
      <c r="M735" s="11">
        <f>$B$9*K735*(SIN(F735))^2 + $B$8*($B$10+K735*COS(F735))*COS(F735)</f>
        <v/>
      </c>
      <c r="N735" s="11">
        <f>0.5*$B$9*(J735^2 + (K735*SIN(F735))^2) + 0.5*$B$8*($B$10 + K735*COS(F735))^2</f>
        <v/>
      </c>
      <c r="O735" s="11">
        <f>$B$3*$B$6*$B$5*COS(F735)</f>
        <v/>
      </c>
      <c r="P735" s="11">
        <f>N735+O735</f>
        <v/>
      </c>
      <c r="Q735" s="12">
        <f>ABS(P735-$P$3)</f>
        <v/>
      </c>
    </row>
    <row r="736">
      <c r="D736" s="13" t="n">
        <v>734</v>
      </c>
      <c r="E736" s="14" t="n">
        <v>7.335239456754826</v>
      </c>
      <c r="F736" s="15" t="n">
        <v>1.136927286618521</v>
      </c>
      <c r="G736" s="16">
        <f>DEGREES(F736)</f>
        <v/>
      </c>
      <c r="H736" s="15" t="n">
        <v>8.114812968585454</v>
      </c>
      <c r="I736" s="16">
        <f>DEGREES(H736)</f>
        <v/>
      </c>
      <c r="J736" s="17" t="n">
        <v>0.2888228789250702</v>
      </c>
      <c r="K736" s="17" t="n">
        <v>2.169345200881877</v>
      </c>
      <c r="L736" s="18">
        <f>$B$5*$B$3*$B$6*SIN(F736)</f>
        <v/>
      </c>
      <c r="M736" s="18">
        <f>$B$9*K736*(SIN(F736))^2 + $B$8*($B$10+K736*COS(F736))*COS(F736)</f>
        <v/>
      </c>
      <c r="N736" s="18">
        <f>0.5*$B$9*(J736^2 + (K736*SIN(F736))^2) + 0.5*$B$8*($B$10 + K736*COS(F736))^2</f>
        <v/>
      </c>
      <c r="O736" s="18">
        <f>$B$3*$B$6*$B$5*COS(F736)</f>
        <v/>
      </c>
      <c r="P736" s="18">
        <f>N736+O736</f>
        <v/>
      </c>
      <c r="Q736" s="19">
        <f>ABS(P736-$P$3)</f>
        <v/>
      </c>
    </row>
    <row r="737">
      <c r="D737" s="6" t="n">
        <v>735</v>
      </c>
      <c r="E737" s="7" t="n">
        <v>7.345246604717656</v>
      </c>
      <c r="F737" s="8" t="n">
        <v>1.140151805676672</v>
      </c>
      <c r="G737" s="9">
        <f>DEGREES(F737)</f>
        <v/>
      </c>
      <c r="H737" s="8" t="n">
        <v>8.136444036708273</v>
      </c>
      <c r="I737" s="9">
        <f>DEGREES(H737)</f>
        <v/>
      </c>
      <c r="J737" s="10" t="n">
        <v>0.3554516229662301</v>
      </c>
      <c r="K737" s="10" t="n">
        <v>2.153222605591122</v>
      </c>
      <c r="L737" s="11">
        <f>$B$5*$B$3*$B$6*SIN(F737)</f>
        <v/>
      </c>
      <c r="M737" s="11">
        <f>$B$9*K737*(SIN(F737))^2 + $B$8*($B$10+K737*COS(F737))*COS(F737)</f>
        <v/>
      </c>
      <c r="N737" s="11">
        <f>0.5*$B$9*(J737^2 + (K737*SIN(F737))^2) + 0.5*$B$8*($B$10 + K737*COS(F737))^2</f>
        <v/>
      </c>
      <c r="O737" s="11">
        <f>$B$3*$B$6*$B$5*COS(F737)</f>
        <v/>
      </c>
      <c r="P737" s="11">
        <f>N737+O737</f>
        <v/>
      </c>
      <c r="Q737" s="12">
        <f>ABS(P737-$P$3)</f>
        <v/>
      </c>
    </row>
    <row r="738">
      <c r="D738" s="13" t="n">
        <v>736</v>
      </c>
      <c r="E738" s="14" t="n">
        <v>7.355253752680486</v>
      </c>
      <c r="F738" s="15" t="n">
        <v>1.144037677544677</v>
      </c>
      <c r="G738" s="16">
        <f>DEGREES(F738)</f>
        <v/>
      </c>
      <c r="H738" s="15" t="n">
        <v>8.157897171427045</v>
      </c>
      <c r="I738" s="16">
        <f>DEGREES(H738)</f>
        <v/>
      </c>
      <c r="J738" s="17" t="n">
        <v>0.4209643686972142</v>
      </c>
      <c r="K738" s="17" t="n">
        <v>2.133793246251098</v>
      </c>
      <c r="L738" s="18">
        <f>$B$5*$B$3*$B$6*SIN(F738)</f>
        <v/>
      </c>
      <c r="M738" s="18">
        <f>$B$9*K738*(SIN(F738))^2 + $B$8*($B$10+K738*COS(F738))*COS(F738)</f>
        <v/>
      </c>
      <c r="N738" s="18">
        <f>0.5*$B$9*(J738^2 + (K738*SIN(F738))^2) + 0.5*$B$8*($B$10 + K738*COS(F738))^2</f>
        <v/>
      </c>
      <c r="O738" s="18">
        <f>$B$3*$B$6*$B$5*COS(F738)</f>
        <v/>
      </c>
      <c r="P738" s="18">
        <f>N738+O738</f>
        <v/>
      </c>
      <c r="Q738" s="19">
        <f>ABS(P738-$P$3)</f>
        <v/>
      </c>
    </row>
    <row r="739">
      <c r="D739" s="6" t="n">
        <v>737</v>
      </c>
      <c r="E739" s="7" t="n">
        <v>7.365260900643317</v>
      </c>
      <c r="F739" s="8" t="n">
        <v>1.148572701894394</v>
      </c>
      <c r="G739" s="9">
        <f>DEGREES(F739)</f>
        <v/>
      </c>
      <c r="H739" s="8" t="n">
        <v>8.17913957810784</v>
      </c>
      <c r="I739" s="9">
        <f>DEGREES(H739)</f>
        <v/>
      </c>
      <c r="J739" s="10" t="n">
        <v>0.4851554281739907</v>
      </c>
      <c r="K739" s="10" t="n">
        <v>2.111118124502511</v>
      </c>
      <c r="L739" s="11">
        <f>$B$5*$B$3*$B$6*SIN(F739)</f>
        <v/>
      </c>
      <c r="M739" s="11">
        <f>$B$9*K739*(SIN(F739))^2 + $B$8*($B$10+K739*COS(F739))*COS(F739)</f>
        <v/>
      </c>
      <c r="N739" s="11">
        <f>0.5*$B$9*(J739^2 + (K739*SIN(F739))^2) + 0.5*$B$8*($B$10 + K739*COS(F739))^2</f>
        <v/>
      </c>
      <c r="O739" s="11">
        <f>$B$3*$B$6*$B$5*COS(F739)</f>
        <v/>
      </c>
      <c r="P739" s="11">
        <f>N739+O739</f>
        <v/>
      </c>
      <c r="Q739" s="12">
        <f>ABS(P739-$P$3)</f>
        <v/>
      </c>
    </row>
    <row r="740">
      <c r="D740" s="13" t="n">
        <v>738</v>
      </c>
      <c r="E740" s="14" t="n">
        <v>7.375268048606148</v>
      </c>
      <c r="F740" s="15" t="n">
        <v>1.153742640277654</v>
      </c>
      <c r="G740" s="16">
        <f>DEGREES(F740)</f>
        <v/>
      </c>
      <c r="H740" s="15" t="n">
        <v>8.200139123731745</v>
      </c>
      <c r="I740" s="16">
        <f>DEGREES(H740)</f>
        <v/>
      </c>
      <c r="J740" s="17" t="n">
        <v>0.5478232631019624</v>
      </c>
      <c r="K740" s="17" t="n">
        <v>2.085268432586212</v>
      </c>
      <c r="L740" s="18">
        <f>$B$5*$B$3*$B$6*SIN(F740)</f>
        <v/>
      </c>
      <c r="M740" s="18">
        <f>$B$9*K740*(SIN(F740))^2 + $B$8*($B$10+K740*COS(F740))*COS(F740)</f>
        <v/>
      </c>
      <c r="N740" s="18">
        <f>0.5*$B$9*(J740^2 + (K740*SIN(F740))^2) + 0.5*$B$8*($B$10 + K740*COS(F740))^2</f>
        <v/>
      </c>
      <c r="O740" s="18">
        <f>$B$3*$B$6*$B$5*COS(F740)</f>
        <v/>
      </c>
      <c r="P740" s="18">
        <f>N740+O740</f>
        <v/>
      </c>
      <c r="Q740" s="19">
        <f>ABS(P740-$P$3)</f>
        <v/>
      </c>
    </row>
    <row r="741">
      <c r="D741" s="6" t="n">
        <v>739</v>
      </c>
      <c r="E741" s="7" t="n">
        <v>7.385275196568978</v>
      </c>
      <c r="F741" s="8" t="n">
        <v>1.159531260830183</v>
      </c>
      <c r="G741" s="9">
        <f>DEGREES(F741)</f>
        <v/>
      </c>
      <c r="H741" s="8" t="n">
        <v>8.220864437781726</v>
      </c>
      <c r="I741" s="9">
        <f>DEGREES(H741)</f>
        <v/>
      </c>
      <c r="J741" s="10" t="n">
        <v>0.6087711175982861</v>
      </c>
      <c r="K741" s="10" t="n">
        <v>2.05632532982357</v>
      </c>
      <c r="L741" s="11">
        <f>$B$5*$B$3*$B$6*SIN(F741)</f>
        <v/>
      </c>
      <c r="M741" s="11">
        <f>$B$9*K741*(SIN(F741))^2 + $B$8*($B$10+K741*COS(F741))*COS(F741)</f>
        <v/>
      </c>
      <c r="N741" s="11">
        <f>0.5*$B$9*(J741^2 + (K741*SIN(F741))^2) + 0.5*$B$8*($B$10 + K741*COS(F741))^2</f>
        <v/>
      </c>
      <c r="O741" s="11">
        <f>$B$3*$B$6*$B$5*COS(F741)</f>
        <v/>
      </c>
      <c r="P741" s="11">
        <f>N741+O741</f>
        <v/>
      </c>
      <c r="Q741" s="12">
        <f>ABS(P741-$P$3)</f>
        <v/>
      </c>
    </row>
    <row r="742">
      <c r="D742" s="13" t="n">
        <v>740</v>
      </c>
      <c r="E742" s="14" t="n">
        <v>7.395282344531809</v>
      </c>
      <c r="F742" s="15" t="n">
        <v>1.165920389234192</v>
      </c>
      <c r="G742" s="16">
        <f>DEGREES(F742)</f>
        <v/>
      </c>
      <c r="H742" s="15" t="n">
        <v>8.241285010735481</v>
      </c>
      <c r="I742" s="16">
        <f>DEGREES(H742)</f>
        <v/>
      </c>
      <c r="J742" s="17" t="n">
        <v>0.6678076359390774</v>
      </c>
      <c r="K742" s="17" t="n">
        <v>2.024379687803525</v>
      </c>
      <c r="L742" s="18">
        <f>$B$5*$B$3*$B$6*SIN(F742)</f>
        <v/>
      </c>
      <c r="M742" s="18">
        <f>$B$9*K742*(SIN(F742))^2 + $B$8*($B$10+K742*COS(F742))*COS(F742)</f>
        <v/>
      </c>
      <c r="N742" s="18">
        <f>0.5*$B$9*(J742^2 + (K742*SIN(F742))^2) + 0.5*$B$8*($B$10 + K742*COS(F742))^2</f>
        <v/>
      </c>
      <c r="O742" s="18">
        <f>$B$3*$B$6*$B$5*COS(F742)</f>
        <v/>
      </c>
      <c r="P742" s="18">
        <f>N742+O742</f>
        <v/>
      </c>
      <c r="Q742" s="19">
        <f>ABS(P742-$P$3)</f>
        <v/>
      </c>
    </row>
    <row r="743">
      <c r="D743" s="6" t="n">
        <v>741</v>
      </c>
      <c r="E743" s="7" t="n">
        <v>7.40528949249464</v>
      </c>
      <c r="F743" s="8" t="n">
        <v>1.172889965779604</v>
      </c>
      <c r="G743" s="9">
        <f>DEGREES(F743)</f>
        <v/>
      </c>
      <c r="H743" s="8" t="n">
        <v>8.261371289855045</v>
      </c>
      <c r="I743" s="9">
        <f>DEGREES(H743)</f>
        <v/>
      </c>
      <c r="J743" s="10" t="n">
        <v>0.7247474633518212</v>
      </c>
      <c r="K743" s="10" t="n">
        <v>1.989531805076461</v>
      </c>
      <c r="L743" s="11">
        <f>$B$5*$B$3*$B$6*SIN(F743)</f>
        <v/>
      </c>
      <c r="M743" s="11">
        <f>$B$9*K743*(SIN(F743))^2 + $B$8*($B$10+K743*COS(F743))*COS(F743)</f>
        <v/>
      </c>
      <c r="N743" s="11">
        <f>0.5*$B$9*(J743^2 + (K743*SIN(F743))^2) + 0.5*$B$8*($B$10 + K743*COS(F743))^2</f>
        <v/>
      </c>
      <c r="O743" s="11">
        <f>$B$3*$B$6*$B$5*COS(F743)</f>
        <v/>
      </c>
      <c r="P743" s="11">
        <f>N743+O743</f>
        <v/>
      </c>
      <c r="Q743" s="12">
        <f>ABS(P743-$P$3)</f>
        <v/>
      </c>
    </row>
    <row r="744">
      <c r="D744" s="13" t="n">
        <v>742</v>
      </c>
      <c r="E744" s="14" t="n">
        <v>7.41529664045747</v>
      </c>
      <c r="F744" s="15" t="n">
        <v>1.18041810834479</v>
      </c>
      <c r="G744" s="16">
        <f>DEGREES(F744)</f>
        <v/>
      </c>
      <c r="H744" s="15" t="n">
        <v>8.281094771972441</v>
      </c>
      <c r="I744" s="16">
        <f>DEGREES(H744)</f>
        <v/>
      </c>
      <c r="J744" s="17" t="n">
        <v>0.7794118279669623</v>
      </c>
      <c r="K744" s="17" t="n">
        <v>1.951891092250531</v>
      </c>
      <c r="L744" s="18">
        <f>$B$5*$B$3*$B$6*SIN(F744)</f>
        <v/>
      </c>
      <c r="M744" s="18">
        <f>$B$9*K744*(SIN(F744))^2 + $B$8*($B$10+K744*COS(F744))*COS(F744)</f>
        <v/>
      </c>
      <c r="N744" s="18">
        <f>0.5*$B$9*(J744^2 + (K744*SIN(F744))^2) + 0.5*$B$8*($B$10 + K744*COS(F744))^2</f>
        <v/>
      </c>
      <c r="O744" s="18">
        <f>$B$3*$B$6*$B$5*COS(F744)</f>
        <v/>
      </c>
      <c r="P744" s="18">
        <f>N744+O744</f>
        <v/>
      </c>
      <c r="Q744" s="19">
        <f>ABS(P744-$P$3)</f>
        <v/>
      </c>
    </row>
    <row r="745">
      <c r="D745" s="6" t="n">
        <v>743</v>
      </c>
      <c r="E745" s="7" t="n">
        <v>7.425303788420301</v>
      </c>
      <c r="F745" s="8" t="n">
        <v>1.188481181099055</v>
      </c>
      <c r="G745" s="9">
        <f>DEGREES(F745)</f>
        <v/>
      </c>
      <c r="H745" s="8" t="n">
        <v>8.300428092980017</v>
      </c>
      <c r="I745" s="9">
        <f>DEGREES(H745)</f>
        <v/>
      </c>
      <c r="J745" s="10" t="n">
        <v>0.8316291021013269</v>
      </c>
      <c r="K745" s="10" t="n">
        <v>1.911575728479206</v>
      </c>
      <c r="L745" s="11">
        <f>$B$5*$B$3*$B$6*SIN(F745)</f>
        <v/>
      </c>
      <c r="M745" s="11">
        <f>$B$9*K745*(SIN(F745))^2 + $B$8*($B$10+K745*COS(F745))*COS(F745)</f>
        <v/>
      </c>
      <c r="N745" s="11">
        <f>0.5*$B$9*(J745^2 + (K745*SIN(F745))^2) + 0.5*$B$8*($B$10 + K745*COS(F745))^2</f>
        <v/>
      </c>
      <c r="O745" s="11">
        <f>$B$3*$B$6*$B$5*COS(F745)</f>
        <v/>
      </c>
      <c r="P745" s="11">
        <f>N745+O745</f>
        <v/>
      </c>
      <c r="Q745" s="12">
        <f>ABS(P745-$P$3)</f>
        <v/>
      </c>
    </row>
    <row r="746">
      <c r="D746" s="13" t="n">
        <v>744</v>
      </c>
      <c r="E746" s="14" t="n">
        <v>7.435310936383131</v>
      </c>
      <c r="F746" s="15" t="n">
        <v>1.197053868711174</v>
      </c>
      <c r="G746" s="16">
        <f>DEGREES(F746)</f>
        <v/>
      </c>
      <c r="H746" s="15" t="n">
        <v>8.319345113744522</v>
      </c>
      <c r="I746" s="16">
        <f>DEGREES(H746)</f>
        <v/>
      </c>
      <c r="J746" s="17" t="n">
        <v>0.8812353411111431</v>
      </c>
      <c r="K746" s="17" t="n">
        <v>1.868712290418614</v>
      </c>
      <c r="L746" s="18">
        <f>$B$5*$B$3*$B$6*SIN(F746)</f>
        <v/>
      </c>
      <c r="M746" s="18">
        <f>$B$9*K746*(SIN(F746))^2 + $B$8*($B$10+K746*COS(F746))*COS(F746)</f>
        <v/>
      </c>
      <c r="N746" s="18">
        <f>0.5*$B$9*(J746^2 + (K746*SIN(F746))^2) + 0.5*$B$8*($B$10 + K746*COS(F746))^2</f>
        <v/>
      </c>
      <c r="O746" s="18">
        <f>$B$3*$B$6*$B$5*COS(F746)</f>
        <v/>
      </c>
      <c r="P746" s="18">
        <f>N746+O746</f>
        <v/>
      </c>
      <c r="Q746" s="19">
        <f>ABS(P746-$P$3)</f>
        <v/>
      </c>
    </row>
    <row r="747">
      <c r="D747" s="6" t="n">
        <v>745</v>
      </c>
      <c r="E747" s="7" t="n">
        <v>7.445318084345962</v>
      </c>
      <c r="F747" s="8" t="n">
        <v>1.206109255831012</v>
      </c>
      <c r="G747" s="9">
        <f>DEGREES(F747)</f>
        <v/>
      </c>
      <c r="H747" s="8" t="n">
        <v>8.337821002175179</v>
      </c>
      <c r="I747" s="9">
        <f>DEGREES(H747)</f>
        <v/>
      </c>
      <c r="J747" s="10" t="n">
        <v>0.9280747981230663</v>
      </c>
      <c r="K747" s="10" t="n">
        <v>1.823435354819422</v>
      </c>
      <c r="L747" s="11">
        <f>$B$5*$B$3*$B$6*SIN(F747)</f>
        <v/>
      </c>
      <c r="M747" s="11">
        <f>$B$9*K747*(SIN(F747))^2 + $B$8*($B$10+K747*COS(F747))*COS(F747)</f>
        <v/>
      </c>
      <c r="N747" s="11">
        <f>0.5*$B$9*(J747^2 + (K747*SIN(F747))^2) + 0.5*$B$8*($B$10 + K747*COS(F747))^2</f>
        <v/>
      </c>
      <c r="O747" s="11">
        <f>$B$3*$B$6*$B$5*COS(F747)</f>
        <v/>
      </c>
      <c r="P747" s="11">
        <f>N747+O747</f>
        <v/>
      </c>
      <c r="Q747" s="12">
        <f>ABS(P747-$P$3)</f>
        <v/>
      </c>
    </row>
    <row r="748">
      <c r="D748" s="13" t="n">
        <v>746</v>
      </c>
      <c r="E748" s="14" t="n">
        <v>7.455325232308793</v>
      </c>
      <c r="F748" s="15" t="n">
        <v>1.215618911594647</v>
      </c>
      <c r="G748" s="16">
        <f>DEGREES(F748)</f>
        <v/>
      </c>
      <c r="H748" s="15" t="n">
        <v>8.355832311188079</v>
      </c>
      <c r="I748" s="16">
        <f>DEGREES(H748)</f>
        <v/>
      </c>
      <c r="J748" s="17" t="n">
        <v>0.972000413026804</v>
      </c>
      <c r="K748" s="17" t="n">
        <v>1.77588707600125</v>
      </c>
      <c r="L748" s="18">
        <f>$B$5*$B$3*$B$6*SIN(F748)</f>
        <v/>
      </c>
      <c r="M748" s="18">
        <f>$B$9*K748*(SIN(F748))^2 + $B$8*($B$10+K748*COS(F748))*COS(F748)</f>
        <v/>
      </c>
      <c r="N748" s="18">
        <f>0.5*$B$9*(J748^2 + (K748*SIN(F748))^2) + 0.5*$B$8*($B$10 + K748*COS(F748))^2</f>
        <v/>
      </c>
      <c r="O748" s="18">
        <f>$B$3*$B$6*$B$5*COS(F748)</f>
        <v/>
      </c>
      <c r="P748" s="18">
        <f>N748+O748</f>
        <v/>
      </c>
      <c r="Q748" s="19">
        <f>ABS(P748-$P$3)</f>
        <v/>
      </c>
    </row>
    <row r="749">
      <c r="D749" s="6" t="n">
        <v>747</v>
      </c>
      <c r="E749" s="7" t="n">
        <v>7.465332380271623</v>
      </c>
      <c r="F749" s="8" t="n">
        <v>1.2255529788877</v>
      </c>
      <c r="G749" s="9">
        <f>DEGREES(F749)</f>
        <v/>
      </c>
      <c r="H749" s="8" t="n">
        <v>8.373357052322117</v>
      </c>
      <c r="I749" s="9">
        <f>DEGREES(H749)</f>
        <v/>
      </c>
      <c r="J749" s="10" t="n">
        <v>1.012874274194335</v>
      </c>
      <c r="K749" s="10" t="n">
        <v>1.726216739535985</v>
      </c>
      <c r="L749" s="11">
        <f>$B$5*$B$3*$B$6*SIN(F749)</f>
        <v/>
      </c>
      <c r="M749" s="11">
        <f>$B$9*K749*(SIN(F749))^2 + $B$8*($B$10+K749*COS(F749))*COS(F749)</f>
        <v/>
      </c>
      <c r="N749" s="11">
        <f>0.5*$B$9*(J749^2 + (K749*SIN(F749))^2) + 0.5*$B$8*($B$10 + K749*COS(F749))^2</f>
        <v/>
      </c>
      <c r="O749" s="11">
        <f>$B$3*$B$6*$B$5*COS(F749)</f>
        <v/>
      </c>
      <c r="P749" s="11">
        <f>N749+O749</f>
        <v/>
      </c>
      <c r="Q749" s="12">
        <f>ABS(P749-$P$3)</f>
        <v/>
      </c>
    </row>
    <row r="750">
      <c r="D750" s="13" t="n">
        <v>748</v>
      </c>
      <c r="E750" s="14" t="n">
        <v>7.475339528234453</v>
      </c>
      <c r="F750" s="15" t="n">
        <v>1.235880268086616</v>
      </c>
      <c r="G750" s="16">
        <f>DEGREES(F750)</f>
        <v/>
      </c>
      <c r="H750" s="15" t="n">
        <v>8.390374764775364</v>
      </c>
      <c r="I750" s="16">
        <f>DEGREES(H750)</f>
        <v/>
      </c>
      <c r="J750" s="17" t="n">
        <v>1.050568051475939</v>
      </c>
      <c r="K750" s="17" t="n">
        <v>1.674580293541401</v>
      </c>
      <c r="L750" s="18">
        <f>$B$5*$B$3*$B$6*SIN(F750)</f>
        <v/>
      </c>
      <c r="M750" s="18">
        <f>$B$9*K750*(SIN(F750))^2 + $B$8*($B$10+K750*COS(F750))*COS(F750)</f>
        <v/>
      </c>
      <c r="N750" s="18">
        <f>0.5*$B$9*(J750^2 + (K750*SIN(F750))^2) + 0.5*$B$8*($B$10 + K750*COS(F750))^2</f>
        <v/>
      </c>
      <c r="O750" s="18">
        <f>$B$3*$B$6*$B$5*COS(F750)</f>
        <v/>
      </c>
      <c r="P750" s="18">
        <f>N750+O750</f>
        <v/>
      </c>
      <c r="Q750" s="19">
        <f>ABS(P750-$P$3)</f>
        <v/>
      </c>
    </row>
    <row r="751">
      <c r="D751" s="6" t="n">
        <v>749</v>
      </c>
      <c r="E751" s="7" t="n">
        <v>7.485346676197285</v>
      </c>
      <c r="F751" s="8" t="n">
        <v>1.246568354983572</v>
      </c>
      <c r="G751" s="9">
        <f>DEGREES(F751)</f>
        <v/>
      </c>
      <c r="H751" s="8" t="n">
        <v>8.406866579645079</v>
      </c>
      <c r="I751" s="9">
        <f>DEGREES(H751)</f>
        <v/>
      </c>
      <c r="J751" s="10" t="n">
        <v>1.084963399113623</v>
      </c>
      <c r="K751" s="10" t="n">
        <v>1.621139859056622</v>
      </c>
      <c r="L751" s="11">
        <f>$B$5*$B$3*$B$6*SIN(F751)</f>
        <v/>
      </c>
      <c r="M751" s="11">
        <f>$B$9*K751*(SIN(F751))^2 + $B$8*($B$10+K751*COS(F751))*COS(F751)</f>
        <v/>
      </c>
      <c r="N751" s="11">
        <f>0.5*$B$9*(J751^2 + (K751*SIN(F751))^2) + 0.5*$B$8*($B$10 + K751*COS(F751))^2</f>
        <v/>
      </c>
      <c r="O751" s="11">
        <f>$B$3*$B$6*$B$5*COS(F751)</f>
        <v/>
      </c>
      <c r="P751" s="11">
        <f>N751+O751</f>
        <v/>
      </c>
      <c r="Q751" s="12">
        <f>ABS(P751-$P$3)</f>
        <v/>
      </c>
    </row>
    <row r="752">
      <c r="D752" s="13" t="n">
        <v>750</v>
      </c>
      <c r="E752" s="14" t="n">
        <v>7.495353824160115</v>
      </c>
      <c r="F752" s="15" t="n">
        <v>1.257583682587558</v>
      </c>
      <c r="G752" s="16">
        <f>DEGREES(F752)</f>
        <v/>
      </c>
      <c r="H752" s="15" t="n">
        <v>8.422815279169704</v>
      </c>
      <c r="I752" s="16">
        <f>DEGREES(H752)</f>
        <v/>
      </c>
      <c r="J752" s="17" t="n">
        <v>1.115952327306913</v>
      </c>
      <c r="K752" s="17" t="n">
        <v>1.566063221036692</v>
      </c>
      <c r="L752" s="18">
        <f>$B$5*$B$3*$B$6*SIN(F752)</f>
        <v/>
      </c>
      <c r="M752" s="18">
        <f>$B$9*K752*(SIN(F752))^2 + $B$8*($B$10+K752*COS(F752))*COS(F752)</f>
        <v/>
      </c>
      <c r="N752" s="18">
        <f>0.5*$B$9*(J752^2 + (K752*SIN(F752))^2) + 0.5*$B$8*($B$10 + K752*COS(F752))^2</f>
        <v/>
      </c>
      <c r="O752" s="18">
        <f>$B$3*$B$6*$B$5*COS(F752)</f>
        <v/>
      </c>
      <c r="P752" s="18">
        <f>N752+O752</f>
        <v/>
      </c>
      <c r="Q752" s="19">
        <f>ABS(P752-$P$3)</f>
        <v/>
      </c>
    </row>
    <row r="753">
      <c r="D753" s="6" t="n">
        <v>751</v>
      </c>
      <c r="E753" s="7" t="n">
        <v>7.505360972122945</v>
      </c>
      <c r="F753" s="8" t="n">
        <v>1.268891666482024</v>
      </c>
      <c r="G753" s="9">
        <f>DEGREES(F753)</f>
        <v/>
      </c>
      <c r="H753" s="8" t="n">
        <v>8.438205350786841</v>
      </c>
      <c r="I753" s="9">
        <f>DEGREES(H753)</f>
        <v/>
      </c>
      <c r="J753" s="10" t="n">
        <v>1.143437541264443</v>
      </c>
      <c r="K753" s="10" t="n">
        <v>1.509523301564362</v>
      </c>
      <c r="L753" s="11">
        <f>$B$5*$B$3*$B$6*SIN(F753)</f>
        <v/>
      </c>
      <c r="M753" s="11">
        <f>$B$9*K753*(SIN(F753))^2 + $B$8*($B$10+K753*COS(F753))*COS(F753)</f>
        <v/>
      </c>
      <c r="N753" s="11">
        <f>0.5*$B$9*(J753^2 + (K753*SIN(F753))^2) + 0.5*$B$8*($B$10 + K753*COS(F753))^2</f>
        <v/>
      </c>
      <c r="O753" s="11">
        <f>$B$3*$B$6*$B$5*COS(F753)</f>
        <v/>
      </c>
      <c r="P753" s="11">
        <f>N753+O753</f>
        <v/>
      </c>
      <c r="Q753" s="12">
        <f>ABS(P753-$P$3)</f>
        <v/>
      </c>
    </row>
    <row r="754">
      <c r="D754" s="13" t="n">
        <v>752</v>
      </c>
      <c r="E754" s="14" t="n">
        <v>7.515368120085776</v>
      </c>
      <c r="F754" s="15" t="n">
        <v>1.280456803408292</v>
      </c>
      <c r="G754" s="16">
        <f>DEGREES(F754)</f>
        <v/>
      </c>
      <c r="H754" s="15" t="n">
        <v>8.453023035837466</v>
      </c>
      <c r="I754" s="16">
        <f>DEGREES(H754)</f>
        <v/>
      </c>
      <c r="J754" s="17" t="n">
        <v>1.167332746676805</v>
      </c>
      <c r="K754" s="17" t="n">
        <v>1.451697616933022</v>
      </c>
      <c r="L754" s="18">
        <f>$B$5*$B$3*$B$6*SIN(F754)</f>
        <v/>
      </c>
      <c r="M754" s="18">
        <f>$B$9*K754*(SIN(F754))^2 + $B$8*($B$10+K754*COS(F754))*COS(F754)</f>
        <v/>
      </c>
      <c r="N754" s="18">
        <f>0.5*$B$9*(J754^2 + (K754*SIN(F754))^2) + 0.5*$B$8*($B$10 + K754*COS(F754))^2</f>
        <v/>
      </c>
      <c r="O754" s="18">
        <f>$B$3*$B$6*$B$5*COS(F754)</f>
        <v/>
      </c>
      <c r="P754" s="18">
        <f>N754+O754</f>
        <v/>
      </c>
      <c r="Q754" s="19">
        <f>ABS(P754-$P$3)</f>
        <v/>
      </c>
    </row>
    <row r="755">
      <c r="D755" s="6" t="n">
        <v>753</v>
      </c>
      <c r="E755" s="7" t="n">
        <v>7.525375268048607</v>
      </c>
      <c r="F755" s="8" t="n">
        <v>1.292242782733824</v>
      </c>
      <c r="G755" s="9">
        <f>DEGREES(F755)</f>
        <v/>
      </c>
      <c r="H755" s="8" t="n">
        <v>8.467256372763483</v>
      </c>
      <c r="I755" s="9">
        <f>DEGREES(H755)</f>
        <v/>
      </c>
      <c r="J755" s="10" t="n">
        <v>1.187562920651604</v>
      </c>
      <c r="K755" s="10" t="n">
        <v>1.392767720305364</v>
      </c>
      <c r="L755" s="11">
        <f>$B$5*$B$3*$B$6*SIN(F755)</f>
        <v/>
      </c>
      <c r="M755" s="11">
        <f>$B$9*K755*(SIN(F755))^2 + $B$8*($B$10+K755*COS(F755))*COS(F755)</f>
        <v/>
      </c>
      <c r="N755" s="11">
        <f>0.5*$B$9*(J755^2 + (K755*SIN(F755))^2) + 0.5*$B$8*($B$10 + K755*COS(F755))^2</f>
        <v/>
      </c>
      <c r="O755" s="11">
        <f>$B$3*$B$6*$B$5*COS(F755)</f>
        <v/>
      </c>
      <c r="P755" s="11">
        <f>N755+O755</f>
        <v/>
      </c>
      <c r="Q755" s="12">
        <f>ABS(P755-$P$3)</f>
        <v/>
      </c>
    </row>
    <row r="756">
      <c r="D756" s="13" t="n">
        <v>754</v>
      </c>
      <c r="E756" s="14" t="n">
        <v>7.535382416011437</v>
      </c>
      <c r="F756" s="15" t="n">
        <v>1.304212600455368</v>
      </c>
      <c r="G756" s="16">
        <f>DEGREES(F756)</f>
        <v/>
      </c>
      <c r="H756" s="15" t="n">
        <v>8.480895234662974</v>
      </c>
      <c r="I756" s="16">
        <f>DEGREES(H756)</f>
        <v/>
      </c>
      <c r="J756" s="17" t="n">
        <v>1.204064547260054</v>
      </c>
      <c r="K756" s="17" t="n">
        <v>1.332918631697641</v>
      </c>
      <c r="L756" s="18">
        <f>$B$5*$B$3*$B$6*SIN(F756)</f>
        <v/>
      </c>
      <c r="M756" s="18">
        <f>$B$9*K756*(SIN(F756))^2 + $B$8*($B$10+K756*COS(F756))*COS(F756)</f>
        <v/>
      </c>
      <c r="N756" s="18">
        <f>0.5*$B$9*(J756^2 + (K756*SIN(F756))^2) + 0.5*$B$8*($B$10 + K756*COS(F756))^2</f>
        <v/>
      </c>
      <c r="O756" s="18">
        <f>$B$3*$B$6*$B$5*COS(F756)</f>
        <v/>
      </c>
      <c r="P756" s="18">
        <f>N756+O756</f>
        <v/>
      </c>
      <c r="Q756" s="19">
        <f>ABS(P756-$P$3)</f>
        <v/>
      </c>
    </row>
    <row r="757">
      <c r="D757" s="6" t="n">
        <v>755</v>
      </c>
      <c r="E757" s="7" t="n">
        <v>7.545389563974268</v>
      </c>
      <c r="F757" s="8" t="n">
        <v>1.316328675379072</v>
      </c>
      <c r="G757" s="9">
        <f>DEGREES(F757)</f>
        <v/>
      </c>
      <c r="H757" s="8" t="n">
        <v>8.493931361085279</v>
      </c>
      <c r="I757" s="9">
        <f>DEGREES(H757)</f>
        <v/>
      </c>
      <c r="J757" s="10" t="n">
        <v>1.216785816955601</v>
      </c>
      <c r="K757" s="10" t="n">
        <v>1.272338257079125</v>
      </c>
      <c r="L757" s="11">
        <f>$B$5*$B$3*$B$6*SIN(F757)</f>
        <v/>
      </c>
      <c r="M757" s="11">
        <f>$B$9*K757*(SIN(F757))^2 + $B$8*($B$10+K757*COS(F757))*COS(F757)</f>
        <v/>
      </c>
      <c r="N757" s="11">
        <f>0.5*$B$9*(J757^2 + (K757*SIN(F757))^2) + 0.5*$B$8*($B$10 + K757*COS(F757))^2</f>
        <v/>
      </c>
      <c r="O757" s="11">
        <f>$B$3*$B$6*$B$5*COS(F757)</f>
        <v/>
      </c>
      <c r="P757" s="11">
        <f>N757+O757</f>
        <v/>
      </c>
      <c r="Q757" s="12">
        <f>ABS(P757-$P$3)</f>
        <v/>
      </c>
    </row>
    <row r="758">
      <c r="D758" s="13" t="n">
        <v>756</v>
      </c>
      <c r="E758" s="14" t="n">
        <v>7.555396711937099</v>
      </c>
      <c r="F758" s="15" t="n">
        <v>1.328552967112742</v>
      </c>
      <c r="G758" s="16">
        <f>DEGREES(F758)</f>
        <v/>
      </c>
      <c r="H758" s="15" t="n">
        <v>8.506358383966015</v>
      </c>
      <c r="I758" s="16">
        <f>DEGREES(H758)</f>
        <v/>
      </c>
      <c r="J758" s="17" t="n">
        <v>1.225686789238416</v>
      </c>
      <c r="K758" s="17" t="n">
        <v>1.211216798410771</v>
      </c>
      <c r="L758" s="18">
        <f>$B$5*$B$3*$B$6*SIN(F758)</f>
        <v/>
      </c>
      <c r="M758" s="18">
        <f>$B$9*K758*(SIN(F758))^2 + $B$8*($B$10+K758*COS(F758))*COS(F758)</f>
        <v/>
      </c>
      <c r="N758" s="18">
        <f>0.5*$B$9*(J758^2 + (K758*SIN(F758))^2) + 0.5*$B$8*($B$10 + K758*COS(F758))^2</f>
        <v/>
      </c>
      <c r="O758" s="18">
        <f>$B$3*$B$6*$B$5*COS(F758)</f>
        <v/>
      </c>
      <c r="P758" s="18">
        <f>N758+O758</f>
        <v/>
      </c>
      <c r="Q758" s="19">
        <f>ABS(P758-$P$3)</f>
        <v/>
      </c>
    </row>
    <row r="759">
      <c r="D759" s="6" t="n">
        <v>757</v>
      </c>
      <c r="E759" s="7" t="n">
        <v>7.565403859899929</v>
      </c>
      <c r="F759" s="8" t="n">
        <v>1.34084709549988</v>
      </c>
      <c r="G759" s="9">
        <f>DEGREES(F759)</f>
        <v/>
      </c>
      <c r="H759" s="8" t="n">
        <v>8.518171847620652</v>
      </c>
      <c r="I759" s="9">
        <f>DEGREES(H759)</f>
        <v/>
      </c>
      <c r="J759" s="10" t="n">
        <v>1.230739518055131</v>
      </c>
      <c r="K759" s="10" t="n">
        <v>1.149746156475083</v>
      </c>
      <c r="L759" s="11">
        <f>$B$5*$B$3*$B$6*SIN(F759)</f>
        <v/>
      </c>
      <c r="M759" s="11">
        <f>$B$9*K759*(SIN(F759))^2 + $B$8*($B$10+K759*COS(F759))*COS(F759)</f>
        <v/>
      </c>
      <c r="N759" s="11">
        <f>0.5*$B$9*(J759^2 + (K759*SIN(F759))^2) + 0.5*$B$8*($B$10 + K759*COS(F759))^2</f>
        <v/>
      </c>
      <c r="O759" s="11">
        <f>$B$3*$B$6*$B$5*COS(F759)</f>
        <v/>
      </c>
      <c r="P759" s="11">
        <f>N759+O759</f>
        <v/>
      </c>
      <c r="Q759" s="12">
        <f>ABS(P759-$P$3)</f>
        <v/>
      </c>
    </row>
    <row r="760">
      <c r="D760" s="13" t="n">
        <v>758</v>
      </c>
      <c r="E760" s="14" t="n">
        <v>7.575411007862759</v>
      </c>
      <c r="F760" s="15" t="n">
        <v>1.35317246112043</v>
      </c>
      <c r="G760" s="16">
        <f>DEGREES(F760)</f>
        <v/>
      </c>
      <c r="H760" s="15" t="n">
        <v>8.529369222733859</v>
      </c>
      <c r="I760" s="16">
        <f>DEGREES(H760)</f>
        <v/>
      </c>
      <c r="J760" s="17" t="n">
        <v>1.231928139540013</v>
      </c>
      <c r="K760" s="17" t="n">
        <v>1.088119328372333</v>
      </c>
      <c r="L760" s="18">
        <f>$B$5*$B$3*$B$6*SIN(F760)</f>
        <v/>
      </c>
      <c r="M760" s="18">
        <f>$B$9*K760*(SIN(F760))^2 + $B$8*($B$10+K760*COS(F760))*COS(F760)</f>
        <v/>
      </c>
      <c r="N760" s="18">
        <f>0.5*$B$9*(J760^2 + (K760*SIN(F760))^2) + 0.5*$B$8*($B$10 + K760*COS(F760))^2</f>
        <v/>
      </c>
      <c r="O760" s="18">
        <f>$B$3*$B$6*$B$5*COS(F760)</f>
        <v/>
      </c>
      <c r="P760" s="18">
        <f>N760+O760</f>
        <v/>
      </c>
      <c r="Q760" s="19">
        <f>ABS(P760-$P$3)</f>
        <v/>
      </c>
    </row>
    <row r="761">
      <c r="D761" s="6" t="n">
        <v>759</v>
      </c>
      <c r="E761" s="7" t="n">
        <v>7.58541815582559</v>
      </c>
      <c r="F761" s="8" t="n">
        <v>1.365490366479947</v>
      </c>
      <c r="G761" s="9">
        <f>DEGREES(F761)</f>
        <v/>
      </c>
      <c r="H761" s="8" t="n">
        <v>8.539949914300713</v>
      </c>
      <c r="I761" s="9">
        <f>DEGREES(H761)</f>
        <v/>
      </c>
      <c r="J761" s="10" t="n">
        <v>1.22924892182216</v>
      </c>
      <c r="K761" s="10" t="n">
        <v>1.02652980157475</v>
      </c>
      <c r="L761" s="11">
        <f>$B$5*$B$3*$B$6*SIN(F761)</f>
        <v/>
      </c>
      <c r="M761" s="11">
        <f>$B$9*K761*(SIN(F761))^2 + $B$8*($B$10+K761*COS(F761))*COS(F761)</f>
        <v/>
      </c>
      <c r="N761" s="11">
        <f>0.5*$B$9*(J761^2 + (K761*SIN(F761))^2) + 0.5*$B$8*($B$10 + K761*COS(F761))^2</f>
        <v/>
      </c>
      <c r="O761" s="11">
        <f>$B$3*$B$6*$B$5*COS(F761)</f>
        <v/>
      </c>
      <c r="P761" s="11">
        <f>N761+O761</f>
        <v/>
      </c>
      <c r="Q761" s="12">
        <f>ABS(P761-$P$3)</f>
        <v/>
      </c>
    </row>
    <row r="762">
      <c r="D762" s="13" t="n">
        <v>760</v>
      </c>
      <c r="E762" s="14" t="n">
        <v>7.595425303788421</v>
      </c>
      <c r="F762" s="15" t="n">
        <v>1.377762137506692</v>
      </c>
      <c r="G762" s="16">
        <f>DEGREES(F762)</f>
        <v/>
      </c>
      <c r="H762" s="15" t="n">
        <v>8.549915263494801</v>
      </c>
      <c r="I762" s="16">
        <f>DEGREES(H762)</f>
        <v/>
      </c>
      <c r="J762" s="17" t="n">
        <v>1.22271027674232</v>
      </c>
      <c r="K762" s="17" t="n">
        <v>0.9651709464410255</v>
      </c>
      <c r="L762" s="18">
        <f>$B$5*$B$3*$B$6*SIN(F762)</f>
        <v/>
      </c>
      <c r="M762" s="18">
        <f>$B$9*K762*(SIN(F762))^2 + $B$8*($B$10+K762*COS(F762))*COS(F762)</f>
        <v/>
      </c>
      <c r="N762" s="18">
        <f>0.5*$B$9*(J762^2 + (K762*SIN(F762))^2) + 0.5*$B$8*($B$10 + K762*COS(F762))^2</f>
        <v/>
      </c>
      <c r="O762" s="18">
        <f>$B$3*$B$6*$B$5*COS(F762)</f>
        <v/>
      </c>
      <c r="P762" s="18">
        <f>N762+O762</f>
        <v/>
      </c>
      <c r="Q762" s="19">
        <f>ABS(P762-$P$3)</f>
        <v/>
      </c>
    </row>
    <row r="763">
      <c r="D763" s="6" t="n">
        <v>761</v>
      </c>
      <c r="E763" s="7" t="n">
        <v>7.605432451751251</v>
      </c>
      <c r="F763" s="8" t="n">
        <v>1.389949244975184</v>
      </c>
      <c r="G763" s="9">
        <f>DEGREES(F763)</f>
        <v/>
      </c>
      <c r="H763" s="8" t="n">
        <v>8.559268543457394</v>
      </c>
      <c r="I763" s="9">
        <f>DEGREES(H763)</f>
        <v/>
      </c>
      <c r="J763" s="10" t="n">
        <v>1.212332733442543</v>
      </c>
      <c r="K763" s="10" t="n">
        <v>0.9042354090985626</v>
      </c>
      <c r="L763" s="11">
        <f>$B$5*$B$3*$B$6*SIN(F763)</f>
        <v/>
      </c>
      <c r="M763" s="11">
        <f>$B$9*K763*(SIN(F763))^2 + $B$8*($B$10+K763*COS(F763))*COS(F763)</f>
        <v/>
      </c>
      <c r="N763" s="11">
        <f>0.5*$B$9*(J763^2 + (K763*SIN(F763))^2) + 0.5*$B$8*($B$10 + K763*COS(F763))^2</f>
        <v/>
      </c>
      <c r="O763" s="11">
        <f>$B$3*$B$6*$B$5*COS(F763)</f>
        <v/>
      </c>
      <c r="P763" s="11">
        <f>N763+O763</f>
        <v/>
      </c>
      <c r="Q763" s="12">
        <f>ABS(P763-$P$3)</f>
        <v/>
      </c>
    </row>
    <row r="764">
      <c r="D764" s="13" t="n">
        <v>762</v>
      </c>
      <c r="E764" s="14" t="n">
        <v>7.615439599714082</v>
      </c>
      <c r="F764" s="15" t="n">
        <v>1.402013425474985</v>
      </c>
      <c r="G764" s="16">
        <f>DEGREES(F764)</f>
        <v/>
      </c>
      <c r="H764" s="15" t="n">
        <v>8.568014949020887</v>
      </c>
      <c r="I764" s="16">
        <f>DEGREES(H764)</f>
        <v/>
      </c>
      <c r="J764" s="17" t="n">
        <v>1.198148873911594</v>
      </c>
      <c r="K764" s="17" t="n">
        <v>0.8439145065995564</v>
      </c>
      <c r="L764" s="18">
        <f>$B$5*$B$3*$B$6*SIN(F764)</f>
        <v/>
      </c>
      <c r="M764" s="18">
        <f>$B$9*K764*(SIN(F764))^2 + $B$8*($B$10+K764*COS(F764))*COS(F764)</f>
        <v/>
      </c>
      <c r="N764" s="18">
        <f>0.5*$B$9*(J764^2 + (K764*SIN(F764))^2) + 0.5*$B$8*($B$10 + K764*COS(F764))^2</f>
        <v/>
      </c>
      <c r="O764" s="18">
        <f>$B$3*$B$6*$B$5*COS(F764)</f>
        <v/>
      </c>
      <c r="P764" s="18">
        <f>N764+O764</f>
        <v/>
      </c>
      <c r="Q764" s="19">
        <f>ABS(P764-$P$3)</f>
        <v/>
      </c>
    </row>
    <row r="765">
      <c r="D765" s="6" t="n">
        <v>763</v>
      </c>
      <c r="E765" s="7" t="n">
        <v>7.625446747676913</v>
      </c>
      <c r="F765" s="8" t="n">
        <v>1.413916801544912</v>
      </c>
      <c r="G765" s="9">
        <f>DEGREES(F765)</f>
        <v/>
      </c>
      <c r="H765" s="8" t="n">
        <v>8.576161580398765</v>
      </c>
      <c r="I765" s="9">
        <f>DEGREES(H765)</f>
        <v/>
      </c>
      <c r="J765" s="10" t="n">
        <v>1.180203230688491</v>
      </c>
      <c r="K765" s="10" t="n">
        <v>0.7843976262499228</v>
      </c>
      <c r="L765" s="11">
        <f>$B$5*$B$3*$B$6*SIN(F765)</f>
        <v/>
      </c>
      <c r="M765" s="11">
        <f>$B$9*K765*(SIN(F765))^2 + $B$8*($B$10+K765*COS(F765))*COS(F765)</f>
        <v/>
      </c>
      <c r="N765" s="11">
        <f>0.5*$B$9*(J765^2 + (K765*SIN(F765))^2) + 0.5*$B$8*($B$10 + K765*COS(F765))^2</f>
        <v/>
      </c>
      <c r="O765" s="11">
        <f>$B$3*$B$6*$B$5*COS(F765)</f>
        <v/>
      </c>
      <c r="P765" s="11">
        <f>N765+O765</f>
        <v/>
      </c>
      <c r="Q765" s="12">
        <f>ABS(P765-$P$3)</f>
        <v/>
      </c>
    </row>
    <row r="766">
      <c r="D766" s="13" t="n">
        <v>764</v>
      </c>
      <c r="E766" s="14" t="n">
        <v>7.635453895639743</v>
      </c>
      <c r="F766" s="15" t="n">
        <v>1.4256220005955</v>
      </c>
      <c r="G766" s="16">
        <f>DEGREES(F766)</f>
        <v/>
      </c>
      <c r="H766" s="15" t="n">
        <v>8.583717420893345</v>
      </c>
      <c r="I766" s="16">
        <f>DEGREES(H766)</f>
        <v/>
      </c>
      <c r="J766" s="17" t="n">
        <v>1.158552147045336</v>
      </c>
      <c r="K766" s="17" t="n">
        <v>0.7258716309969823</v>
      </c>
      <c r="L766" s="18">
        <f>$B$5*$B$3*$B$6*SIN(F766)</f>
        <v/>
      </c>
      <c r="M766" s="18">
        <f>$B$9*K766*(SIN(F766))^2 + $B$8*($B$10+K766*COS(F766))*COS(F766)</f>
        <v/>
      </c>
      <c r="N766" s="18">
        <f>0.5*$B$9*(J766^2 + (K766*SIN(F766))^2) + 0.5*$B$8*($B$10 + K766*COS(F766))^2</f>
        <v/>
      </c>
      <c r="O766" s="18">
        <f>$B$3*$B$6*$B$5*COS(F766)</f>
        <v/>
      </c>
      <c r="P766" s="18">
        <f>N766+O766</f>
        <v/>
      </c>
      <c r="Q766" s="19">
        <f>ABS(P766-$P$3)</f>
        <v/>
      </c>
    </row>
    <row r="767">
      <c r="D767" s="6" t="n">
        <v>765</v>
      </c>
      <c r="E767" s="7" t="n">
        <v>7.645461043602574</v>
      </c>
      <c r="F767" s="8" t="n">
        <v>1.437092272246342</v>
      </c>
      <c r="G767" s="9">
        <f>DEGREES(F767)</f>
        <v/>
      </c>
      <c r="H767" s="8" t="n">
        <v>8.590693308691217</v>
      </c>
      <c r="I767" s="9">
        <f>DEGREES(H767)</f>
        <v/>
      </c>
      <c r="J767" s="10" t="n">
        <v>1.13326360008843</v>
      </c>
      <c r="K767" s="10" t="n">
        <v>0.6685202727427755</v>
      </c>
      <c r="L767" s="11">
        <f>$B$5*$B$3*$B$6*SIN(F767)</f>
        <v/>
      </c>
      <c r="M767" s="11">
        <f>$B$9*K767*(SIN(F767))^2 + $B$8*($B$10+K767*COS(F767))*COS(F767)</f>
        <v/>
      </c>
      <c r="N767" s="11">
        <f>0.5*$B$9*(J767^2 + (K767*SIN(F767))^2) + 0.5*$B$8*($B$10 + K767*COS(F767))^2</f>
        <v/>
      </c>
      <c r="O767" s="11">
        <f>$B$3*$B$6*$B$5*COS(F767)</f>
        <v/>
      </c>
      <c r="P767" s="11">
        <f>N767+O767</f>
        <v/>
      </c>
      <c r="Q767" s="12">
        <f>ABS(P767-$P$3)</f>
        <v/>
      </c>
    </row>
    <row r="768">
      <c r="D768" s="13" t="n">
        <v>766</v>
      </c>
      <c r="E768" s="14" t="n">
        <v>7.655468191565404</v>
      </c>
      <c r="F768" s="15" t="n">
        <v>1.448291603709893</v>
      </c>
      <c r="G768" s="16">
        <f>DEGREES(F768)</f>
        <v/>
      </c>
      <c r="H768" s="15" t="n">
        <v>8.597101902834998</v>
      </c>
      <c r="I768" s="16">
        <f>DEGREES(H768)</f>
        <v/>
      </c>
      <c r="J768" s="17" t="n">
        <v>1.104416987333067</v>
      </c>
      <c r="K768" s="17" t="n">
        <v>0.6125236154250162</v>
      </c>
      <c r="L768" s="18">
        <f>$B$5*$B$3*$B$6*SIN(F768)</f>
        <v/>
      </c>
      <c r="M768" s="18">
        <f>$B$9*K768*(SIN(F768))^2 + $B$8*($B$10+K768*COS(F768))*COS(F768)</f>
        <v/>
      </c>
      <c r="N768" s="18">
        <f>0.5*$B$9*(J768^2 + (K768*SIN(F768))^2) + 0.5*$B$8*($B$10 + K768*COS(F768))^2</f>
        <v/>
      </c>
      <c r="O768" s="18">
        <f>$B$3*$B$6*$B$5*COS(F768)</f>
        <v/>
      </c>
      <c r="P768" s="18">
        <f>N768+O768</f>
        <v/>
      </c>
      <c r="Q768" s="19">
        <f>ABS(P768-$P$3)</f>
        <v/>
      </c>
    </row>
    <row r="769">
      <c r="D769" s="6" t="n">
        <v>767</v>
      </c>
      <c r="E769" s="7" t="n">
        <v>7.665475339528235</v>
      </c>
      <c r="F769" s="8" t="n">
        <v>1.459184832859494</v>
      </c>
      <c r="G769" s="9">
        <f>DEGREES(F769)</f>
        <v/>
      </c>
      <c r="H769" s="8" t="n">
        <v>8.602957643478204</v>
      </c>
      <c r="I769" s="9">
        <f>DEGREES(H769)</f>
        <v/>
      </c>
      <c r="J769" s="10" t="n">
        <v>1.072102877422096</v>
      </c>
      <c r="K769" s="10" t="n">
        <v>0.5580574696770135</v>
      </c>
      <c r="L769" s="11">
        <f>$B$5*$B$3*$B$6*SIN(F769)</f>
        <v/>
      </c>
      <c r="M769" s="11">
        <f>$B$9*K769*(SIN(F769))^2 + $B$8*($B$10+K769*COS(F769))*COS(F769)</f>
        <v/>
      </c>
      <c r="N769" s="11">
        <f>0.5*$B$9*(J769^2 + (K769*SIN(F769))^2) + 0.5*$B$8*($B$10 + K769*COS(F769))^2</f>
        <v/>
      </c>
      <c r="O769" s="11">
        <f>$B$3*$B$6*$B$5*COS(F769)</f>
        <v/>
      </c>
      <c r="P769" s="11">
        <f>N769+O769</f>
        <v/>
      </c>
      <c r="Q769" s="12">
        <f>ABS(P769-$P$3)</f>
        <v/>
      </c>
    </row>
    <row r="770">
      <c r="D770" s="13" t="n">
        <v>768</v>
      </c>
      <c r="E770" s="14" t="n">
        <v>7.675482487491066</v>
      </c>
      <c r="F770" s="15" t="n">
        <v>1.469737758626597</v>
      </c>
      <c r="G770" s="16">
        <f>DEGREES(F770)</f>
        <v/>
      </c>
      <c r="H770" s="15" t="n">
        <v>8.608276706548031</v>
      </c>
      <c r="I770" s="16">
        <f>DEGREES(H770)</f>
        <v/>
      </c>
      <c r="J770" s="17" t="n">
        <v>1.036422725770885</v>
      </c>
      <c r="K770" s="17" t="n">
        <v>0.5052928408414979</v>
      </c>
      <c r="L770" s="18">
        <f>$B$5*$B$3*$B$6*SIN(F770)</f>
        <v/>
      </c>
      <c r="M770" s="18">
        <f>$B$9*K770*(SIN(F770))^2 + $B$8*($B$10+K770*COS(F770))*COS(F770)</f>
        <v/>
      </c>
      <c r="N770" s="18">
        <f>0.5*$B$9*(J770^2 + (K770*SIN(F770))^2) + 0.5*$B$8*($B$10 + K770*COS(F770))^2</f>
        <v/>
      </c>
      <c r="O770" s="18">
        <f>$B$3*$B$6*$B$5*COS(F770)</f>
        <v/>
      </c>
      <c r="P770" s="18">
        <f>N770+O770</f>
        <v/>
      </c>
      <c r="Q770" s="19">
        <f>ABS(P770-$P$3)</f>
        <v/>
      </c>
    </row>
    <row r="771">
      <c r="D771" s="6" t="n">
        <v>769</v>
      </c>
      <c r="E771" s="7" t="n">
        <v>7.685489635453896</v>
      </c>
      <c r="F771" s="8" t="n">
        <v>1.479917248380587</v>
      </c>
      <c r="G771" s="9">
        <f>DEGREES(F771)</f>
        <v/>
      </c>
      <c r="H771" s="8" t="n">
        <v>8.613076952958398</v>
      </c>
      <c r="I771" s="9">
        <f>DEGREES(H771)</f>
        <v/>
      </c>
      <c r="J771" s="10" t="n">
        <v>0.9974885560315512</v>
      </c>
      <c r="K771" s="10" t="n">
        <v>0.4543953920715461</v>
      </c>
      <c r="L771" s="11">
        <f>$B$5*$B$3*$B$6*SIN(F771)</f>
        <v/>
      </c>
      <c r="M771" s="11">
        <f>$B$9*K771*(SIN(F771))^2 + $B$8*($B$10+K771*COS(F771))*COS(F771)</f>
        <v/>
      </c>
      <c r="N771" s="11">
        <f>0.5*$B$9*(J771^2 + (K771*SIN(F771))^2) + 0.5*$B$8*($B$10 + K771*COS(F771))^2</f>
        <v/>
      </c>
      <c r="O771" s="11">
        <f>$B$3*$B$6*$B$5*COS(F771)</f>
        <v/>
      </c>
      <c r="P771" s="11">
        <f>N771+O771</f>
        <v/>
      </c>
      <c r="Q771" s="12">
        <f>ABS(P771-$P$3)</f>
        <v/>
      </c>
    </row>
    <row r="772">
      <c r="D772" s="13" t="n">
        <v>770</v>
      </c>
      <c r="E772" s="14" t="n">
        <v>7.695496783416726</v>
      </c>
      <c r="F772" s="15" t="n">
        <v>1.489691341954093</v>
      </c>
      <c r="G772" s="16">
        <f>DEGREES(F772)</f>
        <v/>
      </c>
      <c r="H772" s="15" t="n">
        <v>8.617377872532696</v>
      </c>
      <c r="I772" s="16">
        <f>DEGREES(H772)</f>
        <v/>
      </c>
      <c r="J772" s="17" t="n">
        <v>0.955422608376385</v>
      </c>
      <c r="K772" s="17" t="n">
        <v>0.4055249242040162</v>
      </c>
      <c r="L772" s="18">
        <f>$B$5*$B$3*$B$6*SIN(F772)</f>
        <v/>
      </c>
      <c r="M772" s="18">
        <f>$B$9*K772*(SIN(F772))^2 + $B$8*($B$10+K772*COS(F772))*COS(F772)</f>
        <v/>
      </c>
      <c r="N772" s="18">
        <f>0.5*$B$9*(J772^2 + (K772*SIN(F772))^2) + 0.5*$B$8*($B$10 + K772*COS(F772))^2</f>
        <v/>
      </c>
      <c r="O772" s="18">
        <f>$B$3*$B$6*$B$5*COS(F772)</f>
        <v/>
      </c>
      <c r="P772" s="18">
        <f>N772+O772</f>
        <v/>
      </c>
      <c r="Q772" s="19">
        <f>ABS(P772-$P$3)</f>
        <v/>
      </c>
    </row>
    <row r="773">
      <c r="D773" s="6" t="n">
        <v>771</v>
      </c>
      <c r="E773" s="7" t="n">
        <v>7.705503931379558</v>
      </c>
      <c r="F773" s="8" t="n">
        <v>1.499029351987129</v>
      </c>
      <c r="G773" s="9">
        <f>DEGREES(F773)</f>
        <v/>
      </c>
      <c r="H773" s="8" t="n">
        <v>8.621200522812309</v>
      </c>
      <c r="I773" s="9">
        <f>DEGREES(H773)</f>
        <v/>
      </c>
      <c r="J773" s="10" t="n">
        <v>0.910356955704947</v>
      </c>
      <c r="K773" s="10" t="n">
        <v>0.3588348740388386</v>
      </c>
      <c r="L773" s="11">
        <f>$B$5*$B$3*$B$6*SIN(F773)</f>
        <v/>
      </c>
      <c r="M773" s="11">
        <f>$B$9*K773*(SIN(F773))^2 + $B$8*($B$10+K773*COS(F773))*COS(F773)</f>
        <v/>
      </c>
      <c r="N773" s="11">
        <f>0.5*$B$9*(J773^2 + (K773*SIN(F773))^2) + 0.5*$B$8*($B$10 + K773*COS(F773))^2</f>
        <v/>
      </c>
      <c r="O773" s="11">
        <f>$B$3*$B$6*$B$5*COS(F773)</f>
        <v/>
      </c>
      <c r="P773" s="11">
        <f>N773+O773</f>
        <v/>
      </c>
      <c r="Q773" s="12">
        <f>ABS(P773-$P$3)</f>
        <v/>
      </c>
    </row>
    <row r="774">
      <c r="D774" s="13" t="n">
        <v>772</v>
      </c>
      <c r="E774" s="14" t="n">
        <v>7.715511079342388</v>
      </c>
      <c r="F774" s="15" t="n">
        <v>1.507901960275063</v>
      </c>
      <c r="G774" s="16">
        <f>DEGREES(F774)</f>
        <v/>
      </c>
      <c r="H774" s="15" t="n">
        <v>8.62456746294303</v>
      </c>
      <c r="I774" s="16">
        <f>DEGREES(H774)</f>
        <v/>
      </c>
      <c r="J774" s="17" t="n">
        <v>0.8624330889796781</v>
      </c>
      <c r="K774" s="17" t="n">
        <v>0.3144718325991674</v>
      </c>
      <c r="L774" s="18">
        <f>$B$5*$B$3*$B$6*SIN(F774)</f>
        <v/>
      </c>
      <c r="M774" s="18">
        <f>$B$9*K774*(SIN(F774))^2 + $B$8*($B$10+K774*COS(F774))*COS(F774)</f>
        <v/>
      </c>
      <c r="N774" s="18">
        <f>0.5*$B$9*(J774^2 + (K774*SIN(F774))^2) + 0.5*$B$8*($B$10 + K774*COS(F774))^2</f>
        <v/>
      </c>
      <c r="O774" s="18">
        <f>$B$3*$B$6*$B$5*COS(F774)</f>
        <v/>
      </c>
      <c r="P774" s="18">
        <f>N774+O774</f>
        <v/>
      </c>
      <c r="Q774" s="19">
        <f>ABS(P774-$P$3)</f>
        <v/>
      </c>
    </row>
    <row r="775">
      <c r="D775" s="6" t="n">
        <v>773</v>
      </c>
      <c r="E775" s="7" t="n">
        <v>7.725518227305218</v>
      </c>
      <c r="F775" s="8" t="n">
        <v>1.516281309817913</v>
      </c>
      <c r="G775" s="9">
        <f>DEGREES(F775)</f>
        <v/>
      </c>
      <c r="H775" s="8" t="n">
        <v>8.62750268284695</v>
      </c>
      <c r="I775" s="9">
        <f>DEGREES(H775)</f>
        <v/>
      </c>
      <c r="J775" s="10" t="n">
        <v>0.8118014729919041</v>
      </c>
      <c r="K775" s="10" t="n">
        <v>0.2725750848849181</v>
      </c>
      <c r="L775" s="11">
        <f>$B$5*$B$3*$B$6*SIN(F775)</f>
        <v/>
      </c>
      <c r="M775" s="11">
        <f>$B$9*K775*(SIN(F775))^2 + $B$8*($B$10+K775*COS(F775))*COS(F775)</f>
        <v/>
      </c>
      <c r="N775" s="11">
        <f>0.5*$B$9*(J775^2 + (K775*SIN(F775))^2) + 0.5*$B$8*($B$10 + K775*COS(F775))^2</f>
        <v/>
      </c>
      <c r="O775" s="11">
        <f>$B$3*$B$6*$B$5*COS(F775)</f>
        <v/>
      </c>
      <c r="P775" s="11">
        <f>N775+O775</f>
        <v/>
      </c>
      <c r="Q775" s="12">
        <f>ABS(P775-$P$3)</f>
        <v/>
      </c>
    </row>
    <row r="776">
      <c r="D776" s="13" t="n">
        <v>774</v>
      </c>
      <c r="E776" s="14" t="n">
        <v>7.73552537526805</v>
      </c>
      <c r="F776" s="15" t="n">
        <v>1.524141092281924</v>
      </c>
      <c r="G776" s="16">
        <f>DEGREES(F776)</f>
        <v/>
      </c>
      <c r="H776" s="15" t="n">
        <v>8.630031527902181</v>
      </c>
      <c r="I776" s="16">
        <f>DEGREES(H776)</f>
        <v/>
      </c>
      <c r="J776" s="17" t="n">
        <v>0.7586210739531575</v>
      </c>
      <c r="K776" s="17" t="n">
        <v>0.2332761725648635</v>
      </c>
      <c r="L776" s="18">
        <f>$B$5*$B$3*$B$6*SIN(F776)</f>
        <v/>
      </c>
      <c r="M776" s="18">
        <f>$B$9*K776*(SIN(F776))^2 + $B$8*($B$10+K776*COS(F776))*COS(F776)</f>
        <v/>
      </c>
      <c r="N776" s="18">
        <f>0.5*$B$9*(J776^2 + (K776*SIN(F776))^2) + 0.5*$B$8*($B$10 + K776*COS(F776))^2</f>
        <v/>
      </c>
      <c r="O776" s="18">
        <f>$B$3*$B$6*$B$5*COS(F776)</f>
        <v/>
      </c>
      <c r="P776" s="18">
        <f>N776+O776</f>
        <v/>
      </c>
      <c r="Q776" s="19">
        <f>ABS(P776-$P$3)</f>
        <v/>
      </c>
    </row>
    <row r="777">
      <c r="D777" s="6" t="n">
        <v>775</v>
      </c>
      <c r="E777" s="7" t="n">
        <v>7.74553252323088</v>
      </c>
      <c r="F777" s="8" t="n">
        <v>1.531456630598878</v>
      </c>
      <c r="G777" s="9">
        <f>DEGREES(F777)</f>
        <v/>
      </c>
      <c r="H777" s="8" t="n">
        <v>8.632180619366917</v>
      </c>
      <c r="I777" s="9">
        <f>DEGREES(H777)</f>
        <v/>
      </c>
      <c r="J777" s="10" t="n">
        <v>0.7030588603948137</v>
      </c>
      <c r="K777" s="10" t="n">
        <v>0.1966984809800946</v>
      </c>
      <c r="L777" s="11">
        <f>$B$5*$B$3*$B$6*SIN(F777)</f>
        <v/>
      </c>
      <c r="M777" s="11">
        <f>$B$9*K777*(SIN(F777))^2 + $B$8*($B$10+K777*COS(F777))*COS(F777)</f>
        <v/>
      </c>
      <c r="N777" s="11">
        <f>0.5*$B$9*(J777^2 + (K777*SIN(F777))^2) + 0.5*$B$8*($B$10 + K777*COS(F777))^2</f>
        <v/>
      </c>
      <c r="O777" s="11">
        <f>$B$3*$B$6*$B$5*COS(F777)</f>
        <v/>
      </c>
      <c r="P777" s="11">
        <f>N777+O777</f>
        <v/>
      </c>
      <c r="Q777" s="12">
        <f>ABS(P777-$P$3)</f>
        <v/>
      </c>
    </row>
    <row r="778">
      <c r="D778" s="13" t="n">
        <v>776</v>
      </c>
      <c r="E778" s="14" t="n">
        <v>7.75553967119371</v>
      </c>
      <c r="F778" s="15" t="n">
        <v>1.53820495644377</v>
      </c>
      <c r="G778" s="16">
        <f>DEGREES(F778)</f>
        <v/>
      </c>
      <c r="H778" s="15" t="n">
        <v>8.633977770797646</v>
      </c>
      <c r="I778" s="16">
        <f>DEGREES(H778)</f>
        <v/>
      </c>
      <c r="J778" s="17" t="n">
        <v>0.6452892789431767</v>
      </c>
      <c r="K778" s="17" t="n">
        <v>0.1629568517556347</v>
      </c>
      <c r="L778" s="18">
        <f>$B$5*$B$3*$B$6*SIN(F778)</f>
        <v/>
      </c>
      <c r="M778" s="18">
        <f>$B$9*K778*(SIN(F778))^2 + $B$8*($B$10+K778*COS(F778))*COS(F778)</f>
        <v/>
      </c>
      <c r="N778" s="18">
        <f>0.5*$B$9*(J778^2 + (K778*SIN(F778))^2) + 0.5*$B$8*($B$10 + K778*COS(F778))^2</f>
        <v/>
      </c>
      <c r="O778" s="18">
        <f>$B$3*$B$6*$B$5*COS(F778)</f>
        <v/>
      </c>
      <c r="P778" s="18">
        <f>N778+O778</f>
        <v/>
      </c>
      <c r="Q778" s="19">
        <f>ABS(P778-$P$3)</f>
        <v/>
      </c>
    </row>
    <row r="779">
      <c r="D779" s="6" t="n">
        <v>777</v>
      </c>
      <c r="E779" s="7" t="n">
        <v>7.765546819156541</v>
      </c>
      <c r="F779" s="8" t="n">
        <v>1.544364882347609</v>
      </c>
      <c r="G779" s="9">
        <f>DEGREES(F779)</f>
        <v/>
      </c>
      <c r="H779" s="8" t="n">
        <v>8.635451900723959</v>
      </c>
      <c r="I779" s="9">
        <f>DEGREES(H779)</f>
        <v/>
      </c>
      <c r="J779" s="10" t="n">
        <v>0.5854937066158601</v>
      </c>
      <c r="K779" s="10" t="n">
        <v>0.1321572222364391</v>
      </c>
      <c r="L779" s="11">
        <f>$B$5*$B$3*$B$6*SIN(F779)</f>
        <v/>
      </c>
      <c r="M779" s="11">
        <f>$B$9*K779*(SIN(F779))^2 + $B$8*($B$10+K779*COS(F779))*COS(F779)</f>
        <v/>
      </c>
      <c r="N779" s="11">
        <f>0.5*$B$9*(J779^2 + (K779*SIN(F779))^2) + 0.5*$B$8*($B$10 + K779*COS(F779))^2</f>
        <v/>
      </c>
      <c r="O779" s="11">
        <f>$B$3*$B$6*$B$5*COS(F779)</f>
        <v/>
      </c>
      <c r="P779" s="11">
        <f>N779+O779</f>
        <v/>
      </c>
      <c r="Q779" s="12">
        <f>ABS(P779-$P$3)</f>
        <v/>
      </c>
    </row>
    <row r="780">
      <c r="D780" s="13" t="n">
        <v>778</v>
      </c>
      <c r="E780" s="14" t="n">
        <v>7.775553967119372</v>
      </c>
      <c r="F780" s="15" t="n">
        <v>1.54991706821893</v>
      </c>
      <c r="G780" s="16">
        <f>DEGREES(F780)</f>
        <v/>
      </c>
      <c r="H780" s="15" t="n">
        <v>8.636632941854121</v>
      </c>
      <c r="I780" s="16">
        <f>DEGREES(H780)</f>
        <v/>
      </c>
      <c r="J780" s="17" t="n">
        <v>0.5238598813590758</v>
      </c>
      <c r="K780" s="17" t="n">
        <v>0.1043962928798319</v>
      </c>
      <c r="L780" s="18">
        <f>$B$5*$B$3*$B$6*SIN(F780)</f>
        <v/>
      </c>
      <c r="M780" s="18">
        <f>$B$9*K780*(SIN(F780))^2 + $B$8*($B$10+K780*COS(F780))*COS(F780)</f>
        <v/>
      </c>
      <c r="N780" s="18">
        <f>0.5*$B$9*(J780^2 + (K780*SIN(F780))^2) + 0.5*$B$8*($B$10 + K780*COS(F780))^2</f>
        <v/>
      </c>
      <c r="O780" s="18">
        <f>$B$3*$B$6*$B$5*COS(F780)</f>
        <v/>
      </c>
      <c r="P780" s="18">
        <f>N780+O780</f>
        <v/>
      </c>
      <c r="Q780" s="19">
        <f>ABS(P780-$P$3)</f>
        <v/>
      </c>
    </row>
    <row r="781">
      <c r="D781" s="6" t="n">
        <v>779</v>
      </c>
      <c r="E781" s="7" t="n">
        <v>7.785561115082202</v>
      </c>
      <c r="F781" s="8" t="n">
        <v>1.554844082065165</v>
      </c>
      <c r="G781" s="9">
        <f>DEGREES(F781)</f>
        <v/>
      </c>
      <c r="H781" s="8" t="n">
        <v>8.637551747096442</v>
      </c>
      <c r="I781" s="9">
        <f>DEGREES(H781)</f>
        <v/>
      </c>
      <c r="J781" s="10" t="n">
        <v>0.4605813126137491</v>
      </c>
      <c r="K781" s="10" t="n">
        <v>0.07976122364865823</v>
      </c>
      <c r="L781" s="11">
        <f>$B$5*$B$3*$B$6*SIN(F781)</f>
        <v/>
      </c>
      <c r="M781" s="11">
        <f>$B$9*K781*(SIN(F781))^2 + $B$8*($B$10+K781*COS(F781))*COS(F781)</f>
        <v/>
      </c>
      <c r="N781" s="11">
        <f>0.5*$B$9*(J781^2 + (K781*SIN(F781))^2) + 0.5*$B$8*($B$10 + K781*COS(F781))^2</f>
        <v/>
      </c>
      <c r="O781" s="11">
        <f>$B$3*$B$6*$B$5*COS(F781)</f>
        <v/>
      </c>
      <c r="P781" s="11">
        <f>N781+O781</f>
        <v/>
      </c>
      <c r="Q781" s="12">
        <f>ABS(P781-$P$3)</f>
        <v/>
      </c>
    </row>
    <row r="782">
      <c r="D782" s="13" t="n">
        <v>780</v>
      </c>
      <c r="E782" s="14" t="n">
        <v>7.795568263045033</v>
      </c>
      <c r="F782" s="15" t="n">
        <v>1.559130454723222</v>
      </c>
      <c r="G782" s="16">
        <f>DEGREES(F782)</f>
        <v/>
      </c>
      <c r="H782" s="15" t="n">
        <v>8.638239992691547</v>
      </c>
      <c r="I782" s="16">
        <f>DEGREES(H782)</f>
        <v/>
      </c>
      <c r="J782" s="17" t="n">
        <v>0.3958566737610865</v>
      </c>
      <c r="K782" s="17" t="n">
        <v>0.05832936035837255</v>
      </c>
      <c r="L782" s="18">
        <f>$B$5*$B$3*$B$6*SIN(F782)</f>
        <v/>
      </c>
      <c r="M782" s="18">
        <f>$B$9*K782*(SIN(F782))^2 + $B$8*($B$10+K782*COS(F782))*COS(F782)</f>
        <v/>
      </c>
      <c r="N782" s="18">
        <f>0.5*$B$9*(J782^2 + (K782*SIN(F782))^2) + 0.5*$B$8*($B$10 + K782*COS(F782))^2</f>
        <v/>
      </c>
      <c r="O782" s="18">
        <f>$B$3*$B$6*$B$5*COS(F782)</f>
        <v/>
      </c>
      <c r="P782" s="18">
        <f>N782+O782</f>
        <v/>
      </c>
      <c r="Q782" s="19">
        <f>ABS(P782-$P$3)</f>
        <v/>
      </c>
    </row>
    <row r="783">
      <c r="D783" s="6" t="n">
        <v>781</v>
      </c>
      <c r="E783" s="7" t="n">
        <v>7.805575411007863</v>
      </c>
      <c r="F783" s="8" t="n">
        <v>1.562762728427448</v>
      </c>
      <c r="G783" s="9">
        <f>DEGREES(F783)</f>
        <v/>
      </c>
      <c r="H783" s="8" t="n">
        <v>8.638730078759657</v>
      </c>
      <c r="I783" s="9">
        <f>DEGREES(H783)</f>
        <v/>
      </c>
      <c r="J783" s="10" t="n">
        <v>0.3298891783551117</v>
      </c>
      <c r="K783" s="10" t="n">
        <v>0.04016799183724462</v>
      </c>
      <c r="L783" s="11">
        <f>$B$5*$B$3*$B$6*SIN(F783)</f>
        <v/>
      </c>
      <c r="M783" s="11">
        <f>$B$9*K783*(SIN(F783))^2 + $B$8*($B$10+K783*COS(F783))*COS(F783)</f>
        <v/>
      </c>
      <c r="N783" s="11">
        <f>0.5*$B$9*(J783^2 + (K783*SIN(F783))^2) + 0.5*$B$8*($B$10 + K783*COS(F783))^2</f>
        <v/>
      </c>
      <c r="O783" s="11">
        <f>$B$3*$B$6*$B$5*COS(F783)</f>
        <v/>
      </c>
      <c r="P783" s="11">
        <f>N783+O783</f>
        <v/>
      </c>
      <c r="Q783" s="12">
        <f>ABS(P783-$P$3)</f>
        <v/>
      </c>
    </row>
    <row r="784">
      <c r="D784" s="13" t="n">
        <v>782</v>
      </c>
      <c r="E784" s="14" t="n">
        <v>7.815582558970694</v>
      </c>
      <c r="F784" s="15" t="n">
        <v>1.565729499062473</v>
      </c>
      <c r="G784" s="16">
        <f>DEGREES(F784)</f>
        <v/>
      </c>
      <c r="H784" s="15" t="n">
        <v>8.639055027575129</v>
      </c>
      <c r="I784" s="16">
        <f>DEGREES(H784)</f>
        <v/>
      </c>
      <c r="J784" s="17" t="n">
        <v>0.2628859421005953</v>
      </c>
      <c r="K784" s="17" t="n">
        <v>0.02533413866211531</v>
      </c>
      <c r="L784" s="18">
        <f>$B$5*$B$3*$B$6*SIN(F784)</f>
        <v/>
      </c>
      <c r="M784" s="18">
        <f>$B$9*K784*(SIN(F784))^2 + $B$8*($B$10+K784*COS(F784))*COS(F784)</f>
        <v/>
      </c>
      <c r="N784" s="18">
        <f>0.5*$B$9*(J784^2 + (K784*SIN(F784))^2) + 0.5*$B$8*($B$10 + K784*COS(F784))^2</f>
        <v/>
      </c>
      <c r="O784" s="18">
        <f>$B$3*$B$6*$B$5*COS(F784)</f>
        <v/>
      </c>
      <c r="P784" s="18">
        <f>N784+O784</f>
        <v/>
      </c>
      <c r="Q784" s="19">
        <f>ABS(P784-$P$3)</f>
        <v/>
      </c>
    </row>
    <row r="785">
      <c r="D785" s="6" t="n">
        <v>783</v>
      </c>
      <c r="E785" s="7" t="n">
        <v>7.825589706933524</v>
      </c>
      <c r="F785" s="8" t="n">
        <v>1.568021451968298</v>
      </c>
      <c r="G785" s="9">
        <f>DEGREES(F785)</f>
        <v/>
      </c>
      <c r="H785" s="8" t="n">
        <v>8.63924837988764</v>
      </c>
      <c r="I785" s="9">
        <f>DEGREES(H785)</f>
        <v/>
      </c>
      <c r="J785" s="10" t="n">
        <v>0.1950573325795062</v>
      </c>
      <c r="K785" s="10" t="n">
        <v>0.01387437413299497</v>
      </c>
      <c r="L785" s="11">
        <f>$B$5*$B$3*$B$6*SIN(F785)</f>
        <v/>
      </c>
      <c r="M785" s="11">
        <f>$B$9*K785*(SIN(F785))^2 + $B$8*($B$10+K785*COS(F785))*COS(F785)</f>
        <v/>
      </c>
      <c r="N785" s="11">
        <f>0.5*$B$9*(J785^2 + (K785*SIN(F785))^2) + 0.5*$B$8*($B$10 + K785*COS(F785))^2</f>
        <v/>
      </c>
      <c r="O785" s="11">
        <f>$B$3*$B$6*$B$5*COS(F785)</f>
        <v/>
      </c>
      <c r="P785" s="11">
        <f>N785+O785</f>
        <v/>
      </c>
      <c r="Q785" s="12">
        <f>ABS(P785-$P$3)</f>
        <v/>
      </c>
    </row>
    <row r="786">
      <c r="D786" s="13" t="n">
        <v>784</v>
      </c>
      <c r="E786" s="14" t="n">
        <v>7.835596854896355</v>
      </c>
      <c r="F786" s="15" t="n">
        <v>1.569631391185175</v>
      </c>
      <c r="G786" s="16">
        <f>DEGREES(F786)</f>
        <v/>
      </c>
      <c r="H786" s="15" t="n">
        <v>8.639344089615545</v>
      </c>
      <c r="I786" s="16">
        <f>DEGREES(H786)</f>
        <v/>
      </c>
      <c r="J786" s="17" t="n">
        <v>0.1266163087677479</v>
      </c>
      <c r="K786" s="17" t="n">
        <v>0.005824678048606868</v>
      </c>
      <c r="L786" s="18">
        <f>$B$5*$B$3*$B$6*SIN(F786)</f>
        <v/>
      </c>
      <c r="M786" s="18">
        <f>$B$9*K786*(SIN(F786))^2 + $B$8*($B$10+K786*COS(F786))*COS(F786)</f>
        <v/>
      </c>
      <c r="N786" s="18">
        <f>0.5*$B$9*(J786^2 + (K786*SIN(F786))^2) + 0.5*$B$8*($B$10 + K786*COS(F786))^2</f>
        <v/>
      </c>
      <c r="O786" s="18">
        <f>$B$3*$B$6*$B$5*COS(F786)</f>
        <v/>
      </c>
      <c r="P786" s="18">
        <f>N786+O786</f>
        <v/>
      </c>
      <c r="Q786" s="19">
        <f>ABS(P786-$P$3)</f>
        <v/>
      </c>
    </row>
    <row r="787">
      <c r="D787" s="6" t="n">
        <v>785</v>
      </c>
      <c r="E787" s="7" t="n">
        <v>7.845604002859186</v>
      </c>
      <c r="F787" s="8" t="n">
        <v>1.570554262046509</v>
      </c>
      <c r="G787" s="9">
        <f>DEGREES(F787)</f>
        <v/>
      </c>
      <c r="H787" s="8" t="n">
        <v>8.639376417241998</v>
      </c>
      <c r="I787" s="9">
        <f>DEGREES(H787)</f>
        <v/>
      </c>
      <c r="J787" s="10" t="n">
        <v>0.05777775241570657</v>
      </c>
      <c r="K787" s="10" t="n">
        <v>0.001210323741936969</v>
      </c>
      <c r="L787" s="11">
        <f>$B$5*$B$3*$B$6*SIN(F787)</f>
        <v/>
      </c>
      <c r="M787" s="11">
        <f>$B$9*K787*(SIN(F787))^2 + $B$8*($B$10+K787*COS(F787))*COS(F787)</f>
        <v/>
      </c>
      <c r="N787" s="11">
        <f>0.5*$B$9*(J787^2 + (K787*SIN(F787))^2) + 0.5*$B$8*($B$10 + K787*COS(F787))^2</f>
        <v/>
      </c>
      <c r="O787" s="11">
        <f>$B$3*$B$6*$B$5*COS(F787)</f>
        <v/>
      </c>
      <c r="P787" s="11">
        <f>N787+O787</f>
        <v/>
      </c>
      <c r="Q787" s="12">
        <f>ABS(P787-$P$3)</f>
        <v/>
      </c>
    </row>
    <row r="788">
      <c r="D788" s="13" t="n">
        <v>786</v>
      </c>
      <c r="E788" s="14" t="n">
        <v>7.855611150822016</v>
      </c>
      <c r="F788" s="15" t="n">
        <v>1.570787167048799</v>
      </c>
      <c r="G788" s="16">
        <f>DEGREES(F788)</f>
        <v/>
      </c>
      <c r="H788" s="15" t="n">
        <v>8.639379822248603</v>
      </c>
      <c r="I788" s="16">
        <f>DEGREES(H788)</f>
        <v/>
      </c>
      <c r="J788" s="17" t="n">
        <v>-0.01124220660802208</v>
      </c>
      <c r="K788" s="17" t="n">
        <v>4.579873048737859e-05</v>
      </c>
      <c r="L788" s="18">
        <f>$B$5*$B$3*$B$6*SIN(F788)</f>
        <v/>
      </c>
      <c r="M788" s="18">
        <f>$B$9*K788*(SIN(F788))^2 + $B$8*($B$10+K788*COS(F788))*COS(F788)</f>
        <v/>
      </c>
      <c r="N788" s="18">
        <f>0.5*$B$9*(J788^2 + (K788*SIN(F788))^2) + 0.5*$B$8*($B$10 + K788*COS(F788))^2</f>
        <v/>
      </c>
      <c r="O788" s="18">
        <f>$B$3*$B$6*$B$5*COS(F788)</f>
        <v/>
      </c>
      <c r="P788" s="18">
        <f>N788+O788</f>
        <v/>
      </c>
      <c r="Q788" s="19">
        <f>ABS(P788-$P$3)</f>
        <v/>
      </c>
    </row>
    <row r="789">
      <c r="D789" s="6" t="n">
        <v>787</v>
      </c>
      <c r="E789" s="7" t="n">
        <v>7.865618298784847</v>
      </c>
      <c r="F789" s="8" t="n">
        <v>1.570329374948826</v>
      </c>
      <c r="G789" s="9">
        <f>DEGREES(F789)</f>
        <v/>
      </c>
      <c r="H789" s="8" t="n">
        <v>8.63938885492424</v>
      </c>
      <c r="I789" s="9">
        <f>DEGREES(H789)</f>
        <v/>
      </c>
      <c r="J789" s="10" t="n">
        <v>-0.08022686889158537</v>
      </c>
      <c r="K789" s="10" t="n">
        <v>0.002334759230352867</v>
      </c>
      <c r="L789" s="11">
        <f>$B$5*$B$3*$B$6*SIN(F789)</f>
        <v/>
      </c>
      <c r="M789" s="11">
        <f>$B$9*K789*(SIN(F789))^2 + $B$8*($B$10+K789*COS(F789))*COS(F789)</f>
        <v/>
      </c>
      <c r="N789" s="11">
        <f>0.5*$B$9*(J789^2 + (K789*SIN(F789))^2) + 0.5*$B$8*($B$10 + K789*COS(F789))^2</f>
        <v/>
      </c>
      <c r="O789" s="11">
        <f>$B$3*$B$6*$B$5*COS(F789)</f>
        <v/>
      </c>
      <c r="P789" s="11">
        <f>N789+O789</f>
        <v/>
      </c>
      <c r="Q789" s="12">
        <f>ABS(P789-$P$3)</f>
        <v/>
      </c>
    </row>
    <row r="790">
      <c r="D790" s="13" t="n">
        <v>788</v>
      </c>
      <c r="E790" s="14" t="n">
        <v>7.875625446747677</v>
      </c>
      <c r="F790" s="15" t="n">
        <v>1.569182323059509</v>
      </c>
      <c r="G790" s="16">
        <f>DEGREES(F790)</f>
        <v/>
      </c>
      <c r="H790" s="15" t="n">
        <v>8.639438047888804</v>
      </c>
      <c r="I790" s="16">
        <f>DEGREES(H790)</f>
        <v/>
      </c>
      <c r="J790" s="17" t="n">
        <v>-0.1489596458429998</v>
      </c>
      <c r="K790" s="17" t="n">
        <v>0.008070018676935797</v>
      </c>
      <c r="L790" s="18">
        <f>$B$5*$B$3*$B$6*SIN(F790)</f>
        <v/>
      </c>
      <c r="M790" s="18">
        <f>$B$9*K790*(SIN(F790))^2 + $B$8*($B$10+K790*COS(F790))*COS(F790)</f>
        <v/>
      </c>
      <c r="N790" s="18">
        <f>0.5*$B$9*(J790^2 + (K790*SIN(F790))^2) + 0.5*$B$8*($B$10 + K790*COS(F790))^2</f>
        <v/>
      </c>
      <c r="O790" s="18">
        <f>$B$3*$B$6*$B$5*COS(F790)</f>
        <v/>
      </c>
      <c r="P790" s="18">
        <f>N790+O790</f>
        <v/>
      </c>
      <c r="Q790" s="19">
        <f>ABS(P790-$P$3)</f>
        <v/>
      </c>
    </row>
    <row r="791">
      <c r="D791" s="6" t="n">
        <v>789</v>
      </c>
      <c r="E791" s="7" t="n">
        <v>7.885632594710508</v>
      </c>
      <c r="F791" s="8" t="n">
        <v>1.56734961273723</v>
      </c>
      <c r="G791" s="9">
        <f>DEGREES(F791)</f>
        <v/>
      </c>
      <c r="H791" s="8" t="n">
        <v>8.639561807672417</v>
      </c>
      <c r="I791" s="9">
        <f>DEGREES(H791)</f>
        <v/>
      </c>
      <c r="J791" s="10" t="n">
        <v>-0.2172247397053405</v>
      </c>
      <c r="K791" s="10" t="n">
        <v>0.01723357028833572</v>
      </c>
      <c r="L791" s="11">
        <f>$B$5*$B$3*$B$6*SIN(F791)</f>
        <v/>
      </c>
      <c r="M791" s="11">
        <f>$B$9*K791*(SIN(F791))^2 + $B$8*($B$10+K791*COS(F791))*COS(F791)</f>
        <v/>
      </c>
      <c r="N791" s="11">
        <f>0.5*$B$9*(J791^2 + (K791*SIN(F791))^2) + 0.5*$B$8*($B$10 + K791*COS(F791))^2</f>
        <v/>
      </c>
      <c r="O791" s="11">
        <f>$B$3*$B$6*$B$5*COS(F791)</f>
        <v/>
      </c>
      <c r="P791" s="11">
        <f>N791+O791</f>
        <v/>
      </c>
      <c r="Q791" s="12">
        <f>ABS(P791-$P$3)</f>
        <v/>
      </c>
    </row>
    <row r="792">
      <c r="D792" s="13" t="n">
        <v>790</v>
      </c>
      <c r="E792" s="14" t="n">
        <v>7.895639742673339</v>
      </c>
      <c r="F792" s="15" t="n">
        <v>1.564836998074781</v>
      </c>
      <c r="G792" s="16">
        <f>DEGREES(F792)</f>
        <v/>
      </c>
      <c r="H792" s="15" t="n">
        <v>8.639794306690519</v>
      </c>
      <c r="I792" s="16">
        <f>DEGREES(H792)</f>
        <v/>
      </c>
      <c r="J792" s="17" t="n">
        <v>-0.2848078210889744</v>
      </c>
      <c r="K792" s="17" t="n">
        <v>0.02979664360057743</v>
      </c>
      <c r="L792" s="18">
        <f>$B$5*$B$3*$B$6*SIN(F792)</f>
        <v/>
      </c>
      <c r="M792" s="18">
        <f>$B$9*K792*(SIN(F792))^2 + $B$8*($B$10+K792*COS(F792))*COS(F792)</f>
        <v/>
      </c>
      <c r="N792" s="18">
        <f>0.5*$B$9*(J792^2 + (K792*SIN(F792))^2) + 0.5*$B$8*($B$10 + K792*COS(F792))^2</f>
        <v/>
      </c>
      <c r="O792" s="18">
        <f>$B$3*$B$6*$B$5*COS(F792)</f>
        <v/>
      </c>
      <c r="P792" s="18">
        <f>N792+O792</f>
        <v/>
      </c>
      <c r="Q792" s="19">
        <f>ABS(P792-$P$3)</f>
        <v/>
      </c>
    </row>
    <row r="793">
      <c r="D793" s="6" t="n">
        <v>791</v>
      </c>
      <c r="E793" s="7" t="n">
        <v>7.905646890636169</v>
      </c>
      <c r="F793" s="8" t="n">
        <v>1.561652367835462</v>
      </c>
      <c r="G793" s="9">
        <f>DEGREES(F793)</f>
        <v/>
      </c>
      <c r="H793" s="8" t="n">
        <v>8.640169375953993</v>
      </c>
      <c r="I793" s="9">
        <f>DEGREES(H793)</f>
        <v/>
      </c>
      <c r="J793" s="10" t="n">
        <v>-0.3514967018936163</v>
      </c>
      <c r="K793" s="10" t="n">
        <v>0.0457197947971717</v>
      </c>
      <c r="L793" s="11">
        <f>$B$5*$B$3*$B$6*SIN(F793)</f>
        <v/>
      </c>
      <c r="M793" s="11">
        <f>$B$9*K793*(SIN(F793))^2 + $B$8*($B$10+K793*COS(F793))*COS(F793)</f>
        <v/>
      </c>
      <c r="N793" s="11">
        <f>0.5*$B$9*(J793^2 + (K793*SIN(F793))^2) + 0.5*$B$8*($B$10 + K793*COS(F793))^2</f>
        <v/>
      </c>
      <c r="O793" s="11">
        <f>$B$3*$B$6*$B$5*COS(F793)</f>
        <v/>
      </c>
      <c r="P793" s="11">
        <f>N793+O793</f>
        <v/>
      </c>
      <c r="Q793" s="12">
        <f>ABS(P793-$P$3)</f>
        <v/>
      </c>
    </row>
    <row r="794">
      <c r="D794" s="13" t="n">
        <v>792</v>
      </c>
      <c r="E794" s="14" t="n">
        <v>7.915654038599</v>
      </c>
      <c r="F794" s="15" t="n">
        <v>1.557805720685016</v>
      </c>
      <c r="G794" s="16">
        <f>DEGREES(F794)</f>
        <v/>
      </c>
      <c r="H794" s="15" t="n">
        <v>8.640720398851208</v>
      </c>
      <c r="I794" s="16">
        <f>DEGREES(H794)</f>
        <v/>
      </c>
      <c r="J794" s="17" t="n">
        <v>-0.4170820015074478</v>
      </c>
      <c r="K794" s="17" t="n">
        <v>0.06495303054940416</v>
      </c>
      <c r="L794" s="18">
        <f>$B$5*$B$3*$B$6*SIN(F794)</f>
        <v/>
      </c>
      <c r="M794" s="18">
        <f>$B$9*K794*(SIN(F794))^2 + $B$8*($B$10+K794*COS(F794))*COS(F794)</f>
        <v/>
      </c>
      <c r="N794" s="18">
        <f>0.5*$B$9*(J794^2 + (K794*SIN(F794))^2) + 0.5*$B$8*($B$10 + K794*COS(F794))^2</f>
        <v/>
      </c>
      <c r="O794" s="18">
        <f>$B$3*$B$6*$B$5*COS(F794)</f>
        <v/>
      </c>
      <c r="P794" s="18">
        <f>N794+O794</f>
        <v/>
      </c>
      <c r="Q794" s="19">
        <f>ABS(P794-$P$3)</f>
        <v/>
      </c>
    </row>
    <row r="795">
      <c r="D795" s="6" t="n">
        <v>793</v>
      </c>
      <c r="E795" s="7" t="n">
        <v>7.925661186561831</v>
      </c>
      <c r="F795" s="8" t="n">
        <v>1.553309133799186</v>
      </c>
      <c r="G795" s="9">
        <f>DEGREES(F795)</f>
        <v/>
      </c>
      <c r="H795" s="8" t="n">
        <v>8.641480206335407</v>
      </c>
      <c r="I795" s="9">
        <f>DEGREES(H795)</f>
        <v/>
      </c>
      <c r="J795" s="10" t="n">
        <v>-0.4813578041917201</v>
      </c>
      <c r="K795" s="10" t="n">
        <v>0.08743596497855299</v>
      </c>
      <c r="L795" s="11">
        <f>$B$5*$B$3*$B$6*SIN(F795)</f>
        <v/>
      </c>
      <c r="M795" s="11">
        <f>$B$9*K795*(SIN(F795))^2 + $B$8*($B$10+K795*COS(F795))*COS(F795)</f>
        <v/>
      </c>
      <c r="N795" s="11">
        <f>0.5*$B$9*(J795^2 + (K795*SIN(F795))^2) + 0.5*$B$8*($B$10 + K795*COS(F795))^2</f>
        <v/>
      </c>
      <c r="O795" s="11">
        <f>$B$3*$B$6*$B$5*COS(F795)</f>
        <v/>
      </c>
      <c r="P795" s="11">
        <f>N795+O795</f>
        <v/>
      </c>
      <c r="Q795" s="12">
        <f>ABS(P795-$P$3)</f>
        <v/>
      </c>
    </row>
    <row r="796">
      <c r="D796" s="13" t="n">
        <v>794</v>
      </c>
      <c r="E796" s="14" t="n">
        <v>7.935668334524661</v>
      </c>
      <c r="F796" s="15" t="n">
        <v>1.548176724945462</v>
      </c>
      <c r="G796" s="16">
        <f>DEGREES(F796)</f>
        <v/>
      </c>
      <c r="H796" s="15" t="n">
        <v>8.642480973846595</v>
      </c>
      <c r="I796" s="16">
        <f>DEGREES(H796)</f>
        <v/>
      </c>
      <c r="J796" s="17" t="n">
        <v>-0.5441223055866977</v>
      </c>
      <c r="K796" s="17" t="n">
        <v>0.1130980092471724</v>
      </c>
      <c r="L796" s="18">
        <f>$B$5*$B$3*$B$6*SIN(F796)</f>
        <v/>
      </c>
      <c r="M796" s="18">
        <f>$B$9*K796*(SIN(F796))^2 + $B$8*($B$10+K796*COS(F796))*COS(F796)</f>
        <v/>
      </c>
      <c r="N796" s="18">
        <f>0.5*$B$9*(J796^2 + (K796*SIN(F796))^2) + 0.5*$B$8*($B$10 + K796*COS(F796))^2</f>
        <v/>
      </c>
      <c r="O796" s="18">
        <f>$B$3*$B$6*$B$5*COS(F796)</f>
        <v/>
      </c>
      <c r="P796" s="18">
        <f>N796+O796</f>
        <v/>
      </c>
      <c r="Q796" s="19">
        <f>ABS(P796-$P$3)</f>
        <v/>
      </c>
    </row>
    <row r="797">
      <c r="D797" s="6" t="n">
        <v>795</v>
      </c>
      <c r="E797" s="7" t="n">
        <v>7.945675482487491</v>
      </c>
      <c r="F797" s="8" t="n">
        <v>1.542424608158041</v>
      </c>
      <c r="G797" s="9">
        <f>DEGREES(F797)</f>
        <v/>
      </c>
      <c r="H797" s="8" t="n">
        <v>8.643754120291501</v>
      </c>
      <c r="I797" s="9">
        <f>DEGREES(H797)</f>
        <v/>
      </c>
      <c r="J797" s="10" t="n">
        <v>-0.6051784463094159</v>
      </c>
      <c r="K797" s="10" t="n">
        <v>0.1418585931842752</v>
      </c>
      <c r="L797" s="11">
        <f>$B$5*$B$3*$B$6*SIN(F797)</f>
        <v/>
      </c>
      <c r="M797" s="11">
        <f>$B$9*K797*(SIN(F797))^2 + $B$8*($B$10+K797*COS(F797))*COS(F797)</f>
        <v/>
      </c>
      <c r="N797" s="11">
        <f>0.5*$B$9*(J797^2 + (K797*SIN(F797))^2) + 0.5*$B$8*($B$10 + K797*COS(F797))^2</f>
        <v/>
      </c>
      <c r="O797" s="11">
        <f>$B$3*$B$6*$B$5*COS(F797)</f>
        <v/>
      </c>
      <c r="P797" s="11">
        <f>N797+O797</f>
        <v/>
      </c>
      <c r="Q797" s="12">
        <f>ABS(P797-$P$3)</f>
        <v/>
      </c>
    </row>
    <row r="798">
      <c r="D798" s="13" t="n">
        <v>796</v>
      </c>
      <c r="E798" s="14" t="n">
        <v>7.955682630450323</v>
      </c>
      <c r="F798" s="15" t="n">
        <v>1.536070843145191</v>
      </c>
      <c r="G798" s="16">
        <f>DEGREES(F798)</f>
        <v/>
      </c>
      <c r="H798" s="15" t="n">
        <v>8.645330209398777</v>
      </c>
      <c r="I798" s="16">
        <f>DEGREES(H798)</f>
        <v/>
      </c>
      <c r="J798" s="17" t="n">
        <v>-0.664334530653731</v>
      </c>
      <c r="K798" s="17" t="n">
        <v>0.1736274182485257</v>
      </c>
      <c r="L798" s="18">
        <f>$B$5*$B$3*$B$6*SIN(F798)</f>
        <v/>
      </c>
      <c r="M798" s="18">
        <f>$B$9*K798*(SIN(F798))^2 + $B$8*($B$10+K798*COS(F798))*COS(F798)</f>
        <v/>
      </c>
      <c r="N798" s="18">
        <f>0.5*$B$9*(J798^2 + (K798*SIN(F798))^2) + 0.5*$B$8*($B$10 + K798*COS(F798))^2</f>
        <v/>
      </c>
      <c r="O798" s="18">
        <f>$B$3*$B$6*$B$5*COS(F798)</f>
        <v/>
      </c>
      <c r="P798" s="18">
        <f>N798+O798</f>
        <v/>
      </c>
      <c r="Q798" s="19">
        <f>ABS(P798-$P$3)</f>
        <v/>
      </c>
    </row>
    <row r="799">
      <c r="D799" s="6" t="n">
        <v>797</v>
      </c>
      <c r="E799" s="7" t="n">
        <v>7.965689778413153</v>
      </c>
      <c r="F799" s="8" t="n">
        <v>1.529135378587859</v>
      </c>
      <c r="G799" s="9">
        <f>DEGREES(F799)</f>
        <v/>
      </c>
      <c r="H799" s="8" t="n">
        <v>8.647238853759225</v>
      </c>
      <c r="I799" s="9">
        <f>DEGREES(H799)</f>
        <v/>
      </c>
      <c r="J799" s="10" t="n">
        <v>-0.7214048284501634</v>
      </c>
      <c r="K799" s="10" t="n">
        <v>0.2083047410351876</v>
      </c>
      <c r="L799" s="11">
        <f>$B$5*$B$3*$B$6*SIN(F799)</f>
        <v/>
      </c>
      <c r="M799" s="11">
        <f>$B$9*K799*(SIN(F799))^2 + $B$8*($B$10+K799*COS(F799))*COS(F799)</f>
        <v/>
      </c>
      <c r="N799" s="11">
        <f>0.5*$B$9*(J799^2 + (K799*SIN(F799))^2) + 0.5*$B$8*($B$10 + K799*COS(F799))^2</f>
        <v/>
      </c>
      <c r="O799" s="11">
        <f>$B$3*$B$6*$B$5*COS(F799)</f>
        <v/>
      </c>
      <c r="P799" s="11">
        <f>N799+O799</f>
        <v/>
      </c>
      <c r="Q799" s="12">
        <f>ABS(P799-$P$3)</f>
        <v/>
      </c>
    </row>
    <row r="800">
      <c r="D800" s="13" t="n">
        <v>798</v>
      </c>
      <c r="E800" s="14" t="n">
        <v>7.975696926375983</v>
      </c>
      <c r="F800" s="15" t="n">
        <v>1.521639989507525</v>
      </c>
      <c r="G800" s="16">
        <f>DEGREES(F800)</f>
        <v/>
      </c>
      <c r="H800" s="15" t="n">
        <v>8.649508621852206</v>
      </c>
      <c r="I800" s="16">
        <f>DEGREES(H800)</f>
        <v/>
      </c>
      <c r="J800" s="17" t="n">
        <v>-0.7762101581961423</v>
      </c>
      <c r="K800" s="17" t="n">
        <v>0.2457816864368584</v>
      </c>
      <c r="L800" s="18">
        <f>$B$5*$B$3*$B$6*SIN(F800)</f>
        <v/>
      </c>
      <c r="M800" s="18">
        <f>$B$9*K800*(SIN(F800))^2 + $B$8*($B$10+K800*COS(F800))*COS(F800)</f>
        <v/>
      </c>
      <c r="N800" s="18">
        <f>0.5*$B$9*(J800^2 + (K800*SIN(F800))^2) + 0.5*$B$8*($B$10 + K800*COS(F800))^2</f>
        <v/>
      </c>
      <c r="O800" s="18">
        <f>$B$3*$B$6*$B$5*COS(F800)</f>
        <v/>
      </c>
      <c r="P800" s="18">
        <f>N800+O800</f>
        <v/>
      </c>
      <c r="Q800" s="19">
        <f>ABS(P800-$P$3)</f>
        <v/>
      </c>
    </row>
    <row r="801">
      <c r="D801" s="6" t="n">
        <v>799</v>
      </c>
      <c r="E801" s="7" t="n">
        <v>7.985704074338814</v>
      </c>
      <c r="F801" s="8" t="n">
        <v>1.513608208899982</v>
      </c>
      <c r="G801" s="9">
        <f>DEGREES(F801)</f>
        <v/>
      </c>
      <c r="H801" s="8" t="n">
        <v>8.652166948350269</v>
      </c>
      <c r="I801" s="9">
        <f>DEGREES(H801)</f>
        <v/>
      </c>
      <c r="J801" s="10" t="n">
        <v>-0.8285784496254601</v>
      </c>
      <c r="K801" s="10" t="n">
        <v>0.2859405894745704</v>
      </c>
      <c r="L801" s="11">
        <f>$B$5*$B$3*$B$6*SIN(F801)</f>
        <v/>
      </c>
      <c r="M801" s="11">
        <f>$B$9*K801*(SIN(F801))^2 + $B$8*($B$10+K801*COS(F801))*COS(F801)</f>
        <v/>
      </c>
      <c r="N801" s="11">
        <f>0.5*$B$9*(J801^2 + (K801*SIN(F801))^2) + 0.5*$B$8*($B$10 + K801*COS(F801))^2</f>
        <v/>
      </c>
      <c r="O801" s="11">
        <f>$B$3*$B$6*$B$5*COS(F801)</f>
        <v/>
      </c>
      <c r="P801" s="11">
        <f>N801+O801</f>
        <v/>
      </c>
      <c r="Q801" s="12">
        <f>ABS(P801-$P$3)</f>
        <v/>
      </c>
    </row>
    <row r="802">
      <c r="D802" s="13" t="n">
        <v>800</v>
      </c>
      <c r="E802" s="14" t="n">
        <v>7.995711222301645</v>
      </c>
      <c r="F802" s="15" t="n">
        <v>1.505065253849658</v>
      </c>
      <c r="G802" s="16">
        <f>DEGREES(F802)</f>
        <v/>
      </c>
      <c r="H802" s="15" t="n">
        <v>8.655240047983506</v>
      </c>
      <c r="I802" s="16">
        <f>DEGREES(H802)</f>
        <v/>
      </c>
      <c r="J802" s="17" t="n">
        <v>-0.8783452839509577</v>
      </c>
      <c r="K802" s="17" t="n">
        <v>0.3286553647261933</v>
      </c>
      <c r="L802" s="18">
        <f>$B$5*$B$3*$B$6*SIN(F802)</f>
        <v/>
      </c>
      <c r="M802" s="18">
        <f>$B$9*K802*(SIN(F802))^2 + $B$8*($B$10+K802*COS(F802))*COS(F802)</f>
        <v/>
      </c>
      <c r="N802" s="18">
        <f>0.5*$B$9*(J802^2 + (K802*SIN(F802))^2) + 0.5*$B$8*($B$10 + K802*COS(F802))^2</f>
        <v/>
      </c>
      <c r="O802" s="18">
        <f>$B$3*$B$6*$B$5*COS(F802)</f>
        <v/>
      </c>
      <c r="P802" s="18">
        <f>N802+O802</f>
        <v/>
      </c>
      <c r="Q802" s="19">
        <f>ABS(P802-$P$3)</f>
        <v/>
      </c>
    </row>
    <row r="803">
      <c r="D803" s="6" t="n">
        <v>801</v>
      </c>
      <c r="E803" s="7" t="n">
        <v>8.005718370264475</v>
      </c>
      <c r="F803" s="8" t="n">
        <v>1.496037946356463</v>
      </c>
      <c r="G803" s="9">
        <f>DEGREES(F803)</f>
        <v/>
      </c>
      <c r="H803" s="8" t="n">
        <v>8.658752833234146</v>
      </c>
      <c r="I803" s="9">
        <f>DEGREES(H803)</f>
        <v/>
      </c>
      <c r="J803" s="10" t="n">
        <v>-0.9253544100840998</v>
      </c>
      <c r="K803" s="10" t="n">
        <v>0.3737919021921653</v>
      </c>
      <c r="L803" s="11">
        <f>$B$5*$B$3*$B$6*SIN(F803)</f>
        <v/>
      </c>
      <c r="M803" s="11">
        <f>$B$9*K803*(SIN(F803))^2 + $B$8*($B$10+K803*COS(F803))*COS(F803)</f>
        <v/>
      </c>
      <c r="N803" s="11">
        <f>0.5*$B$9*(J803^2 + (K803*SIN(F803))^2) + 0.5*$B$8*($B$10 + K803*COS(F803))^2</f>
        <v/>
      </c>
      <c r="O803" s="11">
        <f>$B$3*$B$6*$B$5*COS(F803)</f>
        <v/>
      </c>
      <c r="P803" s="11">
        <f>N803+O803</f>
        <v/>
      </c>
      <c r="Q803" s="12">
        <f>ABS(P803-$P$3)</f>
        <v/>
      </c>
    </row>
    <row r="804">
      <c r="D804" s="13" t="n">
        <v>802</v>
      </c>
      <c r="E804" s="14" t="n">
        <v>8.015725518227306</v>
      </c>
      <c r="F804" s="15" t="n">
        <v>1.486554629123757</v>
      </c>
      <c r="G804" s="16">
        <f>DEGREES(F804)</f>
        <v/>
      </c>
      <c r="H804" s="15" t="n">
        <v>8.662728836119754</v>
      </c>
      <c r="I804" s="16">
        <f>DEGREES(H804)</f>
        <v/>
      </c>
      <c r="J804" s="17" t="n">
        <v>-0.9694582352107375</v>
      </c>
      <c r="K804" s="17" t="n">
        <v>0.4212084883556962</v>
      </c>
      <c r="L804" s="18">
        <f>$B$5*$B$3*$B$6*SIN(F804)</f>
        <v/>
      </c>
      <c r="M804" s="18">
        <f>$B$9*K804*(SIN(F804))^2 + $B$8*($B$10+K804*COS(F804))*COS(F804)</f>
        <v/>
      </c>
      <c r="N804" s="18">
        <f>0.5*$B$9*(J804^2 + (K804*SIN(F804))^2) + 0.5*$B$8*($B$10 + K804*COS(F804))^2</f>
        <v/>
      </c>
      <c r="O804" s="18">
        <f>$B$3*$B$6*$B$5*COS(F804)</f>
        <v/>
      </c>
      <c r="P804" s="18">
        <f>N804+O804</f>
        <v/>
      </c>
      <c r="Q804" s="19">
        <f>ABS(P804-$P$3)</f>
        <v/>
      </c>
    </row>
    <row r="805">
      <c r="D805" s="6" t="n">
        <v>803</v>
      </c>
      <c r="E805" s="7" t="n">
        <v>8.025732666190136</v>
      </c>
      <c r="F805" s="8" t="n">
        <v>1.476645076571807</v>
      </c>
      <c r="G805" s="9">
        <f>DEGREES(F805)</f>
        <v/>
      </c>
      <c r="H805" s="8" t="n">
        <v>8.667190134310616</v>
      </c>
      <c r="I805" s="9">
        <f>DEGREES(H805)</f>
        <v/>
      </c>
      <c r="J805" s="10" t="n">
        <v>-1.010518288182801</v>
      </c>
      <c r="K805" s="10" t="n">
        <v>0.4707562511154481</v>
      </c>
      <c r="L805" s="11">
        <f>$B$5*$B$3*$B$6*SIN(F805)</f>
        <v/>
      </c>
      <c r="M805" s="11">
        <f>$B$9*K805*(SIN(F805))^2 + $B$8*($B$10+K805*COS(F805))*COS(F805)</f>
        <v/>
      </c>
      <c r="N805" s="11">
        <f>0.5*$B$9*(J805^2 + (K805*SIN(F805))^2) + 0.5*$B$8*($B$10 + K805*COS(F805))^2</f>
        <v/>
      </c>
      <c r="O805" s="11">
        <f>$B$3*$B$6*$B$5*COS(F805)</f>
        <v/>
      </c>
      <c r="P805" s="11">
        <f>N805+O805</f>
        <v/>
      </c>
      <c r="Q805" s="12">
        <f>ABS(P805-$P$3)</f>
        <v/>
      </c>
    </row>
    <row r="806">
      <c r="D806" s="13" t="n">
        <v>804</v>
      </c>
      <c r="E806" s="14" t="n">
        <v>8.035739814152967</v>
      </c>
      <c r="F806" s="15" t="n">
        <v>1.466340401356138</v>
      </c>
      <c r="G806" s="16">
        <f>DEGREES(F806)</f>
        <v/>
      </c>
      <c r="H806" s="15" t="n">
        <v>8.672157281813311</v>
      </c>
      <c r="I806" s="16">
        <f>DEGREES(H806)</f>
        <v/>
      </c>
      <c r="J806" s="17" t="n">
        <v>-1.048405654271065</v>
      </c>
      <c r="K806" s="17" t="n">
        <v>0.5222796271937949</v>
      </c>
      <c r="L806" s="18">
        <f>$B$5*$B$3*$B$6*SIN(F806)</f>
        <v/>
      </c>
      <c r="M806" s="18">
        <f>$B$9*K806*(SIN(F806))^2 + $B$8*($B$10+K806*COS(F806))*COS(F806)</f>
        <v/>
      </c>
      <c r="N806" s="18">
        <f>0.5*$B$9*(J806^2 + (K806*SIN(F806))^2) + 0.5*$B$8*($B$10 + K806*COS(F806))^2</f>
        <v/>
      </c>
      <c r="O806" s="18">
        <f>$B$3*$B$6*$B$5*COS(F806)</f>
        <v/>
      </c>
      <c r="P806" s="18">
        <f>N806+O806</f>
        <v/>
      </c>
      <c r="Q806" s="19">
        <f>ABS(P806-$P$3)</f>
        <v/>
      </c>
    </row>
    <row r="807">
      <c r="D807" s="6" t="n">
        <v>805</v>
      </c>
      <c r="E807" s="7" t="n">
        <v>8.045746962115798</v>
      </c>
      <c r="F807" s="8" t="n">
        <v>1.455672956684291</v>
      </c>
      <c r="G807" s="9">
        <f>DEGREES(F807)</f>
        <v/>
      </c>
      <c r="H807" s="8" t="n">
        <v>8.677649244438046</v>
      </c>
      <c r="I807" s="9">
        <f>DEGREES(H807)</f>
        <v/>
      </c>
      <c r="J807" s="10" t="n">
        <v>-1.083001379913907</v>
      </c>
      <c r="K807" s="10" t="n">
        <v>0.5756168505530267</v>
      </c>
      <c r="L807" s="11">
        <f>$B$5*$B$3*$B$6*SIN(F807)</f>
        <v/>
      </c>
      <c r="M807" s="11">
        <f>$B$9*K807*(SIN(F807))^2 + $B$8*($B$10+K807*COS(F807))*COS(F807)</f>
        <v/>
      </c>
      <c r="N807" s="11">
        <f>0.5*$B$9*(J807^2 + (K807*SIN(F807))^2) + 0.5*$B$8*($B$10 + K807*COS(F807))^2</f>
        <v/>
      </c>
      <c r="O807" s="11">
        <f>$B$3*$B$6*$B$5*COS(F807)</f>
        <v/>
      </c>
      <c r="P807" s="11">
        <f>N807+O807</f>
        <v/>
      </c>
      <c r="Q807" s="12">
        <f>ABS(P807-$P$3)</f>
        <v/>
      </c>
    </row>
    <row r="808">
      <c r="D808" s="13" t="n">
        <v>806</v>
      </c>
      <c r="E808" s="14" t="n">
        <v>8.055754110078627</v>
      </c>
      <c r="F808" s="15" t="n">
        <v>1.444676234737647</v>
      </c>
      <c r="G808" s="16">
        <f>DEGREES(F808)</f>
        <v/>
      </c>
      <c r="H808" s="15" t="n">
        <v>8.683683340252395</v>
      </c>
      <c r="I808" s="16">
        <f>DEGREES(H808)</f>
        <v/>
      </c>
      <c r="J808" s="17" t="n">
        <v>-1.114196846191445</v>
      </c>
      <c r="K808" s="17" t="n">
        <v>0.6306004602862505</v>
      </c>
      <c r="L808" s="18">
        <f>$B$5*$B$3*$B$6*SIN(F808)</f>
        <v/>
      </c>
      <c r="M808" s="18">
        <f>$B$9*K808*(SIN(F808))^2 + $B$8*($B$10+K808*COS(F808))*COS(F808)</f>
        <v/>
      </c>
      <c r="N808" s="18">
        <f>0.5*$B$9*(J808^2 + (K808*SIN(F808))^2) + 0.5*$B$8*($B$10 + K808*COS(F808))^2</f>
        <v/>
      </c>
      <c r="O808" s="18">
        <f>$B$3*$B$6*$B$5*COS(F808)</f>
        <v/>
      </c>
      <c r="P808" s="18">
        <f>N808+O808</f>
        <v/>
      </c>
      <c r="Q808" s="19">
        <f>ABS(P808-$P$3)</f>
        <v/>
      </c>
    </row>
    <row r="809">
      <c r="D809" s="6" t="n">
        <v>807</v>
      </c>
      <c r="E809" s="7" t="n">
        <v>8.065761258041459</v>
      </c>
      <c r="F809" s="8" t="n">
        <v>1.433384761517257</v>
      </c>
      <c r="G809" s="9">
        <f>DEGREES(F809)</f>
        <v/>
      </c>
      <c r="H809" s="8" t="n">
        <v>8.690275185208435</v>
      </c>
      <c r="I809" s="9">
        <f>DEGREES(H809)</f>
        <v/>
      </c>
      <c r="J809" s="10" t="n">
        <v>-1.141894109852338</v>
      </c>
      <c r="K809" s="10" t="n">
        <v>0.6870578263881995</v>
      </c>
      <c r="L809" s="11">
        <f>$B$5*$B$3*$B$6*SIN(F809)</f>
        <v/>
      </c>
      <c r="M809" s="11">
        <f>$B$9*K809*(SIN(F809))^2 + $B$8*($B$10+K809*COS(F809))*COS(F809)</f>
        <v/>
      </c>
      <c r="N809" s="11">
        <f>0.5*$B$9*(J809^2 + (K809*SIN(F809))^2) + 0.5*$B$8*($B$10 + K809*COS(F809))^2</f>
        <v/>
      </c>
      <c r="O809" s="11">
        <f>$B$3*$B$6*$B$5*COS(F809)</f>
        <v/>
      </c>
      <c r="P809" s="11">
        <f>N809+O809</f>
        <v/>
      </c>
      <c r="Q809" s="12">
        <f>ABS(P809-$P$3)</f>
        <v/>
      </c>
    </row>
    <row r="810">
      <c r="D810" s="13" t="n">
        <v>808</v>
      </c>
      <c r="E810" s="14" t="n">
        <v>8.07576840600429</v>
      </c>
      <c r="F810" s="15" t="n">
        <v>1.421833988443847</v>
      </c>
      <c r="G810" s="16">
        <f>DEGREES(F810)</f>
        <v/>
      </c>
      <c r="H810" s="15" t="n">
        <v>8.697438644113875</v>
      </c>
      <c r="I810" s="16">
        <f>DEGREES(H810)</f>
        <v/>
      </c>
      <c r="J810" s="17" t="n">
        <v>-1.16600621082257</v>
      </c>
      <c r="K810" s="17" t="n">
        <v>0.7448116917552468</v>
      </c>
      <c r="L810" s="18">
        <f>$B$5*$B$3*$B$6*SIN(F810)</f>
        <v/>
      </c>
      <c r="M810" s="18">
        <f>$B$9*K810*(SIN(F810))^2 + $B$8*($B$10+K810*COS(F810))*COS(F810)</f>
        <v/>
      </c>
      <c r="N810" s="18">
        <f>0.5*$B$9*(J810^2 + (K810*SIN(F810))^2) + 0.5*$B$8*($B$10 + K810*COS(F810))^2</f>
        <v/>
      </c>
      <c r="O810" s="18">
        <f>$B$3*$B$6*$B$5*COS(F810)</f>
        <v/>
      </c>
      <c r="P810" s="18">
        <f>N810+O810</f>
        <v/>
      </c>
      <c r="Q810" s="19">
        <f>ABS(P810-$P$3)</f>
        <v/>
      </c>
    </row>
    <row r="811">
      <c r="D811" s="6" t="n">
        <v>809</v>
      </c>
      <c r="E811" s="7" t="n">
        <v>8.085775553967119</v>
      </c>
      <c r="F811" s="8" t="n">
        <v>1.410060181052303</v>
      </c>
      <c r="G811" s="9">
        <f>DEGREES(F811)</f>
        <v/>
      </c>
      <c r="H811" s="8" t="n">
        <v>8.705185787101271</v>
      </c>
      <c r="I811" s="9">
        <f>DEGREES(H811)</f>
        <v/>
      </c>
      <c r="J811" s="10" t="n">
        <v>-1.186457445230777</v>
      </c>
      <c r="K811" s="10" t="n">
        <v>0.8036807287129654</v>
      </c>
      <c r="L811" s="11">
        <f>$B$5*$B$3*$B$6*SIN(F811)</f>
        <v/>
      </c>
      <c r="M811" s="11">
        <f>$B$9*K811*(SIN(F811))^2 + $B$8*($B$10+K811*COS(F811))*COS(F811)</f>
        <v/>
      </c>
      <c r="N811" s="11">
        <f>0.5*$B$9*(J811^2 + (K811*SIN(F811))^2) + 0.5*$B$8*($B$10 + K811*COS(F811))^2</f>
        <v/>
      </c>
      <c r="O811" s="11">
        <f>$B$3*$B$6*$B$5*COS(F811)</f>
        <v/>
      </c>
      <c r="P811" s="11">
        <f>N811+O811</f>
        <v/>
      </c>
      <c r="Q811" s="12">
        <f>ABS(P811-$P$3)</f>
        <v/>
      </c>
    </row>
    <row r="812">
      <c r="D812" s="13" t="n">
        <v>810</v>
      </c>
      <c r="E812" s="14" t="n">
        <v>8.09578270192995</v>
      </c>
      <c r="F812" s="15" t="n">
        <v>1.398100305130099</v>
      </c>
      <c r="G812" s="16">
        <f>DEGREES(F812)</f>
        <v/>
      </c>
      <c r="H812" s="15" t="n">
        <v>8.713526851731855</v>
      </c>
      <c r="I812" s="16">
        <f>DEGREES(H812)</f>
        <v/>
      </c>
      <c r="J812" s="17" t="n">
        <v>-1.20318360309292</v>
      </c>
      <c r="K812" s="17" t="n">
        <v>0.8634801083239876</v>
      </c>
      <c r="L812" s="18">
        <f>$B$5*$B$3*$B$6*SIN(F812)</f>
        <v/>
      </c>
      <c r="M812" s="18">
        <f>$B$9*K812*(SIN(F812))^2 + $B$8*($B$10+K812*COS(F812))*COS(F812)</f>
        <v/>
      </c>
      <c r="N812" s="18">
        <f>0.5*$B$9*(J812^2 + (K812*SIN(F812))^2) + 0.5*$B$8*($B$10 + K812*COS(F812))^2</f>
        <v/>
      </c>
      <c r="O812" s="18">
        <f>$B$3*$B$6*$B$5*COS(F812)</f>
        <v/>
      </c>
      <c r="P812" s="18">
        <f>N812+O812</f>
        <v/>
      </c>
      <c r="Q812" s="19">
        <f>ABS(P812-$P$3)</f>
        <v/>
      </c>
    </row>
    <row r="813">
      <c r="D813" s="6" t="n">
        <v>811</v>
      </c>
      <c r="E813" s="7" t="n">
        <v>8.105789849892782</v>
      </c>
      <c r="F813" s="8" t="n">
        <v>1.385991910657194</v>
      </c>
      <c r="G813" s="9">
        <f>DEGREES(F813)</f>
        <v/>
      </c>
      <c r="H813" s="8" t="n">
        <v>8.722470210853048</v>
      </c>
      <c r="I813" s="9">
        <f>DEGREES(H813)</f>
        <v/>
      </c>
      <c r="J813" s="10" t="n">
        <v>-1.216132169909967</v>
      </c>
      <c r="K813" s="10" t="n">
        <v>0.9240220806885142</v>
      </c>
      <c r="L813" s="11">
        <f>$B$5*$B$3*$B$6*SIN(F813)</f>
        <v/>
      </c>
      <c r="M813" s="11">
        <f>$B$9*K813*(SIN(F813))^2 + $B$8*($B$10+K813*COS(F813))*COS(F813)</f>
        <v/>
      </c>
      <c r="N813" s="11">
        <f>0.5*$B$9*(J813^2 + (K813*SIN(F813))^2) + 0.5*$B$8*($B$10 + K813*COS(F813))^2</f>
        <v/>
      </c>
      <c r="O813" s="11">
        <f>$B$3*$B$6*$B$5*COS(F813)</f>
        <v/>
      </c>
      <c r="P813" s="11">
        <f>N813+O813</f>
        <v/>
      </c>
      <c r="Q813" s="12">
        <f>ABS(P813-$P$3)</f>
        <v/>
      </c>
    </row>
    <row r="814">
      <c r="D814" s="13" t="n">
        <v>812</v>
      </c>
      <c r="E814" s="14" t="n">
        <v>8.115796997855611</v>
      </c>
      <c r="F814" s="15" t="n">
        <v>1.373773013911751</v>
      </c>
      <c r="G814" s="16">
        <f>DEGREES(F814)</f>
        <v/>
      </c>
      <c r="H814" s="15" t="n">
        <v>8.73202234631054</v>
      </c>
      <c r="I814" s="16">
        <f>DEGREES(H814)</f>
        <v/>
      </c>
      <c r="J814" s="17" t="n">
        <v>-1.225262491545729</v>
      </c>
      <c r="K814" s="17" t="n">
        <v>0.9851165644157277</v>
      </c>
      <c r="L814" s="18">
        <f>$B$5*$B$3*$B$6*SIN(F814)</f>
        <v/>
      </c>
      <c r="M814" s="18">
        <f>$B$9*K814*(SIN(F814))^2 + $B$8*($B$10+K814*COS(F814))*COS(F814)</f>
        <v/>
      </c>
      <c r="N814" s="18">
        <f>0.5*$B$9*(J814^2 + (K814*SIN(F814))^2) + 0.5*$B$8*($B$10 + K814*COS(F814))^2</f>
        <v/>
      </c>
      <c r="O814" s="18">
        <f>$B$3*$B$6*$B$5*COS(F814)</f>
        <v/>
      </c>
      <c r="P814" s="18">
        <f>N814+O814</f>
        <v/>
      </c>
      <c r="Q814" s="19">
        <f>ABS(P814-$P$3)</f>
        <v/>
      </c>
    </row>
    <row r="815">
      <c r="D815" s="6" t="n">
        <v>813</v>
      </c>
      <c r="E815" s="7" t="n">
        <v>8.125804145818442</v>
      </c>
      <c r="F815" s="8" t="n">
        <v>1.361481978111822</v>
      </c>
      <c r="G815" s="9">
        <f>DEGREES(F815)</f>
        <v/>
      </c>
      <c r="H815" s="8" t="n">
        <v>8.742187828597487</v>
      </c>
      <c r="I815" s="9">
        <f>DEGREES(H815)</f>
        <v/>
      </c>
      <c r="J815" s="10" t="n">
        <v>-1.23054590186716</v>
      </c>
      <c r="K815" s="10" t="n">
        <v>1.046571743415373</v>
      </c>
      <c r="L815" s="11">
        <f>$B$5*$B$3*$B$6*SIN(F815)</f>
        <v/>
      </c>
      <c r="M815" s="11">
        <f>$B$9*K815*(SIN(F815))^2 + $B$8*($B$10+K815*COS(F815))*COS(F815)</f>
        <v/>
      </c>
      <c r="N815" s="11">
        <f>0.5*$B$9*(J815^2 + (K815*SIN(F815))^2) + 0.5*$B$8*($B$10 + K815*COS(F815))^2</f>
        <v/>
      </c>
      <c r="O815" s="11">
        <f>$B$3*$B$6*$B$5*COS(F815)</f>
        <v/>
      </c>
      <c r="P815" s="11">
        <f>N815+O815</f>
        <v/>
      </c>
      <c r="Q815" s="12">
        <f>ABS(P815-$P$3)</f>
        <v/>
      </c>
    </row>
    <row r="816">
      <c r="D816" s="13" t="n">
        <v>814</v>
      </c>
      <c r="E816" s="14" t="n">
        <v>8.135811293781273</v>
      </c>
      <c r="F816" s="15" t="n">
        <v>1.349157392967784</v>
      </c>
      <c r="G816" s="16">
        <f>DEGREES(F816)</f>
        <v/>
      </c>
      <c r="H816" s="15" t="n">
        <v>8.752969302504692</v>
      </c>
      <c r="I816" s="16">
        <f>DEGREES(H816)</f>
        <v/>
      </c>
      <c r="J816" s="17" t="n">
        <v>-1.231965812746339</v>
      </c>
      <c r="K816" s="17" t="n">
        <v>1.10819466913556</v>
      </c>
      <c r="L816" s="18">
        <f>$B$5*$B$3*$B$6*SIN(F816)</f>
        <v/>
      </c>
      <c r="M816" s="18">
        <f>$B$9*K816*(SIN(F816))^2 + $B$8*($B$10+K816*COS(F816))*COS(F816)</f>
        <v/>
      </c>
      <c r="N816" s="18">
        <f>0.5*$B$9*(J816^2 + (K816*SIN(F816))^2) + 0.5*$B$8*($B$10 + K816*COS(F816))^2</f>
        <v/>
      </c>
      <c r="O816" s="18">
        <f>$B$3*$B$6*$B$5*COS(F816)</f>
        <v/>
      </c>
      <c r="P816" s="18">
        <f>N816+O816</f>
        <v/>
      </c>
      <c r="Q816" s="19">
        <f>ABS(P816-$P$3)</f>
        <v/>
      </c>
    </row>
    <row r="817">
      <c r="D817" s="6" t="n">
        <v>815</v>
      </c>
      <c r="E817" s="7" t="n">
        <v>8.145818441744103</v>
      </c>
      <c r="F817" s="8" t="n">
        <v>1.336837953523651</v>
      </c>
      <c r="G817" s="9">
        <f>DEGREES(F817)</f>
        <v/>
      </c>
      <c r="H817" s="8" t="n">
        <v>8.764367478816853</v>
      </c>
      <c r="I817" s="9">
        <f>DEGREES(H817)</f>
        <v/>
      </c>
      <c r="J817" s="10" t="n">
        <v>-1.229517766141613</v>
      </c>
      <c r="K817" s="10" t="n">
        <v>1.169791866356228</v>
      </c>
      <c r="L817" s="11">
        <f>$B$5*$B$3*$B$6*SIN(F817)</f>
        <v/>
      </c>
      <c r="M817" s="11">
        <f>$B$9*K817*(SIN(F817))^2 + $B$8*($B$10+K817*COS(F817))*COS(F817)</f>
        <v/>
      </c>
      <c r="N817" s="11">
        <f>0.5*$B$9*(J817^2 + (K817*SIN(F817))^2) + 0.5*$B$8*($B$10 + K817*COS(F817))^2</f>
        <v/>
      </c>
      <c r="O817" s="11">
        <f>$B$3*$B$6*$B$5*COS(F817)</f>
        <v/>
      </c>
      <c r="P817" s="11">
        <f>N817+O817</f>
        <v/>
      </c>
      <c r="Q817" s="12">
        <f>ABS(P817-$P$3)</f>
        <v/>
      </c>
    </row>
    <row r="818">
      <c r="D818" s="13" t="n">
        <v>816</v>
      </c>
      <c r="E818" s="14" t="n">
        <v>8.155825589706934</v>
      </c>
      <c r="F818" s="15" t="n">
        <v>1.324562338667663</v>
      </c>
      <c r="G818" s="16">
        <f>DEGREES(F818)</f>
        <v/>
      </c>
      <c r="H818" s="15" t="n">
        <v>8.776381132080955</v>
      </c>
      <c r="I818" s="16">
        <f>DEGREES(H818)</f>
        <v/>
      </c>
      <c r="J818" s="17" t="n">
        <v>-1.223209448094334</v>
      </c>
      <c r="K818" s="17" t="n">
        <v>1.231169940636166</v>
      </c>
      <c r="L818" s="18">
        <f>$B$5*$B$3*$B$6*SIN(F818)</f>
        <v/>
      </c>
      <c r="M818" s="18">
        <f>$B$9*K818*(SIN(F818))^2 + $B$8*($B$10+K818*COS(F818))*COS(F818)</f>
        <v/>
      </c>
      <c r="N818" s="18">
        <f>0.5*$B$9*(J818^2 + (K818*SIN(F818))^2) + 0.5*$B$8*($B$10 + K818*COS(F818))^2</f>
        <v/>
      </c>
      <c r="O818" s="18">
        <f>$B$3*$B$6*$B$5*COS(F818)</f>
        <v/>
      </c>
      <c r="P818" s="18">
        <f>N818+O818</f>
        <v/>
      </c>
      <c r="Q818" s="19">
        <f>ABS(P818-$P$3)</f>
        <v/>
      </c>
    </row>
    <row r="819">
      <c r="D819" s="6" t="n">
        <v>817</v>
      </c>
      <c r="E819" s="7" t="n">
        <v>8.165832737669765</v>
      </c>
      <c r="F819" s="8" t="n">
        <v>1.312369089693636</v>
      </c>
      <c r="G819" s="9">
        <f>DEGREES(F819)</f>
        <v/>
      </c>
      <c r="H819" s="8" t="n">
        <v>8.789007104453756</v>
      </c>
      <c r="I819" s="9">
        <f>DEGREES(H819)</f>
        <v/>
      </c>
      <c r="J819" s="10" t="n">
        <v>-1.213060664597292</v>
      </c>
      <c r="K819" s="10" t="n">
        <v>1.292136185506303</v>
      </c>
      <c r="L819" s="11">
        <f>$B$5*$B$3*$B$6*SIN(F819)</f>
        <v/>
      </c>
      <c r="M819" s="11">
        <f>$B$9*K819*(SIN(F819))^2 + $B$8*($B$10+K819*COS(F819))*COS(F819)</f>
        <v/>
      </c>
      <c r="N819" s="11">
        <f>0.5*$B$9*(J819^2 + (K819*SIN(F819))^2) + 0.5*$B$8*($B$10 + K819*COS(F819))^2</f>
        <v/>
      </c>
      <c r="O819" s="11">
        <f>$B$3*$B$6*$B$5*COS(F819)</f>
        <v/>
      </c>
      <c r="P819" s="11">
        <f>N819+O819</f>
        <v/>
      </c>
      <c r="Q819" s="12">
        <f>ABS(P819-$P$3)</f>
        <v/>
      </c>
    </row>
    <row r="820">
      <c r="D820" s="13" t="n">
        <v>818</v>
      </c>
      <c r="E820" s="14" t="n">
        <v>8.175839885632595</v>
      </c>
      <c r="F820" s="15" t="n">
        <v>1.300296489294265</v>
      </c>
      <c r="G820" s="16">
        <f>DEGREES(F820)</f>
        <v/>
      </c>
      <c r="H820" s="15" t="n">
        <v>8.802240315616364</v>
      </c>
      <c r="I820" s="16">
        <f>DEGREES(H820)</f>
        <v/>
      </c>
      <c r="J820" s="17" t="n">
        <v>-1.199103279410565</v>
      </c>
      <c r="K820" s="17" t="n">
        <v>1.352499187503157</v>
      </c>
      <c r="L820" s="18">
        <f>$B$5*$B$3*$B$6*SIN(F820)</f>
        <v/>
      </c>
      <c r="M820" s="18">
        <f>$B$9*K820*(SIN(F820))^2 + $B$8*($B$10+K820*COS(F820))*COS(F820)</f>
        <v/>
      </c>
      <c r="N820" s="18">
        <f>0.5*$B$9*(J820^2 + (K820*SIN(F820))^2) + 0.5*$B$8*($B$10 + K820*COS(F820))^2</f>
        <v/>
      </c>
      <c r="O820" s="18">
        <f>$B$3*$B$6*$B$5*COS(F820)</f>
        <v/>
      </c>
      <c r="P820" s="18">
        <f>N820+O820</f>
        <v/>
      </c>
      <c r="Q820" s="19">
        <f>ABS(P820-$P$3)</f>
        <v/>
      </c>
    </row>
    <row r="821">
      <c r="D821" s="6" t="n">
        <v>819</v>
      </c>
      <c r="E821" s="7" t="n">
        <v>8.185847033595426</v>
      </c>
      <c r="F821" s="8" t="n">
        <v>1.288382441366377</v>
      </c>
      <c r="G821" s="9">
        <f>DEGREES(F821)</f>
        <v/>
      </c>
      <c r="H821" s="8" t="n">
        <v>8.816073778724732</v>
      </c>
      <c r="I821" s="9">
        <f>DEGREES(H821)</f>
        <v/>
      </c>
      <c r="J821" s="10" t="n">
        <v>-1.181381114020045</v>
      </c>
      <c r="K821" s="10" t="n">
        <v>1.412069427142599</v>
      </c>
      <c r="L821" s="11">
        <f>$B$5*$B$3*$B$6*SIN(F821)</f>
        <v/>
      </c>
      <c r="M821" s="11">
        <f>$B$9*K821*(SIN(F821))^2 + $B$8*($B$10+K821*COS(F821))*COS(F821)</f>
        <v/>
      </c>
      <c r="N821" s="11">
        <f>0.5*$B$9*(J821^2 + (K821*SIN(F821))^2) + 0.5*$B$8*($B$10 + K821*COS(F821))^2</f>
        <v/>
      </c>
      <c r="O821" s="11">
        <f>$B$3*$B$6*$B$5*COS(F821)</f>
        <v/>
      </c>
      <c r="P821" s="11">
        <f>N821+O821</f>
        <v/>
      </c>
      <c r="Q821" s="12">
        <f>ABS(P821-$P$3)</f>
        <v/>
      </c>
    </row>
    <row r="822">
      <c r="D822" s="13" t="n">
        <v>820</v>
      </c>
      <c r="E822" s="14" t="n">
        <v>8.195854181558257</v>
      </c>
      <c r="F822" s="15" t="n">
        <v>1.276664352005477</v>
      </c>
      <c r="G822" s="16">
        <f>DEGREES(F822)</f>
        <v/>
      </c>
      <c r="H822" s="15" t="n">
        <v>8.830498622345978</v>
      </c>
      <c r="I822" s="16">
        <f>DEGREES(H822)</f>
        <v/>
      </c>
      <c r="J822" s="17" t="n">
        <v>-1.159949810052755</v>
      </c>
      <c r="K822" s="17" t="n">
        <v>1.470659873947097</v>
      </c>
      <c r="L822" s="18">
        <f>$B$5*$B$3*$B$6*SIN(F822)</f>
        <v/>
      </c>
      <c r="M822" s="18">
        <f>$B$9*K822*(SIN(F822))^2 + $B$8*($B$10+K822*COS(F822))*COS(F822)</f>
        <v/>
      </c>
      <c r="N822" s="18">
        <f>0.5*$B$9*(J822^2 + (K822*SIN(F822))^2) + 0.5*$B$8*($B$10 + K822*COS(F822))^2</f>
        <v/>
      </c>
      <c r="O822" s="18">
        <f>$B$3*$B$6*$B$5*COS(F822)</f>
        <v/>
      </c>
      <c r="P822" s="18">
        <f>N822+O822</f>
        <v/>
      </c>
      <c r="Q822" s="19">
        <f>ABS(P822-$P$3)</f>
        <v/>
      </c>
    </row>
    <row r="823">
      <c r="D823" s="6" t="n">
        <v>821</v>
      </c>
      <c r="E823" s="7" t="n">
        <v>8.205861329521086</v>
      </c>
      <c r="F823" s="8" t="n">
        <v>1.265179012063205</v>
      </c>
      <c r="G823" s="9">
        <f>DEGREES(F823)</f>
        <v/>
      </c>
      <c r="H823" s="8" t="n">
        <v>8.845504118311704</v>
      </c>
      <c r="I823" s="9">
        <f>DEGREES(H823)</f>
        <v/>
      </c>
      <c r="J823" s="10" t="n">
        <v>-1.134876654580883</v>
      </c>
      <c r="K823" s="10" t="n">
        <v>1.528086573658459</v>
      </c>
      <c r="L823" s="11">
        <f>$B$5*$B$3*$B$6*SIN(F823)</f>
        <v/>
      </c>
      <c r="M823" s="11">
        <f>$B$9*K823*(SIN(F823))^2 + $B$8*($B$10+K823*COS(F823))*COS(F823)</f>
        <v/>
      </c>
      <c r="N823" s="11">
        <f>0.5*$B$9*(J823^2 + (K823*SIN(F823))^2) + 0.5*$B$8*($B$10 + K823*COS(F823))^2</f>
        <v/>
      </c>
      <c r="O823" s="11">
        <f>$B$3*$B$6*$B$5*COS(F823)</f>
        <v/>
      </c>
      <c r="P823" s="11">
        <f>N823+O823</f>
        <v/>
      </c>
      <c r="Q823" s="12">
        <f>ABS(P823-$P$3)</f>
        <v/>
      </c>
    </row>
    <row r="824">
      <c r="D824" s="13" t="n">
        <v>822</v>
      </c>
      <c r="E824" s="14" t="n">
        <v>8.215868477483918</v>
      </c>
      <c r="F824" s="15" t="n">
        <v>1.253962481636457</v>
      </c>
      <c r="G824" s="16">
        <f>DEGREES(F824)</f>
        <v/>
      </c>
      <c r="H824" s="15" t="n">
        <v>8.86107771540083</v>
      </c>
      <c r="I824" s="16">
        <f>DEGREES(H824)</f>
        <v/>
      </c>
      <c r="J824" s="17" t="n">
        <v>-1.106240368863037</v>
      </c>
      <c r="K824" s="17" t="n">
        <v>1.5841692257922</v>
      </c>
      <c r="L824" s="18">
        <f>$B$5*$B$3*$B$6*SIN(F824)</f>
        <v/>
      </c>
      <c r="M824" s="18">
        <f>$B$9*K824*(SIN(F824))^2 + $B$8*($B$10+K824*COS(F824))*COS(F824)</f>
        <v/>
      </c>
      <c r="N824" s="18">
        <f>0.5*$B$9*(J824^2 + (K824*SIN(F824))^2) + 0.5*$B$8*($B$10 + K824*COS(F824))^2</f>
        <v/>
      </c>
      <c r="O824" s="18">
        <f>$B$3*$B$6*$B$5*COS(F824)</f>
        <v/>
      </c>
      <c r="P824" s="18">
        <f>N824+O824</f>
        <v/>
      </c>
      <c r="Q824" s="19">
        <f>ABS(P824-$P$3)</f>
        <v/>
      </c>
    </row>
    <row r="825">
      <c r="D825" s="6" t="n">
        <v>823</v>
      </c>
      <c r="E825" s="7" t="n">
        <v>8.225875625446749</v>
      </c>
      <c r="F825" s="8" t="n">
        <v>1.243049976850841</v>
      </c>
      <c r="G825" s="9">
        <f>DEGREES(F825)</f>
        <v/>
      </c>
      <c r="H825" s="8" t="n">
        <v>8.877205078746201</v>
      </c>
      <c r="I825" s="9">
        <f>DEGREES(H825)</f>
        <v/>
      </c>
      <c r="J825" s="10" t="n">
        <v>-1.074130861186045</v>
      </c>
      <c r="K825" s="10" t="n">
        <v>1.638731749720276</v>
      </c>
      <c r="L825" s="11">
        <f>$B$5*$B$3*$B$6*SIN(F825)</f>
        <v/>
      </c>
      <c r="M825" s="11">
        <f>$B$9*K825*(SIN(F825))^2 + $B$8*($B$10+K825*COS(F825))*COS(F825)</f>
        <v/>
      </c>
      <c r="N825" s="11">
        <f>0.5*$B$9*(J825^2 + (K825*SIN(F825))^2) + 0.5*$B$8*($B$10 + K825*COS(F825))^2</f>
        <v/>
      </c>
      <c r="O825" s="11">
        <f>$B$3*$B$6*$B$5*COS(F825)</f>
        <v/>
      </c>
      <c r="P825" s="11">
        <f>N825+O825</f>
        <v/>
      </c>
      <c r="Q825" s="12">
        <f>ABS(P825-$P$3)</f>
        <v/>
      </c>
    </row>
    <row r="826">
      <c r="D826" s="13" t="n">
        <v>824</v>
      </c>
      <c r="E826" s="14" t="n">
        <v>8.235882773409578</v>
      </c>
      <c r="F826" s="15" t="n">
        <v>1.232475759293915</v>
      </c>
      <c r="G826" s="16">
        <f>DEGREES(F826)</f>
        <v/>
      </c>
      <c r="H826" s="15" t="n">
        <v>8.893870134841221</v>
      </c>
      <c r="I826" s="16">
        <f>DEGREES(H826)</f>
        <v/>
      </c>
      <c r="J826" s="17" t="n">
        <v>-1.038648944583233</v>
      </c>
      <c r="K826" s="17" t="n">
        <v>1.691602837504908</v>
      </c>
      <c r="L826" s="18">
        <f>$B$5*$B$3*$B$6*SIN(F826)</f>
        <v/>
      </c>
      <c r="M826" s="18">
        <f>$B$9*K826*(SIN(F826))^2 + $B$8*($B$10+K826*COS(F826))*COS(F826)</f>
        <v/>
      </c>
      <c r="N826" s="18">
        <f>0.5*$B$9*(J826^2 + (K826*SIN(F826))^2) + 0.5*$B$8*($B$10 + K826*COS(F826))^2</f>
        <v/>
      </c>
      <c r="O826" s="18">
        <f>$B$3*$B$6*$B$5*COS(F826)</f>
        <v/>
      </c>
      <c r="P826" s="18">
        <f>N826+O826</f>
        <v/>
      </c>
      <c r="Q826" s="19">
        <f>ABS(P826-$P$3)</f>
        <v/>
      </c>
    </row>
    <row r="827">
      <c r="D827" s="6" t="n">
        <v>825</v>
      </c>
      <c r="E827" s="7" t="n">
        <v>8.24588992137241</v>
      </c>
      <c r="F827" s="8" t="n">
        <v>1.222273028445328</v>
      </c>
      <c r="G827" s="9">
        <f>DEGREES(F827)</f>
        <v/>
      </c>
      <c r="H827" s="8" t="n">
        <v>8.911055122005276</v>
      </c>
      <c r="I827" s="9">
        <f>DEGREES(H827)</f>
        <v/>
      </c>
      <c r="J827" s="10" t="n">
        <v>-0.9999060203154426</v>
      </c>
      <c r="K827" s="10" t="n">
        <v>1.742616491747843</v>
      </c>
      <c r="L827" s="11">
        <f>$B$5*$B$3*$B$6*SIN(F827)</f>
        <v/>
      </c>
      <c r="M827" s="11">
        <f>$B$9*K827*(SIN(F827))^2 + $B$8*($B$10+K827*COS(F827))*COS(F827)</f>
        <v/>
      </c>
      <c r="N827" s="11">
        <f>0.5*$B$9*(J827^2 + (K827*SIN(F827))^2) + 0.5*$B$8*($B$10 + K827*COS(F827))^2</f>
        <v/>
      </c>
      <c r="O827" s="11">
        <f>$B$3*$B$6*$B$5*COS(F827)</f>
        <v/>
      </c>
      <c r="P827" s="11">
        <f>N827+O827</f>
        <v/>
      </c>
      <c r="Q827" s="12">
        <f>ABS(P827-$P$3)</f>
        <v/>
      </c>
    </row>
    <row r="828">
      <c r="D828" s="13" t="n">
        <v>826</v>
      </c>
      <c r="E828" s="14" t="n">
        <v>8.255897069335241</v>
      </c>
      <c r="F828" s="15" t="n">
        <v>1.212473817441661</v>
      </c>
      <c r="G828" s="16">
        <f>DEGREES(F828)</f>
        <v/>
      </c>
      <c r="H828" s="15" t="n">
        <v>8.928740646149402</v>
      </c>
      <c r="I828" s="16">
        <f>DEGREES(H828)</f>
        <v/>
      </c>
      <c r="J828" s="17" t="n">
        <v>-0.9580237281086444</v>
      </c>
      <c r="K828" s="17" t="n">
        <v>1.791612546766178</v>
      </c>
      <c r="L828" s="18">
        <f>$B$5*$B$3*$B$6*SIN(F828)</f>
        <v/>
      </c>
      <c r="M828" s="18">
        <f>$B$9*K828*(SIN(F828))^2 + $B$8*($B$10+K828*COS(F828))*COS(F828)</f>
        <v/>
      </c>
      <c r="N828" s="18">
        <f>0.5*$B$9*(J828^2 + (K828*SIN(F828))^2) + 0.5*$B$8*($B$10 + K828*COS(F828))^2</f>
        <v/>
      </c>
      <c r="O828" s="18">
        <f>$B$3*$B$6*$B$5*COS(F828)</f>
        <v/>
      </c>
      <c r="P828" s="18">
        <f>N828+O828</f>
        <v/>
      </c>
      <c r="Q828" s="19">
        <f>ABS(P828-$P$3)</f>
        <v/>
      </c>
    </row>
    <row r="829">
      <c r="D829" s="6" t="n">
        <v>827</v>
      </c>
      <c r="E829" s="7" t="n">
        <v>8.26590421729807</v>
      </c>
      <c r="F829" s="8" t="n">
        <v>1.20310889250317</v>
      </c>
      <c r="G829" s="9">
        <f>DEGREES(F829)</f>
        <v/>
      </c>
      <c r="H829" s="8" t="n">
        <v>8.946905741667196</v>
      </c>
      <c r="I829" s="9">
        <f>DEGREES(H829)</f>
        <v/>
      </c>
      <c r="J829" s="10" t="n">
        <v>-0.9131335642462004</v>
      </c>
      <c r="K829" s="10" t="n">
        <v>1.838437171458635</v>
      </c>
      <c r="L829" s="11">
        <f>$B$5*$B$3*$B$6*SIN(F829)</f>
        <v/>
      </c>
      <c r="M829" s="11">
        <f>$B$9*K829*(SIN(F829))^2 + $B$8*($B$10+K829*COS(F829))*COS(F829)</f>
        <v/>
      </c>
      <c r="N829" s="11">
        <f>0.5*$B$9*(J829^2 + (K829*SIN(F829))^2) + 0.5*$B$8*($B$10 + K829*COS(F829))^2</f>
        <v/>
      </c>
      <c r="O829" s="11">
        <f>$B$3*$B$6*$B$5*COS(F829)</f>
        <v/>
      </c>
      <c r="P829" s="11">
        <f>N829+O829</f>
        <v/>
      </c>
      <c r="Q829" s="12">
        <f>ABS(P829-$P$3)</f>
        <v/>
      </c>
    </row>
    <row r="830">
      <c r="D830" s="13" t="n">
        <v>828</v>
      </c>
      <c r="E830" s="14" t="n">
        <v>8.275911365260901</v>
      </c>
      <c r="F830" s="15" t="n">
        <v>1.194207656338211</v>
      </c>
      <c r="G830" s="16">
        <f>DEGREES(F830)</f>
        <v/>
      </c>
      <c r="H830" s="15" t="n">
        <v>8.965527937259761</v>
      </c>
      <c r="I830" s="16">
        <f>DEGREES(H830)</f>
        <v/>
      </c>
      <c r="J830" s="17" t="n">
        <v>-0.8653764687147955</v>
      </c>
      <c r="K830" s="17" t="n">
        <v>1.88294335228343</v>
      </c>
      <c r="L830" s="18">
        <f>$B$5*$B$3*$B$6*SIN(F830)</f>
        <v/>
      </c>
      <c r="M830" s="18">
        <f>$B$9*K830*(SIN(F830))^2 + $B$8*($B$10+K830*COS(F830))*COS(F830)</f>
        <v/>
      </c>
      <c r="N830" s="18">
        <f>0.5*$B$9*(J830^2 + (K830*SIN(F830))^2) + 0.5*$B$8*($B$10 + K830*COS(F830))^2</f>
        <v/>
      </c>
      <c r="O830" s="18">
        <f>$B$3*$B$6*$B$5*COS(F830)</f>
        <v/>
      </c>
      <c r="P830" s="18">
        <f>N830+O830</f>
        <v/>
      </c>
      <c r="Q830" s="19">
        <f>ABS(P830-$P$3)</f>
        <v/>
      </c>
    </row>
    <row r="831">
      <c r="D831" s="6" t="n">
        <v>829</v>
      </c>
      <c r="E831" s="7" t="n">
        <v>8.285918513223733</v>
      </c>
      <c r="F831" s="8" t="n">
        <v>1.185798055828658</v>
      </c>
      <c r="G831" s="9">
        <f>DEGREES(F831)</f>
        <v/>
      </c>
      <c r="H831" s="8" t="n">
        <v>8.984583326488002</v>
      </c>
      <c r="I831" s="9">
        <f>DEGREES(H831)</f>
        <v/>
      </c>
      <c r="J831" s="10" t="n">
        <v>-0.8149023827004318</v>
      </c>
      <c r="K831" s="10" t="n">
        <v>1.924991354831191</v>
      </c>
      <c r="L831" s="11">
        <f>$B$5*$B$3*$B$6*SIN(F831)</f>
        <v/>
      </c>
      <c r="M831" s="11">
        <f>$B$9*K831*(SIN(F831))^2 + $B$8*($B$10+K831*COS(F831))*COS(F831)</f>
        <v/>
      </c>
      <c r="N831" s="11">
        <f>0.5*$B$9*(J831^2 + (K831*SIN(F831))^2) + 0.5*$B$8*($B$10 + K831*COS(F831))^2</f>
        <v/>
      </c>
      <c r="O831" s="11">
        <f>$B$3*$B$6*$B$5*COS(F831)</f>
        <v/>
      </c>
      <c r="P831" s="11">
        <f>N831+O831</f>
        <v/>
      </c>
      <c r="Q831" s="12">
        <f>ABS(P831-$P$3)</f>
        <v/>
      </c>
    </row>
    <row r="832">
      <c r="D832" s="13" t="n">
        <v>830</v>
      </c>
      <c r="E832" s="14" t="n">
        <v>8.295925661186562</v>
      </c>
      <c r="F832" s="15" t="n">
        <v>1.177906494286108</v>
      </c>
      <c r="G832" s="16">
        <f>DEGREES(F832)</f>
        <v/>
      </c>
      <c r="H832" s="15" t="n">
        <v>9.004046642830792</v>
      </c>
      <c r="I832" s="16">
        <f>DEGREES(H832)</f>
        <v/>
      </c>
      <c r="J832" s="17" t="n">
        <v>-0.7618697778236132</v>
      </c>
      <c r="K832" s="17" t="n">
        <v>1.964449162543944</v>
      </c>
      <c r="L832" s="18">
        <f>$B$5*$B$3*$B$6*SIN(F832)</f>
        <v/>
      </c>
      <c r="M832" s="18">
        <f>$B$9*K832*(SIN(F832))^2 + $B$8*($B$10+K832*COS(F832))*COS(F832)</f>
        <v/>
      </c>
      <c r="N832" s="18">
        <f>0.5*$B$9*(J832^2 + (K832*SIN(F832))^2) + 0.5*$B$8*($B$10 + K832*COS(F832))^2</f>
        <v/>
      </c>
      <c r="O832" s="18">
        <f>$B$3*$B$6*$B$5*COS(F832)</f>
        <v/>
      </c>
      <c r="P832" s="18">
        <f>N832+O832</f>
        <v/>
      </c>
      <c r="Q832" s="19">
        <f>ABS(P832-$P$3)</f>
        <v/>
      </c>
    </row>
    <row r="833">
      <c r="D833" s="6" t="n">
        <v>831</v>
      </c>
      <c r="E833" s="7" t="n">
        <v>8.305932809149393</v>
      </c>
      <c r="F833" s="8" t="n">
        <v>1.170557748554371</v>
      </c>
      <c r="G833" s="9">
        <f>DEGREES(F833)</f>
        <v/>
      </c>
      <c r="H833" s="8" t="n">
        <v>9.023891339013339</v>
      </c>
      <c r="I833" s="9">
        <f>DEGREES(H833)</f>
        <v/>
      </c>
      <c r="J833" s="10" t="n">
        <v>-0.7064451585918322</v>
      </c>
      <c r="K833" s="10" t="n">
        <v>2.001192891202625</v>
      </c>
      <c r="L833" s="11">
        <f>$B$5*$B$3*$B$6*SIN(F833)</f>
        <v/>
      </c>
      <c r="M833" s="11">
        <f>$B$9*K833*(SIN(F833))^2 + $B$8*($B$10+K833*COS(F833))*COS(F833)</f>
        <v/>
      </c>
      <c r="N833" s="11">
        <f>0.5*$B$9*(J833^2 + (K833*SIN(F833))^2) + 0.5*$B$8*($B$10 + K833*COS(F833))^2</f>
        <v/>
      </c>
      <c r="O833" s="11">
        <f>$B$3*$B$6*$B$5*COS(F833)</f>
        <v/>
      </c>
      <c r="P833" s="11">
        <f>N833+O833</f>
        <v/>
      </c>
      <c r="Q833" s="12">
        <f>ABS(P833-$P$3)</f>
        <v/>
      </c>
    </row>
    <row r="834">
      <c r="D834" s="13" t="n">
        <v>832</v>
      </c>
      <c r="E834" s="14" t="n">
        <v>8.315939957112224</v>
      </c>
      <c r="F834" s="15" t="n">
        <v>1.163774891218549</v>
      </c>
      <c r="G834" s="16">
        <f>DEGREES(F834)</f>
        <v/>
      </c>
      <c r="H834" s="15" t="n">
        <v>9.044089670356675</v>
      </c>
      <c r="I834" s="16">
        <f>DEGREES(H834)</f>
        <v/>
      </c>
      <c r="J834" s="17" t="n">
        <v>-0.6488025396315966</v>
      </c>
      <c r="K834" s="17" t="n">
        <v>2.035107177881739</v>
      </c>
      <c r="L834" s="18">
        <f>$B$5*$B$3*$B$6*SIN(F834)</f>
        <v/>
      </c>
      <c r="M834" s="18">
        <f>$B$9*K834*(SIN(F834))^2 + $B$8*($B$10+K834*COS(F834))*COS(F834)</f>
        <v/>
      </c>
      <c r="N834" s="18">
        <f>0.5*$B$9*(J834^2 + (K834*SIN(F834))^2) + 0.5*$B$8*($B$10 + K834*COS(F834))^2</f>
        <v/>
      </c>
      <c r="O834" s="18">
        <f>$B$3*$B$6*$B$5*COS(F834)</f>
        <v/>
      </c>
      <c r="P834" s="18">
        <f>N834+O834</f>
        <v/>
      </c>
      <c r="Q834" s="19">
        <f>ABS(P834-$P$3)</f>
        <v/>
      </c>
    </row>
    <row r="835">
      <c r="D835" s="6" t="n">
        <v>833</v>
      </c>
      <c r="E835" s="7" t="n">
        <v>8.325947105075054</v>
      </c>
      <c r="F835" s="8" t="n">
        <v>1.157579218164875</v>
      </c>
      <c r="G835" s="9">
        <f>DEGREES(F835)</f>
        <v/>
      </c>
      <c r="H835" s="8" t="n">
        <v>9.064612781886595</v>
      </c>
      <c r="I835" s="9">
        <f>DEGREES(H835)</f>
        <v/>
      </c>
      <c r="J835" s="10" t="n">
        <v>-0.589122899341084</v>
      </c>
      <c r="K835" s="10" t="n">
        <v>2.066085543150107</v>
      </c>
      <c r="L835" s="11">
        <f>$B$5*$B$3*$B$6*SIN(F835)</f>
        <v/>
      </c>
      <c r="M835" s="11">
        <f>$B$9*K835*(SIN(F835))^2 + $B$8*($B$10+K835*COS(F835))*COS(F835)</f>
        <v/>
      </c>
      <c r="N835" s="11">
        <f>0.5*$B$9*(J835^2 + (K835*SIN(F835))^2) + 0.5*$B$8*($B$10 + K835*COS(F835))^2</f>
        <v/>
      </c>
      <c r="O835" s="11">
        <f>$B$3*$B$6*$B$5*COS(F835)</f>
        <v/>
      </c>
      <c r="P835" s="11">
        <f>N835+O835</f>
        <v/>
      </c>
      <c r="Q835" s="12">
        <f>ABS(P835-$P$3)</f>
        <v/>
      </c>
    </row>
    <row r="836">
      <c r="D836" s="13" t="n">
        <v>834</v>
      </c>
      <c r="E836" s="14" t="n">
        <v>8.335954253037885</v>
      </c>
      <c r="F836" s="15" t="n">
        <v>1.151990181718817</v>
      </c>
      <c r="G836" s="16">
        <f>DEGREES(F836)</f>
        <v/>
      </c>
      <c r="H836" s="15" t="n">
        <v>9.085430798928575</v>
      </c>
      <c r="I836" s="16">
        <f>DEGREES(H836)</f>
        <v/>
      </c>
      <c r="J836" s="17" t="n">
        <v>-0.5275936116789561</v>
      </c>
      <c r="K836" s="17" t="n">
        <v>2.094030725380399</v>
      </c>
      <c r="L836" s="18">
        <f>$B$5*$B$3*$B$6*SIN(F836)</f>
        <v/>
      </c>
      <c r="M836" s="18">
        <f>$B$9*K836*(SIN(F836))^2 + $B$8*($B$10+K836*COS(F836))*COS(F836)</f>
        <v/>
      </c>
      <c r="N836" s="18">
        <f>0.5*$B$9*(J836^2 + (K836*SIN(F836))^2) + 0.5*$B$8*($B$10 + K836*COS(F836))^2</f>
        <v/>
      </c>
      <c r="O836" s="18">
        <f>$B$3*$B$6*$B$5*COS(F836)</f>
        <v/>
      </c>
      <c r="P836" s="18">
        <f>N836+O836</f>
        <v/>
      </c>
      <c r="Q836" s="19">
        <f>ABS(P836-$P$3)</f>
        <v/>
      </c>
    </row>
    <row r="837">
      <c r="D837" s="6" t="n">
        <v>835</v>
      </c>
      <c r="E837" s="7" t="n">
        <v>8.345961401000716</v>
      </c>
      <c r="F837" s="8" t="n">
        <v>1.147025329571331</v>
      </c>
      <c r="G837" s="9">
        <f>DEGREES(F837)</f>
        <v/>
      </c>
      <c r="H837" s="8" t="n">
        <v>9.106512920904146</v>
      </c>
      <c r="I837" s="9">
        <f>DEGREES(H837)</f>
        <v/>
      </c>
      <c r="J837" s="10" t="n">
        <v>-0.464407857873343</v>
      </c>
      <c r="K837" s="10" t="n">
        <v>2.118854986117828</v>
      </c>
      <c r="L837" s="11">
        <f>$B$5*$B$3*$B$6*SIN(F837)</f>
        <v/>
      </c>
      <c r="M837" s="11">
        <f>$B$9*K837*(SIN(F837))^2 + $B$8*($B$10+K837*COS(F837))*COS(F837)</f>
        <v/>
      </c>
      <c r="N837" s="11">
        <f>0.5*$B$9*(J837^2 + (K837*SIN(F837))^2) + 0.5*$B$8*($B$10 + K837*COS(F837))^2</f>
        <v/>
      </c>
      <c r="O837" s="11">
        <f>$B$3*$B$6*$B$5*COS(F837)</f>
        <v/>
      </c>
      <c r="P837" s="11">
        <f>N837+O837</f>
        <v/>
      </c>
      <c r="Q837" s="12">
        <f>ABS(P837-$P$3)</f>
        <v/>
      </c>
    </row>
    <row r="838">
      <c r="D838" s="13" t="n">
        <v>836</v>
      </c>
      <c r="E838" s="14" t="n">
        <v>8.355968548963546</v>
      </c>
      <c r="F838" s="15" t="n">
        <v>1.142700249685023</v>
      </c>
      <c r="G838" s="16">
        <f>DEGREES(F838)</f>
        <v/>
      </c>
      <c r="H838" s="15" t="n">
        <v>9.127827518034355</v>
      </c>
      <c r="I838" s="16">
        <f>DEGREES(H838)</f>
        <v/>
      </c>
      <c r="J838" s="17" t="n">
        <v>-0.3997640198978196</v>
      </c>
      <c r="K838" s="17" t="n">
        <v>2.140480385549367</v>
      </c>
      <c r="L838" s="18">
        <f>$B$5*$B$3*$B$6*SIN(F838)</f>
        <v/>
      </c>
      <c r="M838" s="18">
        <f>$B$9*K838*(SIN(F838))^2 + $B$8*($B$10+K838*COS(F838))*COS(F838)</f>
        <v/>
      </c>
      <c r="N838" s="18">
        <f>0.5*$B$9*(J838^2 + (K838*SIN(F838))^2) + 0.5*$B$8*($B$10 + K838*COS(F838))^2</f>
        <v/>
      </c>
      <c r="O838" s="18">
        <f>$B$3*$B$6*$B$5*COS(F838)</f>
        <v/>
      </c>
      <c r="P838" s="18">
        <f>N838+O838</f>
        <v/>
      </c>
      <c r="Q838" s="19">
        <f>ABS(P838-$P$3)</f>
        <v/>
      </c>
    </row>
    <row r="839">
      <c r="D839" s="6" t="n">
        <v>837</v>
      </c>
      <c r="E839" s="7" t="n">
        <v>8.365975696926377</v>
      </c>
      <c r="F839" s="8" t="n">
        <v>1.139028521353199</v>
      </c>
      <c r="G839" s="9">
        <f>DEGREES(F839)</f>
        <v/>
      </c>
      <c r="H839" s="8" t="n">
        <v>9.149342230646619</v>
      </c>
      <c r="I839" s="9">
        <f>DEGREES(H839)</f>
        <v/>
      </c>
      <c r="J839" s="10" t="n">
        <v>-0.3338650576188681</v>
      </c>
      <c r="K839" s="10" t="n">
        <v>2.158839027208489</v>
      </c>
      <c r="L839" s="11">
        <f>$B$5*$B$3*$B$6*SIN(F839)</f>
        <v/>
      </c>
      <c r="M839" s="11">
        <f>$B$9*K839*(SIN(F839))^2 + $B$8*($B$10+K839*COS(F839))*COS(F839)</f>
        <v/>
      </c>
      <c r="N839" s="11">
        <f>0.5*$B$9*(J839^2 + (K839*SIN(F839))^2) + 0.5*$B$8*($B$10 + K839*COS(F839))^2</f>
        <v/>
      </c>
      <c r="O839" s="11">
        <f>$B$3*$B$6*$B$5*COS(F839)</f>
        <v/>
      </c>
      <c r="P839" s="11">
        <f>N839+O839</f>
        <v/>
      </c>
      <c r="Q839" s="12">
        <f>ABS(P839-$P$3)</f>
        <v/>
      </c>
    </row>
    <row r="840">
      <c r="D840" s="13" t="n">
        <v>838</v>
      </c>
      <c r="E840" s="14" t="n">
        <v>8.375982844889208</v>
      </c>
      <c r="F840" s="15" t="n">
        <v>1.13602167256546</v>
      </c>
      <c r="G840" s="16">
        <f>DEGREES(F840)</f>
        <v/>
      </c>
      <c r="H840" s="15" t="n">
        <v>9.171024070773166</v>
      </c>
      <c r="I840" s="16">
        <f>DEGREES(H840)</f>
        <v/>
      </c>
      <c r="J840" s="17" t="n">
        <v>-0.266917871570327</v>
      </c>
      <c r="K840" s="17" t="n">
        <v>2.173873271147182</v>
      </c>
      <c r="L840" s="18">
        <f>$B$5*$B$3*$B$6*SIN(F840)</f>
        <v/>
      </c>
      <c r="M840" s="18">
        <f>$B$9*K840*(SIN(F840))^2 + $B$8*($B$10+K840*COS(F840))*COS(F840)</f>
        <v/>
      </c>
      <c r="N840" s="18">
        <f>0.5*$B$9*(J840^2 + (K840*SIN(F840))^2) + 0.5*$B$8*($B$10 + K840*COS(F840))^2</f>
        <v/>
      </c>
      <c r="O840" s="18">
        <f>$B$3*$B$6*$B$5*COS(F840)</f>
        <v/>
      </c>
      <c r="P840" s="18">
        <f>N840+O840</f>
        <v/>
      </c>
      <c r="Q840" s="19">
        <f>ABS(P840-$P$3)</f>
        <v/>
      </c>
    </row>
    <row r="841">
      <c r="D841" s="6" t="n">
        <v>839</v>
      </c>
      <c r="E841" s="7" t="n">
        <v>8.385989992852037</v>
      </c>
      <c r="F841" s="8" t="n">
        <v>1.133689143813705</v>
      </c>
      <c r="G841" s="9">
        <f>DEGREES(F841)</f>
        <v/>
      </c>
      <c r="H841" s="8" t="n">
        <v>9.192839525722151</v>
      </c>
      <c r="I841" s="9">
        <f>DEGREES(H841)</f>
        <v/>
      </c>
      <c r="J841" s="10" t="n">
        <v>-0.1991326533554497</v>
      </c>
      <c r="K841" s="10" t="n">
        <v>2.185535914905959</v>
      </c>
      <c r="L841" s="11">
        <f>$B$5*$B$3*$B$6*SIN(F841)</f>
        <v/>
      </c>
      <c r="M841" s="11">
        <f>$B$9*K841*(SIN(F841))^2 + $B$8*($B$10+K841*COS(F841))*COS(F841)</f>
        <v/>
      </c>
      <c r="N841" s="11">
        <f>0.5*$B$9*(J841^2 + (K841*SIN(F841))^2) + 0.5*$B$8*($B$10 + K841*COS(F841))^2</f>
        <v/>
      </c>
      <c r="O841" s="11">
        <f>$B$3*$B$6*$B$5*COS(F841)</f>
        <v/>
      </c>
      <c r="P841" s="11">
        <f>N841+O841</f>
        <v/>
      </c>
      <c r="Q841" s="12">
        <f>ABS(P841-$P$3)</f>
        <v/>
      </c>
    </row>
    <row r="842">
      <c r="D842" s="13" t="n">
        <v>840</v>
      </c>
      <c r="E842" s="14" t="n">
        <v>8.395997140814869</v>
      </c>
      <c r="F842" s="15" t="n">
        <v>1.132038258452158</v>
      </c>
      <c r="G842" s="16">
        <f>DEGREES(F842)</f>
        <v/>
      </c>
      <c r="H842" s="15" t="n">
        <v>9.214754663296224</v>
      </c>
      <c r="I842" s="16">
        <f>DEGREES(H842)</f>
        <v/>
      </c>
      <c r="J842" s="17" t="n">
        <v>-0.1307222257160269</v>
      </c>
      <c r="K842" s="17" t="n">
        <v>2.193790341713692</v>
      </c>
      <c r="L842" s="18">
        <f>$B$5*$B$3*$B$6*SIN(F842)</f>
        <v/>
      </c>
      <c r="M842" s="18">
        <f>$B$9*K842*(SIN(F842))^2 + $B$8*($B$10+K842*COS(F842))*COS(F842)</f>
        <v/>
      </c>
      <c r="N842" s="18">
        <f>0.5*$B$9*(J842^2 + (K842*SIN(F842))^2) + 0.5*$B$8*($B$10 + K842*COS(F842))^2</f>
        <v/>
      </c>
      <c r="O842" s="18">
        <f>$B$3*$B$6*$B$5*COS(F842)</f>
        <v/>
      </c>
      <c r="P842" s="18">
        <f>N842+O842</f>
        <v/>
      </c>
      <c r="Q842" s="19">
        <f>ABS(P842-$P$3)</f>
        <v/>
      </c>
    </row>
    <row r="843">
      <c r="D843" s="6" t="n">
        <v>841</v>
      </c>
      <c r="E843" s="7" t="n">
        <v>8.4060042887777</v>
      </c>
      <c r="F843" s="8" t="n">
        <v>1.131074199704513</v>
      </c>
      <c r="G843" s="9">
        <f>DEGREES(F843)</f>
        <v/>
      </c>
      <c r="H843" s="8" t="n">
        <v>9.236735238328178</v>
      </c>
      <c r="I843" s="9">
        <f>DEGREES(H843)</f>
        <v/>
      </c>
      <c r="J843" s="10" t="n">
        <v>-0.06190137434077415</v>
      </c>
      <c r="K843" s="10" t="n">
        <v>2.198610635451917</v>
      </c>
      <c r="L843" s="11">
        <f>$B$5*$B$3*$B$6*SIN(F843)</f>
        <v/>
      </c>
      <c r="M843" s="11">
        <f>$B$9*K843*(SIN(F843))^2 + $B$8*($B$10+K843*COS(F843))*COS(F843)</f>
        <v/>
      </c>
      <c r="N843" s="11">
        <f>0.5*$B$9*(J843^2 + (K843*SIN(F843))^2) + 0.5*$B$8*($B$10 + K843*COS(F843))^2</f>
        <v/>
      </c>
      <c r="O843" s="11">
        <f>$B$3*$B$6*$B$5*COS(F843)</f>
        <v/>
      </c>
      <c r="P843" s="11">
        <f>N843+O843</f>
        <v/>
      </c>
      <c r="Q843" s="12">
        <f>ABS(P843-$P$3)</f>
        <v/>
      </c>
    </row>
    <row r="844">
      <c r="D844" s="13" t="n">
        <v>842</v>
      </c>
      <c r="E844" s="14" t="n">
        <v>8.416011436740529</v>
      </c>
      <c r="F844" s="15" t="n">
        <v>1.130799994390354</v>
      </c>
      <c r="G844" s="16">
        <f>DEGREES(F844)</f>
        <v/>
      </c>
      <c r="H844" s="15" t="n">
        <v>9.258746800199235</v>
      </c>
      <c r="I844" s="16">
        <f>DEGREES(H844)</f>
        <v/>
      </c>
      <c r="J844" s="17" t="n">
        <v>0.007113826489347177</v>
      </c>
      <c r="K844" s="17" t="n">
        <v>2.199981662022716</v>
      </c>
      <c r="L844" s="18">
        <f>$B$5*$B$3*$B$6*SIN(F844)</f>
        <v/>
      </c>
      <c r="M844" s="18">
        <f>$B$9*K844*(SIN(F844))^2 + $B$8*($B$10+K844*COS(F844))*COS(F844)</f>
        <v/>
      </c>
      <c r="N844" s="18">
        <f>0.5*$B$9*(J844^2 + (K844*SIN(F844))^2) + 0.5*$B$8*($B$10 + K844*COS(F844))^2</f>
        <v/>
      </c>
      <c r="O844" s="18">
        <f>$B$3*$B$6*$B$5*COS(F844)</f>
        <v/>
      </c>
      <c r="P844" s="18">
        <f>N844+O844</f>
        <v/>
      </c>
      <c r="Q844" s="19">
        <f>ABS(P844-$P$3)</f>
        <v/>
      </c>
    </row>
    <row r="845">
      <c r="D845" s="6" t="n">
        <v>843</v>
      </c>
      <c r="E845" s="7" t="n">
        <v>8.42601858470336</v>
      </c>
      <c r="F845" s="8" t="n">
        <v>1.131216503421959</v>
      </c>
      <c r="G845" s="9">
        <f>DEGREES(F845)</f>
        <v/>
      </c>
      <c r="H845" s="8" t="n">
        <v>9.280754801002402</v>
      </c>
      <c r="I845" s="9">
        <f>DEGREES(H845)</f>
        <v/>
      </c>
      <c r="J845" s="10" t="n">
        <v>0.07610669230163504</v>
      </c>
      <c r="K845" s="10" t="n">
        <v>2.197899116864689</v>
      </c>
      <c r="L845" s="11">
        <f>$B$5*$B$3*$B$6*SIN(F845)</f>
        <v/>
      </c>
      <c r="M845" s="11">
        <f>$B$9*K845*(SIN(F845))^2 + $B$8*($B$10+K845*COS(F845))*COS(F845)</f>
        <v/>
      </c>
      <c r="N845" s="11">
        <f>0.5*$B$9*(J845^2 + (K845*SIN(F845))^2) + 0.5*$B$8*($B$10 + K845*COS(F845))^2</f>
        <v/>
      </c>
      <c r="O845" s="11">
        <f>$B$3*$B$6*$B$5*COS(F845)</f>
        <v/>
      </c>
      <c r="P845" s="11">
        <f>N845+O845</f>
        <v/>
      </c>
      <c r="Q845" s="12">
        <f>ABS(P845-$P$3)</f>
        <v/>
      </c>
    </row>
    <row r="846">
      <c r="D846" s="13" t="n">
        <v>844</v>
      </c>
      <c r="E846" s="14" t="n">
        <v>8.436025732666192</v>
      </c>
      <c r="F846" s="15" t="n">
        <v>1.132322419101332</v>
      </c>
      <c r="G846" s="16">
        <f>DEGREES(F846)</f>
        <v/>
      </c>
      <c r="H846" s="15" t="n">
        <v>9.30272470401122</v>
      </c>
      <c r="I846" s="16">
        <f>DEGREES(H846)</f>
        <v/>
      </c>
      <c r="J846" s="17" t="n">
        <v>0.1448606087477816</v>
      </c>
      <c r="K846" s="17" t="n">
        <v>2.192369538467823</v>
      </c>
      <c r="L846" s="18">
        <f>$B$5*$B$3*$B$6*SIN(F846)</f>
        <v/>
      </c>
      <c r="M846" s="18">
        <f>$B$9*K846*(SIN(F846))^2 + $B$8*($B$10+K846*COS(F846))*COS(F846)</f>
        <v/>
      </c>
      <c r="N846" s="18">
        <f>0.5*$B$9*(J846^2 + (K846*SIN(F846))^2) + 0.5*$B$8*($B$10 + K846*COS(F846))^2</f>
        <v/>
      </c>
      <c r="O846" s="18">
        <f>$B$3*$B$6*$B$5*COS(F846)</f>
        <v/>
      </c>
      <c r="P846" s="18">
        <f>N846+O846</f>
        <v/>
      </c>
      <c r="Q846" s="19">
        <f>ABS(P846-$P$3)</f>
        <v/>
      </c>
    </row>
    <row r="847">
      <c r="D847" s="6" t="n">
        <v>845</v>
      </c>
      <c r="E847" s="7" t="n">
        <v>8.446032880629021</v>
      </c>
      <c r="F847" s="8" t="n">
        <v>1.13411426922593</v>
      </c>
      <c r="G847" s="9">
        <f>DEGREES(F847)</f>
        <v/>
      </c>
      <c r="H847" s="8" t="n">
        <v>9.324622092113474</v>
      </c>
      <c r="I847" s="9">
        <f>DEGREES(H847)</f>
        <v/>
      </c>
      <c r="J847" s="10" t="n">
        <v>0.2131597116999636</v>
      </c>
      <c r="K847" s="10" t="n">
        <v>2.183410287844834</v>
      </c>
      <c r="L847" s="11">
        <f>$B$5*$B$3*$B$6*SIN(F847)</f>
        <v/>
      </c>
      <c r="M847" s="11">
        <f>$B$9*K847*(SIN(F847))^2 + $B$8*($B$10+K847*COS(F847))*COS(F847)</f>
        <v/>
      </c>
      <c r="N847" s="11">
        <f>0.5*$B$9*(J847^2 + (K847*SIN(F847))^2) + 0.5*$B$8*($B$10 + K847*COS(F847))^2</f>
        <v/>
      </c>
      <c r="O847" s="11">
        <f>$B$3*$B$6*$B$5*COS(F847)</f>
        <v/>
      </c>
      <c r="P847" s="11">
        <f>N847+O847</f>
        <v/>
      </c>
      <c r="Q847" s="12">
        <f>ABS(P847-$P$3)</f>
        <v/>
      </c>
    </row>
    <row r="848">
      <c r="D848" s="13" t="n">
        <v>846</v>
      </c>
      <c r="E848" s="14" t="n">
        <v>8.456040028591852</v>
      </c>
      <c r="F848" s="15" t="n">
        <v>1.136586427990208</v>
      </c>
      <c r="G848" s="16">
        <f>DEGREES(F848)</f>
        <v/>
      </c>
      <c r="H848" s="15" t="n">
        <v>9.346412775869325</v>
      </c>
      <c r="I848" s="16">
        <f>DEGREES(H848)</f>
        <v/>
      </c>
      <c r="J848" s="17" t="n">
        <v>0.2807895649914932</v>
      </c>
      <c r="K848" s="17" t="n">
        <v>2.171049494023442</v>
      </c>
      <c r="L848" s="18">
        <f>$B$5*$B$3*$B$6*SIN(F848)</f>
        <v/>
      </c>
      <c r="M848" s="18">
        <f>$B$9*K848*(SIN(F848))^2 + $B$8*($B$10+K848*COS(F848))*COS(F848)</f>
        <v/>
      </c>
      <c r="N848" s="18">
        <f>0.5*$B$9*(J848^2 + (K848*SIN(F848))^2) + 0.5*$B$8*($B$10 + K848*COS(F848))^2</f>
        <v/>
      </c>
      <c r="O848" s="18">
        <f>$B$3*$B$6*$B$5*COS(F848)</f>
        <v/>
      </c>
      <c r="P848" s="18">
        <f>N848+O848</f>
        <v/>
      </c>
      <c r="Q848" s="19">
        <f>ABS(P848-$P$3)</f>
        <v/>
      </c>
    </row>
    <row r="849">
      <c r="D849" s="6" t="n">
        <v>847</v>
      </c>
      <c r="E849" s="7" t="n">
        <v>8.466047176554682</v>
      </c>
      <c r="F849" s="8" t="n">
        <v>1.139731133648755</v>
      </c>
      <c r="G849" s="9">
        <f>DEGREES(F849)</f>
        <v/>
      </c>
      <c r="H849" s="8" t="n">
        <v>9.368062900854605</v>
      </c>
      <c r="I849" s="9">
        <f>DEGREES(H849)</f>
        <v/>
      </c>
      <c r="J849" s="10" t="n">
        <v>0.3475378336740215</v>
      </c>
      <c r="K849" s="10" t="n">
        <v>2.155325965730706</v>
      </c>
      <c r="L849" s="11">
        <f>$B$5*$B$3*$B$6*SIN(F849)</f>
        <v/>
      </c>
      <c r="M849" s="11">
        <f>$B$9*K849*(SIN(F849))^2 + $B$8*($B$10+K849*COS(F849))*COS(F849)</f>
        <v/>
      </c>
      <c r="N849" s="11">
        <f>0.5*$B$9*(J849^2 + (K849*SIN(F849))^2) + 0.5*$B$8*($B$10 + K849*COS(F849))^2</f>
        <v/>
      </c>
      <c r="O849" s="11">
        <f>$B$3*$B$6*$B$5*COS(F849)</f>
        <v/>
      </c>
      <c r="P849" s="11">
        <f>N849+O849</f>
        <v/>
      </c>
      <c r="Q849" s="12">
        <f>ABS(P849-$P$3)</f>
        <v/>
      </c>
    </row>
    <row r="850">
      <c r="D850" s="13" t="n">
        <v>848</v>
      </c>
      <c r="E850" s="14" t="n">
        <v>8.476054324517513</v>
      </c>
      <c r="F850" s="15" t="n">
        <v>1.143538512885559</v>
      </c>
      <c r="G850" s="16">
        <f>DEGREES(F850)</f>
        <v/>
      </c>
      <c r="H850" s="15" t="n">
        <v>9.389539053952339</v>
      </c>
      <c r="I850" s="16">
        <f>DEGREES(H850)</f>
        <v/>
      </c>
      <c r="J850" s="17" t="n">
        <v>0.4131949506778413</v>
      </c>
      <c r="K850" s="17" t="n">
        <v>2.136289069546687</v>
      </c>
      <c r="L850" s="18">
        <f>$B$5*$B$3*$B$6*SIN(F850)</f>
        <v/>
      </c>
      <c r="M850" s="18">
        <f>$B$9*K850*(SIN(F850))^2 + $B$8*($B$10+K850*COS(F850))*COS(F850)</f>
        <v/>
      </c>
      <c r="N850" s="18">
        <f>0.5*$B$9*(J850^2 + (K850*SIN(F850))^2) + 0.5*$B$8*($B$10 + K850*COS(F850))^2</f>
        <v/>
      </c>
      <c r="O850" s="18">
        <f>$B$3*$B$6*$B$5*COS(F850)</f>
        <v/>
      </c>
      <c r="P850" s="18">
        <f>N850+O850</f>
        <v/>
      </c>
      <c r="Q850" s="19">
        <f>ABS(P850-$P$3)</f>
        <v/>
      </c>
    </row>
    <row r="851">
      <c r="D851" s="6" t="n">
        <v>849</v>
      </c>
      <c r="E851" s="7" t="n">
        <v>8.486061472480344</v>
      </c>
      <c r="F851" s="8" t="n">
        <v>1.147996611812889</v>
      </c>
      <c r="G851" s="9">
        <f>DEGREES(F851)</f>
        <v/>
      </c>
      <c r="H851" s="8" t="n">
        <v>9.410808368258635</v>
      </c>
      <c r="I851" s="9">
        <f>DEGREES(H851)</f>
        <v/>
      </c>
      <c r="J851" s="10" t="n">
        <v>0.477554774781776</v>
      </c>
      <c r="K851" s="10" t="n">
        <v>2.113998574910037</v>
      </c>
      <c r="L851" s="11">
        <f>$B$5*$B$3*$B$6*SIN(F851)</f>
        <v/>
      </c>
      <c r="M851" s="11">
        <f>$B$9*K851*(SIN(F851))^2 + $B$8*($B$10+K851*COS(F851))*COS(F851)</f>
        <v/>
      </c>
      <c r="N851" s="11">
        <f>0.5*$B$9*(J851^2 + (K851*SIN(F851))^2) + 0.5*$B$8*($B$10 + K851*COS(F851))^2</f>
        <v/>
      </c>
      <c r="O851" s="11">
        <f>$B$3*$B$6*$B$5*COS(F851)</f>
        <v/>
      </c>
      <c r="P851" s="11">
        <f>N851+O851</f>
        <v/>
      </c>
      <c r="Q851" s="12">
        <f>ABS(P851-$P$3)</f>
        <v/>
      </c>
    </row>
    <row r="852">
      <c r="D852" s="13" t="n">
        <v>850</v>
      </c>
      <c r="E852" s="14" t="n">
        <v>8.496068620443173</v>
      </c>
      <c r="F852" s="15" t="n">
        <v>1.153091433502476</v>
      </c>
      <c r="G852" s="16">
        <f>DEGREES(F852)</f>
        <v/>
      </c>
      <c r="H852" s="15" t="n">
        <v>9.431838626273708</v>
      </c>
      <c r="I852" s="16">
        <f>DEGREES(H852)</f>
        <v/>
      </c>
      <c r="J852" s="17" t="n">
        <v>0.5404152378271481</v>
      </c>
      <c r="K852" s="17" t="n">
        <v>2.088524466462104</v>
      </c>
      <c r="L852" s="18">
        <f>$B$5*$B$3*$B$6*SIN(F852)</f>
        <v/>
      </c>
      <c r="M852" s="18">
        <f>$B$9*K852*(SIN(F852))^2 + $B$8*($B$10+K852*COS(F852))*COS(F852)</f>
        <v/>
      </c>
      <c r="N852" s="18">
        <f>0.5*$B$9*(J852^2 + (K852*SIN(F852))^2) + 0.5*$B$8*($B$10 + K852*COS(F852))^2</f>
        <v/>
      </c>
      <c r="O852" s="18">
        <f>$B$3*$B$6*$B$5*COS(F852)</f>
        <v/>
      </c>
      <c r="P852" s="18">
        <f>N852+O852</f>
        <v/>
      </c>
      <c r="Q852" s="19">
        <f>ABS(P852-$P$3)</f>
        <v/>
      </c>
    </row>
    <row r="853">
      <c r="D853" s="6" t="n">
        <v>851</v>
      </c>
      <c r="E853" s="7" t="n">
        <v>8.506075768406005</v>
      </c>
      <c r="F853" s="8" t="n">
        <v>1.158806981931152</v>
      </c>
      <c r="G853" s="9">
        <f>DEGREES(F853)</f>
        <v/>
      </c>
      <c r="H853" s="8" t="n">
        <v>9.452598361053969</v>
      </c>
      <c r="I853" s="9">
        <f>DEGREES(H853)</f>
        <v/>
      </c>
      <c r="J853" s="10" t="n">
        <v>0.6015789791437723</v>
      </c>
      <c r="K853" s="10" t="n">
        <v>2.059946724318722</v>
      </c>
      <c r="L853" s="11">
        <f>$B$5*$B$3*$B$6*SIN(F853)</f>
        <v/>
      </c>
      <c r="M853" s="11">
        <f>$B$9*K853*(SIN(F853))^2 + $B$8*($B$10+K853*COS(F853))*COS(F853)</f>
        <v/>
      </c>
      <c r="N853" s="11">
        <f>0.5*$B$9*(J853^2 + (K853*SIN(F853))^2) + 0.5*$B$8*($B$10 + K853*COS(F853))^2</f>
        <v/>
      </c>
      <c r="O853" s="11">
        <f>$B$3*$B$6*$B$5*COS(F853)</f>
        <v/>
      </c>
      <c r="P853" s="11">
        <f>N853+O853</f>
        <v/>
      </c>
      <c r="Q853" s="12">
        <f>ABS(P853-$P$3)</f>
        <v/>
      </c>
    </row>
    <row r="854">
      <c r="D854" s="13" t="n">
        <v>852</v>
      </c>
      <c r="E854" s="14" t="n">
        <v>8.516082916368836</v>
      </c>
      <c r="F854" s="15" t="n">
        <v>1.165125312202972</v>
      </c>
      <c r="G854" s="16">
        <f>DEGREES(F854)</f>
        <v/>
      </c>
      <c r="H854" s="15" t="n">
        <v>9.473056955007612</v>
      </c>
      <c r="I854" s="16">
        <f>DEGREES(H854)</f>
        <v/>
      </c>
      <c r="J854" s="17" t="n">
        <v>0.6608539651958713</v>
      </c>
      <c r="K854" s="17" t="n">
        <v>2.028355072959625</v>
      </c>
      <c r="L854" s="18">
        <f>$B$5*$B$3*$B$6*SIN(F854)</f>
        <v/>
      </c>
      <c r="M854" s="18">
        <f>$B$9*K854*(SIN(F854))^2 + $B$8*($B$10+K854*COS(F854))*COS(F854)</f>
        <v/>
      </c>
      <c r="N854" s="18">
        <f>0.5*$B$9*(J854^2 + (K854*SIN(F854))^2) + 0.5*$B$8*($B$10 + K854*COS(F854))^2</f>
        <v/>
      </c>
      <c r="O854" s="18">
        <f>$B$3*$B$6*$B$5*COS(F854)</f>
        <v/>
      </c>
      <c r="P854" s="18">
        <f>N854+O854</f>
        <v/>
      </c>
      <c r="Q854" s="19">
        <f>ABS(P854-$P$3)</f>
        <v/>
      </c>
    </row>
    <row r="855">
      <c r="D855" s="6" t="n">
        <v>853</v>
      </c>
      <c r="E855" s="7" t="n">
        <v>8.526090064331665</v>
      </c>
      <c r="F855" s="8" t="n">
        <v>1.172026586890134</v>
      </c>
      <c r="G855" s="9">
        <f>DEGREES(F855)</f>
        <v/>
      </c>
      <c r="H855" s="8" t="n">
        <v>9.493184736023554</v>
      </c>
      <c r="I855" s="9">
        <f>DEGREES(H855)</f>
        <v/>
      </c>
      <c r="J855" s="10" t="n">
        <v>0.718054092502694</v>
      </c>
      <c r="K855" s="10" t="n">
        <v>1.993848699523813</v>
      </c>
      <c r="L855" s="11">
        <f>$B$5*$B$3*$B$6*SIN(F855)</f>
        <v/>
      </c>
      <c r="M855" s="11">
        <f>$B$9*K855*(SIN(F855))^2 + $B$8*($B$10+K855*COS(F855))*COS(F855)</f>
        <v/>
      </c>
      <c r="N855" s="11">
        <f>0.5*$B$9*(J855^2 + (K855*SIN(F855))^2) + 0.5*$B$8*($B$10 + K855*COS(F855))^2</f>
        <v/>
      </c>
      <c r="O855" s="11">
        <f>$B$3*$B$6*$B$5*COS(F855)</f>
        <v/>
      </c>
      <c r="P855" s="11">
        <f>N855+O855</f>
        <v/>
      </c>
      <c r="Q855" s="12">
        <f>ABS(P855-$P$3)</f>
        <v/>
      </c>
    </row>
    <row r="856">
      <c r="D856" s="13" t="n">
        <v>854</v>
      </c>
      <c r="E856" s="14" t="n">
        <v>8.536097212294496</v>
      </c>
      <c r="F856" s="15" t="n">
        <v>1.17948913831583</v>
      </c>
      <c r="G856" s="16">
        <f>DEGREES(F856)</f>
        <v/>
      </c>
      <c r="H856" s="15" t="n">
        <v>9.512953070631848</v>
      </c>
      <c r="I856" s="16">
        <f>DEGREES(H856)</f>
        <v/>
      </c>
      <c r="J856" s="17" t="n">
        <v>0.7729997719407593</v>
      </c>
      <c r="K856" s="17" t="n">
        <v>1.956535942395334</v>
      </c>
      <c r="L856" s="18">
        <f>$B$5*$B$3*$B$6*SIN(F856)</f>
        <v/>
      </c>
      <c r="M856" s="18">
        <f>$B$9*K856*(SIN(F856))^2 + $B$8*($B$10+K856*COS(F856))*COS(F856)</f>
        <v/>
      </c>
      <c r="N856" s="18">
        <f>0.5*$B$9*(J856^2 + (K856*SIN(F856))^2) + 0.5*$B$8*($B$10 + K856*COS(F856))^2</f>
        <v/>
      </c>
      <c r="O856" s="18">
        <f>$B$3*$B$6*$B$5*COS(F856)</f>
        <v/>
      </c>
      <c r="P856" s="18">
        <f>N856+O856</f>
        <v/>
      </c>
      <c r="Q856" s="19">
        <f>ABS(P856-$P$3)</f>
        <v/>
      </c>
    </row>
    <row r="857">
      <c r="D857" s="6" t="n">
        <v>855</v>
      </c>
      <c r="E857" s="7" t="n">
        <v>8.546104360257328</v>
      </c>
      <c r="F857" s="8" t="n">
        <v>1.187489536583433</v>
      </c>
      <c r="G857" s="9">
        <f>DEGREES(F857)</f>
        <v/>
      </c>
      <c r="H857" s="8" t="n">
        <v>9.532334453903136</v>
      </c>
      <c r="I857" s="9">
        <f>DEGREES(H857)</f>
        <v/>
      </c>
      <c r="J857" s="10" t="n">
        <v>0.8255184925931095</v>
      </c>
      <c r="K857" s="10" t="n">
        <v>1.916533951057317</v>
      </c>
      <c r="L857" s="11">
        <f>$B$5*$B$3*$B$6*SIN(F857)</f>
        <v/>
      </c>
      <c r="M857" s="11">
        <f>$B$9*K857*(SIN(F857))^2 + $B$8*($B$10+K857*COS(F857))*COS(F857)</f>
        <v/>
      </c>
      <c r="N857" s="11">
        <f>0.5*$B$9*(J857^2 + (K857*SIN(F857))^2) + 0.5*$B$8*($B$10 + K857*COS(F857))^2</f>
        <v/>
      </c>
      <c r="O857" s="11">
        <f>$B$3*$B$6*$B$5*COS(F857)</f>
        <v/>
      </c>
      <c r="P857" s="11">
        <f>N857+O857</f>
        <v/>
      </c>
      <c r="Q857" s="12">
        <f>ABS(P857-$P$3)</f>
        <v/>
      </c>
    </row>
    <row r="858">
      <c r="D858" s="13" t="n">
        <v>856</v>
      </c>
      <c r="E858" s="14" t="n">
        <v>8.556111508220157</v>
      </c>
      <c r="F858" s="15" t="n">
        <v>1.196002663138489</v>
      </c>
      <c r="G858" s="16">
        <f>DEGREES(F858)</f>
        <v/>
      </c>
      <c r="H858" s="15" t="n">
        <v>9.551302595804852</v>
      </c>
      <c r="I858" s="16">
        <f>DEGREES(H858)</f>
        <v/>
      </c>
      <c r="J858" s="17" t="n">
        <v>0.87544536337552</v>
      </c>
      <c r="K858" s="17" t="n">
        <v>1.873968318282037</v>
      </c>
      <c r="L858" s="18">
        <f>$B$5*$B$3*$B$6*SIN(F858)</f>
        <v/>
      </c>
      <c r="M858" s="18">
        <f>$B$9*K858*(SIN(F858))^2 + $B$8*($B$10+K858*COS(F858))*COS(F858)</f>
        <v/>
      </c>
      <c r="N858" s="18">
        <f>0.5*$B$9*(J858^2 + (K858*SIN(F858))^2) + 0.5*$B$8*($B$10 + K858*COS(F858))^2</f>
        <v/>
      </c>
      <c r="O858" s="18">
        <f>$B$3*$B$6*$B$5*COS(F858)</f>
        <v/>
      </c>
      <c r="P858" s="18">
        <f>N858+O858</f>
        <v/>
      </c>
      <c r="Q858" s="19">
        <f>ABS(P858-$P$3)</f>
        <v/>
      </c>
    </row>
    <row r="859">
      <c r="D859" s="6" t="n">
        <v>857</v>
      </c>
      <c r="E859" s="7" t="n">
        <v>8.566118656182988</v>
      </c>
      <c r="F859" s="8" t="n">
        <v>1.205001789632512</v>
      </c>
      <c r="G859" s="9">
        <f>DEGREES(F859)</f>
        <v/>
      </c>
      <c r="H859" s="8" t="n">
        <v>9.569832503743083</v>
      </c>
      <c r="I859" s="9">
        <f>DEGREES(H859)</f>
        <v/>
      </c>
      <c r="J859" s="10" t="n">
        <v>0.9226236307389314</v>
      </c>
      <c r="K859" s="10" t="n">
        <v>1.828972685811922</v>
      </c>
      <c r="L859" s="11">
        <f>$B$5*$B$3*$B$6*SIN(F859)</f>
        <v/>
      </c>
      <c r="M859" s="11">
        <f>$B$9*K859*(SIN(F859))^2 + $B$8*($B$10+K859*COS(F859))*COS(F859)</f>
        <v/>
      </c>
      <c r="N859" s="11">
        <f>0.5*$B$9*(J859^2 + (K859*SIN(F859))^2) + 0.5*$B$8*($B$10 + K859*COS(F859))^2</f>
        <v/>
      </c>
      <c r="O859" s="11">
        <f>$B$3*$B$6*$B$5*COS(F859)</f>
        <v/>
      </c>
      <c r="P859" s="11">
        <f>N859+O859</f>
        <v/>
      </c>
      <c r="Q859" s="12">
        <f>ABS(P859-$P$3)</f>
        <v/>
      </c>
    </row>
    <row r="860">
      <c r="D860" s="13" t="n">
        <v>858</v>
      </c>
      <c r="E860" s="14" t="n">
        <v>8.576125804145819</v>
      </c>
      <c r="F860" s="15" t="n">
        <v>1.214458661840981</v>
      </c>
      <c r="G860" s="16">
        <f>DEGREES(F860)</f>
        <v/>
      </c>
      <c r="H860" s="15" t="n">
        <v>9.58790056103086</v>
      </c>
      <c r="I860" s="16">
        <f>DEGREES(H860)</f>
        <v/>
      </c>
      <c r="J860" s="17" t="n">
        <v>0.9669051708227131</v>
      </c>
      <c r="K860" s="17" t="n">
        <v>1.781688324769577</v>
      </c>
      <c r="L860" s="18">
        <f>$B$5*$B$3*$B$6*SIN(F860)</f>
        <v/>
      </c>
      <c r="M860" s="18">
        <f>$B$9*K860*(SIN(F860))^2 + $B$8*($B$10+K860*COS(F860))*COS(F860)</f>
        <v/>
      </c>
      <c r="N860" s="18">
        <f>0.5*$B$9*(J860^2 + (K860*SIN(F860))^2) + 0.5*$B$8*($B$10 + K860*COS(F860))^2</f>
        <v/>
      </c>
      <c r="O860" s="18">
        <f>$B$3*$B$6*$B$5*COS(F860)</f>
        <v/>
      </c>
      <c r="P860" s="18">
        <f>N860+O860</f>
        <v/>
      </c>
      <c r="Q860" s="19">
        <f>ABS(P860-$P$3)</f>
        <v/>
      </c>
    </row>
    <row r="861">
      <c r="D861" s="6" t="n">
        <v>859</v>
      </c>
      <c r="E861" s="7" t="n">
        <v>8.586132952108649</v>
      </c>
      <c r="F861" s="8" t="n">
        <v>1.224343588372094</v>
      </c>
      <c r="G861" s="9">
        <f>DEGREES(F861)</f>
        <v/>
      </c>
      <c r="H861" s="8" t="n">
        <v>9.605484601036625</v>
      </c>
      <c r="I861" s="9">
        <f>DEGREES(H861)</f>
        <v/>
      </c>
      <c r="J861" s="10" t="n">
        <v>1.008150954513725</v>
      </c>
      <c r="K861" s="10" t="n">
        <v>1.732263692114014</v>
      </c>
      <c r="L861" s="11">
        <f>$B$5*$B$3*$B$6*SIN(F861)</f>
        <v/>
      </c>
      <c r="M861" s="11">
        <f>$B$9*K861*(SIN(F861))^2 + $B$8*($B$10+K861*COS(F861))*COS(F861)</f>
        <v/>
      </c>
      <c r="N861" s="11">
        <f>0.5*$B$9*(J861^2 + (K861*SIN(F861))^2) + 0.5*$B$8*($B$10 + K861*COS(F861))^2</f>
        <v/>
      </c>
      <c r="O861" s="11">
        <f>$B$3*$B$6*$B$5*COS(F861)</f>
        <v/>
      </c>
      <c r="P861" s="11">
        <f>N861+O861</f>
        <v/>
      </c>
      <c r="Q861" s="12">
        <f>ABS(P861-$P$3)</f>
        <v/>
      </c>
    </row>
    <row r="862">
      <c r="D862" s="13" t="n">
        <v>860</v>
      </c>
      <c r="E862" s="14" t="n">
        <v>8.59614010007148</v>
      </c>
      <c r="F862" s="15" t="n">
        <v>1.23462553388773</v>
      </c>
      <c r="G862" s="16">
        <f>DEGREES(F862)</f>
        <v/>
      </c>
      <c r="H862" s="15" t="n">
        <v>9.622563976779981</v>
      </c>
      <c r="I862" s="16">
        <f>DEGREES(H862)</f>
        <v/>
      </c>
      <c r="J862" s="17" t="n">
        <v>1.046231483950872</v>
      </c>
      <c r="K862" s="17" t="n">
        <v>1.680853964535832</v>
      </c>
      <c r="L862" s="18">
        <f>$B$5*$B$3*$B$6*SIN(F862)</f>
        <v/>
      </c>
      <c r="M862" s="18">
        <f>$B$9*K862*(SIN(F862))^2 + $B$8*($B$10+K862*COS(F862))*COS(F862)</f>
        <v/>
      </c>
      <c r="N862" s="18">
        <f>0.5*$B$9*(J862^2 + (K862*SIN(F862))^2) + 0.5*$B$8*($B$10 + K862*COS(F862))^2</f>
        <v/>
      </c>
      <c r="O862" s="18">
        <f>$B$3*$B$6*$B$5*COS(F862)</f>
        <v/>
      </c>
      <c r="P862" s="18">
        <f>N862+O862</f>
        <v/>
      </c>
      <c r="Q862" s="19">
        <f>ABS(P862-$P$3)</f>
        <v/>
      </c>
    </row>
    <row r="863">
      <c r="D863" s="6" t="n">
        <v>861</v>
      </c>
      <c r="E863" s="7" t="n">
        <v>8.606147248034311</v>
      </c>
      <c r="F863" s="8" t="n">
        <v>1.24527221654395</v>
      </c>
      <c r="G863" s="9">
        <f>DEGREES(F863)</f>
        <v/>
      </c>
      <c r="H863" s="8" t="n">
        <v>9.639119625756225</v>
      </c>
      <c r="I863" s="9">
        <f>DEGREES(H863)</f>
        <v/>
      </c>
      <c r="J863" s="10" t="n">
        <v>1.081027199104722</v>
      </c>
      <c r="K863" s="10" t="n">
        <v>1.627620551254731</v>
      </c>
      <c r="L863" s="11">
        <f>$B$5*$B$3*$B$6*SIN(F863)</f>
        <v/>
      </c>
      <c r="M863" s="11">
        <f>$B$9*K863*(SIN(F863))^2 + $B$8*($B$10+K863*COS(F863))*COS(F863)</f>
        <v/>
      </c>
      <c r="N863" s="11">
        <f>0.5*$B$9*(J863^2 + (K863*SIN(F863))^2) + 0.5*$B$8*($B$10 + K863*COS(F863))^2</f>
        <v/>
      </c>
      <c r="O863" s="11">
        <f>$B$3*$B$6*$B$5*COS(F863)</f>
        <v/>
      </c>
      <c r="P863" s="11">
        <f>N863+O863</f>
        <v/>
      </c>
      <c r="Q863" s="12">
        <f>ABS(P863-$P$3)</f>
        <v/>
      </c>
    </row>
    <row r="864">
      <c r="D864" s="13" t="n">
        <v>862</v>
      </c>
      <c r="E864" s="14" t="n">
        <v>8.616154395997141</v>
      </c>
      <c r="F864" s="15" t="n">
        <v>1.256250209345104</v>
      </c>
      <c r="G864" s="16">
        <f>DEGREES(F864)</f>
        <v/>
      </c>
      <c r="H864" s="15" t="n">
        <v>9.655134129786223</v>
      </c>
      <c r="I864" s="16">
        <f>DEGREES(H864)</f>
        <v/>
      </c>
      <c r="J864" s="17" t="n">
        <v>1.112428853155713</v>
      </c>
      <c r="K864" s="17" t="n">
        <v>1.57273058724896</v>
      </c>
      <c r="L864" s="18">
        <f>$B$5*$B$3*$B$6*SIN(F864)</f>
        <v/>
      </c>
      <c r="M864" s="18">
        <f>$B$9*K864*(SIN(F864))^2 + $B$8*($B$10+K864*COS(F864))*COS(F864)</f>
        <v/>
      </c>
      <c r="N864" s="18">
        <f>0.5*$B$9*(J864^2 + (K864*SIN(F864))^2) + 0.5*$B$8*($B$10 + K864*COS(F864))^2</f>
        <v/>
      </c>
      <c r="O864" s="18">
        <f>$B$3*$B$6*$B$5*COS(F864)</f>
        <v/>
      </c>
      <c r="P864" s="18">
        <f>N864+O864</f>
        <v/>
      </c>
      <c r="Q864" s="19">
        <f>ABS(P864-$P$3)</f>
        <v/>
      </c>
    </row>
    <row r="865">
      <c r="D865" s="6" t="n">
        <v>863</v>
      </c>
      <c r="E865" s="7" t="n">
        <v>8.626161543959972</v>
      </c>
      <c r="F865" s="8" t="n">
        <v>1.267525045093346</v>
      </c>
      <c r="G865" s="9">
        <f>DEGREES(F865)</f>
        <v/>
      </c>
      <c r="H865" s="8" t="n">
        <v>9.670591769703607</v>
      </c>
      <c r="I865" s="9">
        <f>DEGREES(H865)</f>
        <v/>
      </c>
      <c r="J865" s="10" t="n">
        <v>1.140337855492384</v>
      </c>
      <c r="K865" s="10" t="n">
        <v>1.516356408507755</v>
      </c>
      <c r="L865" s="11">
        <f>$B$5*$B$3*$B$6*SIN(F865)</f>
        <v/>
      </c>
      <c r="M865" s="11">
        <f>$B$9*K865*(SIN(F865))^2 + $B$8*($B$10+K865*COS(F865))*COS(F865)</f>
        <v/>
      </c>
      <c r="N865" s="11">
        <f>0.5*$B$9*(J865^2 + (K865*SIN(F865))^2) + 0.5*$B$8*($B$10 + K865*COS(F865))^2</f>
        <v/>
      </c>
      <c r="O865" s="11">
        <f>$B$3*$B$6*$B$5*COS(F865)</f>
        <v/>
      </c>
      <c r="P865" s="11">
        <f>N865+O865</f>
        <v/>
      </c>
      <c r="Q865" s="12">
        <f>ABS(P865-$P$3)</f>
        <v/>
      </c>
    </row>
    <row r="866">
      <c r="D866" s="13" t="n">
        <v>864</v>
      </c>
      <c r="E866" s="14" t="n">
        <v>8.636168691922803</v>
      </c>
      <c r="F866" s="15" t="n">
        <v>1.279061324604004</v>
      </c>
      <c r="G866" s="16">
        <f>DEGREES(F866)</f>
        <v/>
      </c>
      <c r="H866" s="15" t="n">
        <v>9.685478574707659</v>
      </c>
      <c r="I866" s="16">
        <f>DEGREES(H866)</f>
        <v/>
      </c>
      <c r="J866" s="17" t="n">
        <v>1.164666581252632</v>
      </c>
      <c r="K866" s="17" t="n">
        <v>1.458675010954464</v>
      </c>
      <c r="L866" s="18">
        <f>$B$5*$B$3*$B$6*SIN(F866)</f>
        <v/>
      </c>
      <c r="M866" s="18">
        <f>$B$9*K866*(SIN(F866))^2 + $B$8*($B$10+K866*COS(F866))*COS(F866)</f>
        <v/>
      </c>
      <c r="N866" s="18">
        <f>0.5*$B$9*(J866^2 + (K866*SIN(F866))^2) + 0.5*$B$8*($B$10 + K866*COS(F866))^2</f>
        <v/>
      </c>
      <c r="O866" s="18">
        <f>$B$3*$B$6*$B$5*COS(F866)</f>
        <v/>
      </c>
      <c r="P866" s="18">
        <f>N866+O866</f>
        <v/>
      </c>
      <c r="Q866" s="19">
        <f>ABS(P866-$P$3)</f>
        <v/>
      </c>
    </row>
    <row r="867">
      <c r="D867" s="6" t="n">
        <v>865</v>
      </c>
      <c r="E867" s="7" t="n">
        <v>8.646175839885633</v>
      </c>
      <c r="F867" s="8" t="n">
        <v>1.290822827847097</v>
      </c>
      <c r="G867" s="9">
        <f>DEGREES(F867)</f>
        <v/>
      </c>
      <c r="H867" s="8" t="n">
        <v>9.699782366226914</v>
      </c>
      <c r="I867" s="9">
        <f>DEGREES(H867)</f>
        <v/>
      </c>
      <c r="J867" s="10" t="n">
        <v>1.185338646436254</v>
      </c>
      <c r="K867" s="10" t="n">
        <v>1.399867494738999</v>
      </c>
      <c r="L867" s="11">
        <f>$B$5*$B$3*$B$6*SIN(F867)</f>
        <v/>
      </c>
      <c r="M867" s="11">
        <f>$B$9*K867*(SIN(F867))^2 + $B$8*($B$10+K867*COS(F867))*COS(F867)</f>
        <v/>
      </c>
      <c r="N867" s="11">
        <f>0.5*$B$9*(J867^2 + (K867*SIN(F867))^2) + 0.5*$B$8*($B$10 + K867*COS(F867))^2</f>
        <v/>
      </c>
      <c r="O867" s="11">
        <f>$B$3*$B$6*$B$5*COS(F867)</f>
        <v/>
      </c>
      <c r="P867" s="11">
        <f>N867+O867</f>
        <v/>
      </c>
      <c r="Q867" s="12">
        <f>ABS(P867-$P$3)</f>
        <v/>
      </c>
    </row>
    <row r="868">
      <c r="D868" s="13" t="n">
        <v>866</v>
      </c>
      <c r="E868" s="14" t="n">
        <v>8.656182987848464</v>
      </c>
      <c r="F868" s="15" t="n">
        <v>1.302772627666031</v>
      </c>
      <c r="G868" s="16">
        <f>DEGREES(F868)</f>
        <v/>
      </c>
      <c r="H868" s="15" t="n">
        <v>9.713492796155791</v>
      </c>
      <c r="I868" s="16">
        <f>DEGREES(H868)</f>
        <v/>
      </c>
      <c r="J868" s="17" t="n">
        <v>1.202289147724996</v>
      </c>
      <c r="K868" s="17" t="n">
        <v>1.34011849564433</v>
      </c>
      <c r="L868" s="18">
        <f>$B$5*$B$3*$B$6*SIN(F868)</f>
        <v/>
      </c>
      <c r="M868" s="18">
        <f>$B$9*K868*(SIN(F868))^2 + $B$8*($B$10+K868*COS(F868))*COS(F868)</f>
        <v/>
      </c>
      <c r="N868" s="18">
        <f>0.5*$B$9*(J868^2 + (K868*SIN(F868))^2) + 0.5*$B$8*($B$10 + K868*COS(F868))^2</f>
        <v/>
      </c>
      <c r="O868" s="18">
        <f>$B$3*$B$6*$B$5*COS(F868)</f>
        <v/>
      </c>
      <c r="P868" s="18">
        <f>N868+O868</f>
        <v/>
      </c>
      <c r="Q868" s="19">
        <f>ABS(P868-$P$3)</f>
        <v/>
      </c>
    </row>
    <row r="869">
      <c r="D869" s="6" t="n">
        <v>867</v>
      </c>
      <c r="E869" s="7" t="n">
        <v>8.666190135811295</v>
      </c>
      <c r="F869" s="8" t="n">
        <v>1.314873205716412</v>
      </c>
      <c r="G869" s="9">
        <f>DEGREES(F869)</f>
        <v/>
      </c>
      <c r="H869" s="8" t="n">
        <v>9.726601379344126</v>
      </c>
      <c r="I869" s="9">
        <f>DEGREES(H869)</f>
        <v/>
      </c>
      <c r="J869" s="10" t="n">
        <v>1.215464866257067</v>
      </c>
      <c r="K869" s="10" t="n">
        <v>1.279615605392421</v>
      </c>
      <c r="L869" s="11">
        <f>$B$5*$B$3*$B$6*SIN(F869)</f>
        <v/>
      </c>
      <c r="M869" s="11">
        <f>$B$9*K869*(SIN(F869))^2 + $B$8*($B$10+K869*COS(F869))*COS(F869)</f>
        <v/>
      </c>
      <c r="N869" s="11">
        <f>0.5*$B$9*(J869^2 + (K869*SIN(F869))^2) + 0.5*$B$8*($B$10 + K869*COS(F869))^2</f>
        <v/>
      </c>
      <c r="O869" s="11">
        <f>$B$3*$B$6*$B$5*COS(F869)</f>
        <v/>
      </c>
      <c r="P869" s="11">
        <f>N869+O869</f>
        <v/>
      </c>
      <c r="Q869" s="12">
        <f>ABS(P869-$P$3)</f>
        <v/>
      </c>
    </row>
    <row r="870">
      <c r="D870" s="13" t="n">
        <v>868</v>
      </c>
      <c r="E870" s="14" t="n">
        <v>8.676197283774124</v>
      </c>
      <c r="F870" s="15" t="n">
        <v>1.327086570261015</v>
      </c>
      <c r="G870" s="16">
        <f>DEGREES(F870)</f>
        <v/>
      </c>
      <c r="H870" s="15" t="n">
        <v>9.739101520237705</v>
      </c>
      <c r="I870" s="16">
        <f>DEGREES(H870)</f>
        <v/>
      </c>
      <c r="J870" s="17" t="n">
        <v>1.224824434716446</v>
      </c>
      <c r="K870" s="17" t="n">
        <v>1.21854878266941</v>
      </c>
      <c r="L870" s="18">
        <f>$B$5*$B$3*$B$6*SIN(F870)</f>
        <v/>
      </c>
      <c r="M870" s="18">
        <f>$B$9*K870*(SIN(F870))^2 + $B$8*($B$10+K870*COS(F870))*COS(F870)</f>
        <v/>
      </c>
      <c r="N870" s="18">
        <f>0.5*$B$9*(J870^2 + (K870*SIN(F870))^2) + 0.5*$B$8*($B$10 + K870*COS(F870))^2</f>
        <v/>
      </c>
      <c r="O870" s="18">
        <f>$B$3*$B$6*$B$5*COS(F870)</f>
        <v/>
      </c>
      <c r="P870" s="18">
        <f>N870+O870</f>
        <v/>
      </c>
      <c r="Q870" s="19">
        <f>ABS(P870-$P$3)</f>
        <v/>
      </c>
    </row>
    <row r="871">
      <c r="D871" s="6" t="n">
        <v>869</v>
      </c>
      <c r="E871" s="7" t="n">
        <v>8.686204431736956</v>
      </c>
      <c r="F871" s="8" t="n">
        <v>1.339374375451032</v>
      </c>
      <c r="G871" s="9">
        <f>DEGREES(F871)</f>
        <v/>
      </c>
      <c r="H871" s="8" t="n">
        <v>9.750988533586085</v>
      </c>
      <c r="I871" s="9">
        <f>DEGREES(H871)</f>
        <v/>
      </c>
      <c r="J871" s="10" t="n">
        <v>1.230338467212315</v>
      </c>
      <c r="K871" s="10" t="n">
        <v>1.157109756719322</v>
      </c>
      <c r="L871" s="11">
        <f>$B$5*$B$3*$B$6*SIN(F871)</f>
        <v/>
      </c>
      <c r="M871" s="11">
        <f>$B$9*K871*(SIN(F871))^2 + $B$8*($B$10+K871*COS(F871))*COS(F871)</f>
        <v/>
      </c>
      <c r="N871" s="11">
        <f>0.5*$B$9*(J871^2 + (K871*SIN(F871))^2) + 0.5*$B$8*($B$10 + K871*COS(F871))^2</f>
        <v/>
      </c>
      <c r="O871" s="11">
        <f>$B$3*$B$6*$B$5*COS(F871)</f>
        <v/>
      </c>
      <c r="P871" s="11">
        <f>N871+O871</f>
        <v/>
      </c>
      <c r="Q871" s="12">
        <f>ABS(P871-$P$3)</f>
        <v/>
      </c>
    </row>
    <row r="872">
      <c r="D872" s="13" t="n">
        <v>870</v>
      </c>
      <c r="E872" s="14" t="n">
        <v>8.696211579699787</v>
      </c>
      <c r="F872" s="15" t="n">
        <v>1.351698041719111</v>
      </c>
      <c r="G872" s="16">
        <f>DEGREES(F872)</f>
        <v/>
      </c>
      <c r="H872" s="15" t="n">
        <v>9.762259659152681</v>
      </c>
      <c r="I872" s="16">
        <f>DEGREES(H872)</f>
        <v/>
      </c>
      <c r="J872" s="17" t="n">
        <v>1.231989651540844</v>
      </c>
      <c r="K872" s="17" t="n">
        <v>1.095491425378929</v>
      </c>
      <c r="L872" s="18">
        <f>$B$5*$B$3*$B$6*SIN(F872)</f>
        <v/>
      </c>
      <c r="M872" s="18">
        <f>$B$9*K872*(SIN(F872))^2 + $B$8*($B$10+K872*COS(F872))*COS(F872)</f>
        <v/>
      </c>
      <c r="N872" s="18">
        <f>0.5*$B$9*(J872^2 + (K872*SIN(F872))^2) + 0.5*$B$8*($B$10 + K872*COS(F872))^2</f>
        <v/>
      </c>
      <c r="O872" s="18">
        <f>$B$3*$B$6*$B$5*COS(F872)</f>
        <v/>
      </c>
      <c r="P872" s="18">
        <f>N872+O872</f>
        <v/>
      </c>
      <c r="Q872" s="19">
        <f>ABS(P872-$P$3)</f>
        <v/>
      </c>
    </row>
    <row r="873">
      <c r="D873" s="6" t="n">
        <v>871</v>
      </c>
      <c r="E873" s="7" t="n">
        <v>8.706218727662616</v>
      </c>
      <c r="F873" s="8" t="n">
        <v>1.364018876906201</v>
      </c>
      <c r="G873" s="9">
        <f>DEGREES(F873)</f>
        <v/>
      </c>
      <c r="H873" s="8" t="n">
        <v>9.772914070380997</v>
      </c>
      <c r="I873" s="9">
        <f>DEGREES(H873)</f>
        <v/>
      </c>
      <c r="J873" s="10" t="n">
        <v>1.229772803539684</v>
      </c>
      <c r="K873" s="10" t="n">
        <v>1.03388724944348</v>
      </c>
      <c r="L873" s="11">
        <f>$B$5*$B$3*$B$6*SIN(F873)</f>
        <v/>
      </c>
      <c r="M873" s="11">
        <f>$B$9*K873*(SIN(F873))^2 + $B$8*($B$10+K873*COS(F873))*COS(F873)</f>
        <v/>
      </c>
      <c r="N873" s="11">
        <f>0.5*$B$9*(J873^2 + (K873*SIN(F873))^2) + 0.5*$B$8*($B$10 + K873*COS(F873))^2</f>
        <v/>
      </c>
      <c r="O873" s="11">
        <f>$B$3*$B$6*$B$5*COS(F873)</f>
        <v/>
      </c>
      <c r="P873" s="11">
        <f>N873+O873</f>
        <v/>
      </c>
      <c r="Q873" s="12">
        <f>ABS(P873-$P$3)</f>
        <v/>
      </c>
    </row>
    <row r="874">
      <c r="D874" s="13" t="n">
        <v>872</v>
      </c>
      <c r="E874" s="14" t="n">
        <v>8.716225875625447</v>
      </c>
      <c r="F874" s="15" t="n">
        <v>1.376298197741897</v>
      </c>
      <c r="G874" s="16">
        <f>DEGREES(F874)</f>
        <v/>
      </c>
      <c r="H874" s="15" t="n">
        <v>9.782952876989729</v>
      </c>
      <c r="I874" s="16">
        <f>DEGREES(H874)</f>
        <v/>
      </c>
      <c r="J874" s="17" t="n">
        <v>1.22369488336449</v>
      </c>
      <c r="K874" s="17" t="n">
        <v>0.9724906452649997</v>
      </c>
      <c r="L874" s="18">
        <f>$B$5*$B$3*$B$6*SIN(F874)</f>
        <v/>
      </c>
      <c r="M874" s="18">
        <f>$B$9*K874*(SIN(F874))^2 + $B$8*($B$10+K874*COS(F874))*COS(F874)</f>
        <v/>
      </c>
      <c r="N874" s="18">
        <f>0.5*$B$9*(J874^2 + (K874*SIN(F874))^2) + 0.5*$B$8*($B$10 + K874*COS(F874))^2</f>
        <v/>
      </c>
      <c r="O874" s="18">
        <f>$B$3*$B$6*$B$5*COS(F874)</f>
        <v/>
      </c>
      <c r="P874" s="18">
        <f>N874+O874</f>
        <v/>
      </c>
      <c r="Q874" s="19">
        <f>ABS(P874-$P$3)</f>
        <v/>
      </c>
    </row>
    <row r="875">
      <c r="D875" s="6" t="n">
        <v>873</v>
      </c>
      <c r="E875" s="7" t="n">
        <v>8.726233023588279</v>
      </c>
      <c r="F875" s="8" t="n">
        <v>1.388497451296858</v>
      </c>
      <c r="G875" s="9">
        <f>DEGREES(F875)</f>
        <v/>
      </c>
      <c r="H875" s="8" t="n">
        <v>9.79237912148862</v>
      </c>
      <c r="I875" s="9">
        <f>DEGREES(H875)</f>
        <v/>
      </c>
      <c r="J875" s="10" t="n">
        <v>1.213774973636374</v>
      </c>
      <c r="K875" s="10" t="n">
        <v>0.9114943774901945</v>
      </c>
      <c r="L875" s="11">
        <f>$B$5*$B$3*$B$6*SIN(F875)</f>
        <v/>
      </c>
      <c r="M875" s="11">
        <f>$B$9*K875*(SIN(F875))^2 + $B$8*($B$10+K875*COS(F875))*COS(F875)</f>
        <v/>
      </c>
      <c r="N875" s="11">
        <f>0.5*$B$9*(J875^2 + (K875*SIN(F875))^2) + 0.5*$B$8*($B$10 + K875*COS(F875))^2</f>
        <v/>
      </c>
      <c r="O875" s="11">
        <f>$B$3*$B$6*$B$5*COS(F875)</f>
        <v/>
      </c>
      <c r="P875" s="11">
        <f>N875+O875</f>
        <v/>
      </c>
      <c r="Q875" s="12">
        <f>ABS(P875-$P$3)</f>
        <v/>
      </c>
    </row>
    <row r="876">
      <c r="D876" s="13" t="n">
        <v>874</v>
      </c>
      <c r="E876" s="14" t="n">
        <v>8.736240171551108</v>
      </c>
      <c r="F876" s="15" t="n">
        <v>1.400578336026026</v>
      </c>
      <c r="G876" s="16">
        <f>DEGREES(F876)</f>
        <v/>
      </c>
      <c r="H876" s="15" t="n">
        <v>9.801197769626008</v>
      </c>
      <c r="I876" s="16">
        <f>DEGREES(H876)</f>
        <v/>
      </c>
      <c r="J876" s="17" t="n">
        <v>1.20004421952891</v>
      </c>
      <c r="K876" s="17" t="n">
        <v>0.8510899538443503</v>
      </c>
      <c r="L876" s="18">
        <f>$B$5*$B$3*$B$6*SIN(F876)</f>
        <v/>
      </c>
      <c r="M876" s="18">
        <f>$B$9*K876*(SIN(F876))^2 + $B$8*($B$10+K876*COS(F876))*COS(F876)</f>
        <v/>
      </c>
      <c r="N876" s="18">
        <f>0.5*$B$9*(J876^2 + (K876*SIN(F876))^2) + 0.5*$B$8*($B$10 + K876*COS(F876))^2</f>
        <v/>
      </c>
      <c r="O876" s="18">
        <f>$B$3*$B$6*$B$5*COS(F876)</f>
        <v/>
      </c>
      <c r="P876" s="18">
        <f>N876+O876</f>
        <v/>
      </c>
      <c r="Q876" s="19">
        <f>ABS(P876-$P$3)</f>
        <v/>
      </c>
    </row>
    <row r="877">
      <c r="D877" s="6" t="n">
        <v>875</v>
      </c>
      <c r="E877" s="7" t="n">
        <v>8.746247319513939</v>
      </c>
      <c r="F877" s="8" t="n">
        <v>1.412502922022572</v>
      </c>
      <c r="G877" s="9">
        <f>DEGREES(F877)</f>
        <v/>
      </c>
      <c r="H877" s="8" t="n">
        <v>9.809415694798046</v>
      </c>
      <c r="I877" s="9">
        <f>DEGREES(H877)</f>
        <v/>
      </c>
      <c r="J877" s="10" t="n">
        <v>1.182545730982776</v>
      </c>
      <c r="K877" s="10" t="n">
        <v>0.791467023861623</v>
      </c>
      <c r="L877" s="11">
        <f>$B$5*$B$3*$B$6*SIN(F877)</f>
        <v/>
      </c>
      <c r="M877" s="11">
        <f>$B$9*K877*(SIN(F877))^2 + $B$8*($B$10+K877*COS(F877))*COS(F877)</f>
        <v/>
      </c>
      <c r="N877" s="11">
        <f>0.5*$B$9*(J877^2 + (K877*SIN(F877))^2) + 0.5*$B$8*($B$10 + K877*COS(F877))^2</f>
        <v/>
      </c>
      <c r="O877" s="11">
        <f>$B$3*$B$6*$B$5*COS(F877)</f>
        <v/>
      </c>
      <c r="P877" s="11">
        <f>N877+O877</f>
        <v/>
      </c>
      <c r="Q877" s="12">
        <f>ABS(P877-$P$3)</f>
        <v/>
      </c>
    </row>
    <row r="878">
      <c r="D878" s="13" t="n">
        <v>876</v>
      </c>
      <c r="E878" s="14" t="n">
        <v>8.75625446747677</v>
      </c>
      <c r="F878" s="15" t="n">
        <v>1.424233770105008</v>
      </c>
      <c r="G878" s="16">
        <f>DEGREES(F878)</f>
        <v/>
      </c>
      <c r="H878" s="15" t="n">
        <v>9.817041656468563</v>
      </c>
      <c r="I878" s="16">
        <f>DEGREES(H878)</f>
        <v/>
      </c>
      <c r="J878" s="17" t="n">
        <v>1.161334447355078</v>
      </c>
      <c r="K878" s="17" t="n">
        <v>0.7328127834494422</v>
      </c>
      <c r="L878" s="18">
        <f>$B$5*$B$3*$B$6*SIN(F878)</f>
        <v/>
      </c>
      <c r="M878" s="18">
        <f>$B$9*K878*(SIN(F878))^2 + $B$8*($B$10+K878*COS(F878))*COS(F878)</f>
        <v/>
      </c>
      <c r="N878" s="18">
        <f>0.5*$B$9*(J878^2 + (K878*SIN(F878))^2) + 0.5*$B$8*($B$10 + K878*COS(F878))^2</f>
        <v/>
      </c>
      <c r="O878" s="18">
        <f>$B$3*$B$6*$B$5*COS(F878)</f>
        <v/>
      </c>
      <c r="P878" s="18">
        <f>N878+O878</f>
        <v/>
      </c>
      <c r="Q878" s="19">
        <f>ABS(P878-$P$3)</f>
        <v/>
      </c>
    </row>
    <row r="879">
      <c r="D879" s="6" t="n">
        <v>877</v>
      </c>
      <c r="E879" s="7" t="n">
        <v>8.7662616154396</v>
      </c>
      <c r="F879" s="8" t="n">
        <v>1.435734049363606</v>
      </c>
      <c r="G879" s="9">
        <f>DEGREES(F879)</f>
        <v/>
      </c>
      <c r="H879" s="8" t="n">
        <v>9.82408627266728</v>
      </c>
      <c r="I879" s="9">
        <f>DEGREES(H879)</f>
        <v/>
      </c>
      <c r="J879" s="10" t="n">
        <v>1.136476964928288</v>
      </c>
      <c r="K879" s="10" t="n">
        <v>0.6753113871564533</v>
      </c>
      <c r="L879" s="11">
        <f>$B$5*$B$3*$B$6*SIN(F879)</f>
        <v/>
      </c>
      <c r="M879" s="11">
        <f>$B$9*K879*(SIN(F879))^2 + $B$8*($B$10+K879*COS(F879))*COS(F879)</f>
        <v/>
      </c>
      <c r="N879" s="11">
        <f>0.5*$B$9*(J879^2 + (K879*SIN(F879))^2) + 0.5*$B$8*($B$10 + K879*COS(F879))^2</f>
        <v/>
      </c>
      <c r="O879" s="11">
        <f>$B$3*$B$6*$B$5*COS(F879)</f>
        <v/>
      </c>
      <c r="P879" s="11">
        <f>N879+O879</f>
        <v/>
      </c>
      <c r="Q879" s="12">
        <f>ABS(P879-$P$3)</f>
        <v/>
      </c>
    </row>
    <row r="880">
      <c r="D880" s="13" t="n">
        <v>878</v>
      </c>
      <c r="E880" s="14" t="n">
        <v>8.776268763402431</v>
      </c>
      <c r="F880" s="15" t="n">
        <v>1.446967652797051</v>
      </c>
      <c r="G880" s="16">
        <f>DEGREES(F880)</f>
        <v/>
      </c>
      <c r="H880" s="15" t="n">
        <v>9.830561986652805</v>
      </c>
      <c r="I880" s="16">
        <f>DEGREES(H880)</f>
        <v/>
      </c>
      <c r="J880" s="17" t="n">
        <v>1.108051327820332</v>
      </c>
      <c r="K880" s="17" t="n">
        <v>0.6191433699892269</v>
      </c>
      <c r="L880" s="18">
        <f>$B$5*$B$3*$B$6*SIN(F880)</f>
        <v/>
      </c>
      <c r="M880" s="18">
        <f>$B$9*K880*(SIN(F880))^2 + $B$8*($B$10+K880*COS(F880))*COS(F880)</f>
        <v/>
      </c>
      <c r="N880" s="18">
        <f>0.5*$B$9*(J880^2 + (K880*SIN(F880))^2) + 0.5*$B$8*($B$10 + K880*COS(F880))^2</f>
        <v/>
      </c>
      <c r="O880" s="18">
        <f>$B$3*$B$6*$B$5*COS(F880)</f>
        <v/>
      </c>
      <c r="P880" s="18">
        <f>N880+O880</f>
        <v/>
      </c>
      <c r="Q880" s="19">
        <f>ABS(P880-$P$3)</f>
        <v/>
      </c>
    </row>
    <row r="881">
      <c r="D881" s="6" t="n">
        <v>879</v>
      </c>
      <c r="E881" s="7" t="n">
        <v>8.786275911365262</v>
      </c>
      <c r="F881" s="8" t="n">
        <v>1.457899310676247</v>
      </c>
      <c r="G881" s="9">
        <f>DEGREES(F881)</f>
        <v/>
      </c>
      <c r="H881" s="8" t="n">
        <v>9.836483027844963</v>
      </c>
      <c r="I881" s="9">
        <f>DEGREES(H881)</f>
        <v/>
      </c>
      <c r="J881" s="10" t="n">
        <v>1.076146782952391</v>
      </c>
      <c r="K881" s="10" t="n">
        <v>0.5644850805932459</v>
      </c>
      <c r="L881" s="11">
        <f>$B$5*$B$3*$B$6*SIN(F881)</f>
        <v/>
      </c>
      <c r="M881" s="11">
        <f>$B$9*K881*(SIN(F881))^2 + $B$8*($B$10+K881*COS(F881))*COS(F881)</f>
        <v/>
      </c>
      <c r="N881" s="11">
        <f>0.5*$B$9*(J881^2 + (K881*SIN(F881))^2) + 0.5*$B$8*($B$10 + K881*COS(F881))^2</f>
        <v/>
      </c>
      <c r="O881" s="11">
        <f>$B$3*$B$6*$B$5*COS(F881)</f>
        <v/>
      </c>
      <c r="P881" s="11">
        <f>N881+O881</f>
        <v/>
      </c>
      <c r="Q881" s="12">
        <f>ABS(P881-$P$3)</f>
        <v/>
      </c>
    </row>
    <row r="882">
      <c r="D882" s="13" t="n">
        <v>880</v>
      </c>
      <c r="E882" s="14" t="n">
        <v>8.796283059328092</v>
      </c>
      <c r="F882" s="15" t="n">
        <v>1.46849470127938</v>
      </c>
      <c r="G882" s="16">
        <f>DEGREES(F882)</f>
        <v/>
      </c>
      <c r="H882" s="15" t="n">
        <v>9.841865367149238</v>
      </c>
      <c r="I882" s="16">
        <f>DEGREES(H882)</f>
        <v/>
      </c>
      <c r="J882" s="17" t="n">
        <v>1.040863499843643</v>
      </c>
      <c r="K882" s="17" t="n">
        <v>0.511508127577584</v>
      </c>
      <c r="L882" s="18">
        <f>$B$5*$B$3*$B$6*SIN(F882)</f>
        <v/>
      </c>
      <c r="M882" s="18">
        <f>$B$9*K882*(SIN(F882))^2 + $B$8*($B$10+K882*COS(F882))*COS(F882)</f>
        <v/>
      </c>
      <c r="N882" s="18">
        <f>0.5*$B$9*(J882^2 + (K882*SIN(F882))^2) + 0.5*$B$8*($B$10 + K882*COS(F882))^2</f>
        <v/>
      </c>
      <c r="O882" s="18">
        <f>$B$3*$B$6*$B$5*COS(F882)</f>
        <v/>
      </c>
      <c r="P882" s="18">
        <f>N882+O882</f>
        <v/>
      </c>
      <c r="Q882" s="19">
        <f>ABS(P882-$P$3)</f>
        <v/>
      </c>
    </row>
    <row r="883">
      <c r="D883" s="6" t="n">
        <v>881</v>
      </c>
      <c r="E883" s="7" t="n">
        <v>8.806290207290923</v>
      </c>
      <c r="F883" s="8" t="n">
        <v>1.478720558650568</v>
      </c>
      <c r="G883" s="9">
        <f>DEGREES(F883)</f>
        <v/>
      </c>
      <c r="H883" s="8" t="n">
        <v>9.846726666813495</v>
      </c>
      <c r="I883" s="9">
        <f>DEGREES(H883)</f>
        <v/>
      </c>
      <c r="J883" s="10" t="n">
        <v>1.002312256112695</v>
      </c>
      <c r="K883" s="10" t="n">
        <v>0.4603788407216446</v>
      </c>
      <c r="L883" s="11">
        <f>$B$5*$B$3*$B$6*SIN(F883)</f>
        <v/>
      </c>
      <c r="M883" s="11">
        <f>$B$9*K883*(SIN(F883))^2 + $B$8*($B$10+K883*COS(F883))*COS(F883)</f>
        <v/>
      </c>
      <c r="N883" s="11">
        <f>0.5*$B$9*(J883^2 + (K883*SIN(F883))^2) + 0.5*$B$8*($B$10 + K883*COS(F883))^2</f>
        <v/>
      </c>
      <c r="O883" s="11">
        <f>$B$3*$B$6*$B$5*COS(F883)</f>
        <v/>
      </c>
      <c r="P883" s="11">
        <f>N883+O883</f>
        <v/>
      </c>
      <c r="Q883" s="12">
        <f>ABS(P883-$P$3)</f>
        <v/>
      </c>
    </row>
    <row r="884">
      <c r="D884" s="13" t="n">
        <v>882</v>
      </c>
      <c r="E884" s="14" t="n">
        <v>8.816297355253754</v>
      </c>
      <c r="F884" s="15" t="n">
        <v>1.488544777043742</v>
      </c>
      <c r="G884" s="16">
        <f>DEGREES(F884)</f>
        <v/>
      </c>
      <c r="H884" s="15" t="n">
        <v>9.85108622497448</v>
      </c>
      <c r="I884" s="16">
        <f>DEGREES(H884)</f>
        <v/>
      </c>
      <c r="J884" s="17" t="n">
        <v>0.9606140896732348</v>
      </c>
      <c r="K884" s="17" t="n">
        <v>0.4112577487557733</v>
      </c>
      <c r="L884" s="18">
        <f>$B$5*$B$3*$B$6*SIN(F884)</f>
        <v/>
      </c>
      <c r="M884" s="18">
        <f>$B$9*K884*(SIN(F884))^2 + $B$8*($B$10+K884*COS(F884))*COS(F884)</f>
        <v/>
      </c>
      <c r="N884" s="18">
        <f>0.5*$B$9*(J884^2 + (K884*SIN(F884))^2) + 0.5*$B$8*($B$10 + K884*COS(F884))^2</f>
        <v/>
      </c>
      <c r="O884" s="18">
        <f>$B$3*$B$6*$B$5*COS(F884)</f>
        <v/>
      </c>
      <c r="P884" s="18">
        <f>N884+O884</f>
        <v/>
      </c>
      <c r="Q884" s="19">
        <f>ABS(P884-$P$3)</f>
        <v/>
      </c>
    </row>
    <row r="885">
      <c r="D885" s="6" t="n">
        <v>883</v>
      </c>
      <c r="E885" s="7" t="n">
        <v>8.826304503216583</v>
      </c>
      <c r="F885" s="8" t="n">
        <v>1.497936511723874</v>
      </c>
      <c r="G885" s="9">
        <f>DEGREES(F885)</f>
        <v/>
      </c>
      <c r="H885" s="8" t="n">
        <v>9.854964915068178</v>
      </c>
      <c r="I885" s="9">
        <f>DEGREES(H885)</f>
        <v/>
      </c>
      <c r="J885" s="10" t="n">
        <v>0.9158999187157532</v>
      </c>
      <c r="K885" s="10" t="n">
        <v>0.3642990753551146</v>
      </c>
      <c r="L885" s="11">
        <f>$B$5*$B$3*$B$6*SIN(F885)</f>
        <v/>
      </c>
      <c r="M885" s="11">
        <f>$B$9*K885*(SIN(F885))^2 + $B$8*($B$10+K885*COS(F885))*COS(F885)</f>
        <v/>
      </c>
      <c r="N885" s="11">
        <f>0.5*$B$9*(J885^2 + (K885*SIN(F885))^2) + 0.5*$B$8*($B$10 + K885*COS(F885))^2</f>
        <v/>
      </c>
      <c r="O885" s="11">
        <f>$B$3*$B$6*$B$5*COS(F885)</f>
        <v/>
      </c>
      <c r="P885" s="11">
        <f>N885+O885</f>
        <v/>
      </c>
      <c r="Q885" s="12">
        <f>ABS(P885-$P$3)</f>
        <v/>
      </c>
    </row>
    <row r="886">
      <c r="D886" s="13" t="n">
        <v>884</v>
      </c>
      <c r="E886" s="14" t="n">
        <v>8.836311651179415</v>
      </c>
      <c r="F886" s="15" t="n">
        <v>1.506866275809052</v>
      </c>
      <c r="G886" s="16">
        <f>DEGREES(F886)</f>
        <v/>
      </c>
      <c r="H886" s="15" t="n">
        <v>9.858385120294251</v>
      </c>
      <c r="I886" s="16">
        <f>DEGREES(H886)</f>
        <v/>
      </c>
      <c r="J886" s="17" t="n">
        <v>0.8683101306685219</v>
      </c>
      <c r="K886" s="17" t="n">
        <v>0.3196502549292229</v>
      </c>
      <c r="L886" s="18">
        <f>$B$5*$B$3*$B$6*SIN(F886)</f>
        <v/>
      </c>
      <c r="M886" s="18">
        <f>$B$9*K886*(SIN(F886))^2 + $B$8*($B$10+K886*COS(F886))*COS(F886)</f>
        <v/>
      </c>
      <c r="N886" s="18">
        <f>0.5*$B$9*(J886^2 + (K886*SIN(F886))^2) + 0.5*$B$8*($B$10 + K886*COS(F886))^2</f>
        <v/>
      </c>
      <c r="O886" s="18">
        <f>$B$3*$B$6*$B$5*COS(F886)</f>
        <v/>
      </c>
      <c r="P886" s="18">
        <f>N886+O886</f>
        <v/>
      </c>
      <c r="Q886" s="19">
        <f>ABS(P886-$P$3)</f>
        <v/>
      </c>
    </row>
    <row r="887">
      <c r="D887" s="6" t="n">
        <v>885</v>
      </c>
      <c r="E887" s="7" t="n">
        <v>8.846318799142246</v>
      </c>
      <c r="F887" s="8" t="n">
        <v>1.515306032849345</v>
      </c>
      <c r="G887" s="9">
        <f>DEGREES(F887)</f>
        <v/>
      </c>
      <c r="H887" s="8" t="n">
        <v>9.861370663340342</v>
      </c>
      <c r="I887" s="9">
        <f>DEGREES(H887)</f>
        <v/>
      </c>
      <c r="J887" s="10" t="n">
        <v>0.8179941414284367</v>
      </c>
      <c r="K887" s="10" t="n">
        <v>0.2774514697277582</v>
      </c>
      <c r="L887" s="11">
        <f>$B$5*$B$3*$B$6*SIN(F887)</f>
        <v/>
      </c>
      <c r="M887" s="11">
        <f>$B$9*K887*(SIN(F887))^2 + $B$8*($B$10+K887*COS(F887))*COS(F887)</f>
        <v/>
      </c>
      <c r="N887" s="11">
        <f>0.5*$B$9*(J887^2 + (K887*SIN(F887))^2) + 0.5*$B$8*($B$10 + K887*COS(F887))^2</f>
        <v/>
      </c>
      <c r="O887" s="11">
        <f>$B$3*$B$6*$B$5*COS(F887)</f>
        <v/>
      </c>
      <c r="P887" s="11">
        <f>N887+O887</f>
        <v/>
      </c>
      <c r="Q887" s="12">
        <f>ABS(P887-$P$3)</f>
        <v/>
      </c>
    </row>
    <row r="888">
      <c r="D888" s="13" t="n">
        <v>886</v>
      </c>
      <c r="E888" s="14" t="n">
        <v>8.856325947105075</v>
      </c>
      <c r="F888" s="15" t="n">
        <v>1.523229284851814</v>
      </c>
      <c r="G888" s="16">
        <f>DEGREES(F888)</f>
        <v/>
      </c>
      <c r="H888" s="15" t="n">
        <v>9.863946731586852</v>
      </c>
      <c r="I888" s="16">
        <f>DEGREES(H888)</f>
        <v/>
      </c>
      <c r="J888" s="17" t="n">
        <v>0.7651099262454025</v>
      </c>
      <c r="K888" s="17" t="n">
        <v>0.2378352097154112</v>
      </c>
      <c r="L888" s="18">
        <f>$B$5*$B$3*$B$6*SIN(F888)</f>
        <v/>
      </c>
      <c r="M888" s="18">
        <f>$B$9*K888*(SIN(F888))^2 + $B$8*($B$10+K888*COS(F888))*COS(F888)</f>
        <v/>
      </c>
      <c r="N888" s="18">
        <f>0.5*$B$9*(J888^2 + (K888*SIN(F888))^2) + 0.5*$B$8*($B$10 + K888*COS(F888))^2</f>
        <v/>
      </c>
      <c r="O888" s="18">
        <f>$B$3*$B$6*$B$5*COS(F888)</f>
        <v/>
      </c>
      <c r="P888" s="18">
        <f>N888+O888</f>
        <v/>
      </c>
      <c r="Q888" s="19">
        <f>ABS(P888-$P$3)</f>
        <v/>
      </c>
    </row>
    <row r="889">
      <c r="D889" s="6" t="n">
        <v>887</v>
      </c>
      <c r="E889" s="7" t="n">
        <v>8.866333095067906</v>
      </c>
      <c r="F889" s="8" t="n">
        <v>1.530611155475283</v>
      </c>
      <c r="G889" s="9">
        <f>DEGREES(F889)</f>
        <v/>
      </c>
      <c r="H889" s="8" t="n">
        <v>9.866139798027071</v>
      </c>
      <c r="I889" s="9">
        <f>DEGREES(H889)</f>
        <v/>
      </c>
      <c r="J889" s="10" t="n">
        <v>0.7098235237332798</v>
      </c>
      <c r="K889" s="10" t="n">
        <v>0.2009258565980665</v>
      </c>
      <c r="L889" s="11">
        <f>$B$5*$B$3*$B$6*SIN(F889)</f>
        <v/>
      </c>
      <c r="M889" s="11">
        <f>$B$9*K889*(SIN(F889))^2 + $B$8*($B$10+K889*COS(F889))*COS(F889)</f>
        <v/>
      </c>
      <c r="N889" s="11">
        <f>0.5*$B$9*(J889^2 + (K889*SIN(F889))^2) + 0.5*$B$8*($B$10 + K889*COS(F889))^2</f>
        <v/>
      </c>
      <c r="O889" s="11">
        <f>$B$3*$B$6*$B$5*COS(F889)</f>
        <v/>
      </c>
      <c r="P889" s="11">
        <f>N889+O889</f>
        <v/>
      </c>
      <c r="Q889" s="12">
        <f>ABS(P889-$P$3)</f>
        <v/>
      </c>
    </row>
    <row r="890">
      <c r="D890" s="13" t="n">
        <v>888</v>
      </c>
      <c r="E890" s="14" t="n">
        <v>8.876340243030738</v>
      </c>
      <c r="F890" s="15" t="n">
        <v>1.537428468133655</v>
      </c>
      <c r="G890" s="16">
        <f>DEGREES(F890)</f>
        <v/>
      </c>
      <c r="H890" s="15" t="n">
        <v>9.867977538150882</v>
      </c>
      <c r="I890" s="16">
        <f>DEGREES(H890)</f>
        <v/>
      </c>
      <c r="J890" s="17" t="n">
        <v>0.6523085145646558</v>
      </c>
      <c r="K890" s="17" t="n">
        <v>0.1668392933062061</v>
      </c>
      <c r="L890" s="18">
        <f>$B$5*$B$3*$B$6*SIN(F890)</f>
        <v/>
      </c>
      <c r="M890" s="18">
        <f>$B$9*K890*(SIN(F890))^2 + $B$8*($B$10+K890*COS(F890))*COS(F890)</f>
        <v/>
      </c>
      <c r="N890" s="18">
        <f>0.5*$B$9*(J890^2 + (K890*SIN(F890))^2) + 0.5*$B$8*($B$10 + K890*COS(F890))^2</f>
        <v/>
      </c>
      <c r="O890" s="18">
        <f>$B$3*$B$6*$B$5*COS(F890)</f>
        <v/>
      </c>
      <c r="P890" s="18">
        <f>N890+O890</f>
        <v/>
      </c>
      <c r="Q890" s="19">
        <f>ABS(P890-$P$3)</f>
        <v/>
      </c>
    </row>
    <row r="891">
      <c r="D891" s="6" t="n">
        <v>889</v>
      </c>
      <c r="E891" s="7" t="n">
        <v>8.886347390993567</v>
      </c>
      <c r="F891" s="8" t="n">
        <v>1.543659818762594</v>
      </c>
      <c r="G891" s="9">
        <f>DEGREES(F891)</f>
        <v/>
      </c>
      <c r="H891" s="8" t="n">
        <v>9.86948874305306</v>
      </c>
      <c r="I891" s="9">
        <f>DEGREES(H891)</f>
        <v/>
      </c>
      <c r="J891" s="10" t="n">
        <v>0.5927454764859659</v>
      </c>
      <c r="K891" s="10" t="n">
        <v>0.1356825401615138</v>
      </c>
      <c r="L891" s="11">
        <f>$B$5*$B$3*$B$6*SIN(F891)</f>
        <v/>
      </c>
      <c r="M891" s="11">
        <f>$B$9*K891*(SIN(F891))^2 + $B$8*($B$10+K891*COS(F891))*COS(F891)</f>
        <v/>
      </c>
      <c r="N891" s="11">
        <f>0.5*$B$9*(J891^2 + (K891*SIN(F891))^2) + 0.5*$B$8*($B$10 + K891*COS(F891))^2</f>
        <v/>
      </c>
      <c r="O891" s="11">
        <f>$B$3*$B$6*$B$5*COS(F891)</f>
        <v/>
      </c>
      <c r="P891" s="11">
        <f>N891+O891</f>
        <v/>
      </c>
      <c r="Q891" s="12">
        <f>ABS(P891-$P$3)</f>
        <v/>
      </c>
    </row>
    <row r="892">
      <c r="D892" s="13" t="n">
        <v>890</v>
      </c>
      <c r="E892" s="14" t="n">
        <v>8.896354538956398</v>
      </c>
      <c r="F892" s="15" t="n">
        <v>1.549285643021068</v>
      </c>
      <c r="G892" s="16">
        <f>DEGREES(F892)</f>
        <v/>
      </c>
      <c r="H892" s="15" t="n">
        <v>9.870703229038938</v>
      </c>
      <c r="I892" s="16">
        <f>DEGREES(H892)</f>
        <v/>
      </c>
      <c r="J892" s="17" t="n">
        <v>0.5313214173642294</v>
      </c>
      <c r="K892" s="17" t="n">
        <v>0.1075534188691409</v>
      </c>
      <c r="L892" s="18">
        <f>$B$5*$B$3*$B$6*SIN(F892)</f>
        <v/>
      </c>
      <c r="M892" s="18">
        <f>$B$9*K892*(SIN(F892))^2 + $B$8*($B$10+K892*COS(F892))*COS(F892)</f>
        <v/>
      </c>
      <c r="N892" s="18">
        <f>0.5*$B$9*(J892^2 + (K892*SIN(F892))^2) + 0.5*$B$8*($B$10 + K892*COS(F892))^2</f>
        <v/>
      </c>
      <c r="O892" s="18">
        <f>$B$3*$B$6*$B$5*COS(F892)</f>
        <v/>
      </c>
      <c r="P892" s="18">
        <f>N892+O892</f>
        <v/>
      </c>
      <c r="Q892" s="19">
        <f>ABS(P892-$P$3)</f>
        <v/>
      </c>
    </row>
    <row r="893">
      <c r="D893" s="6" t="n">
        <v>891</v>
      </c>
      <c r="E893" s="7" t="n">
        <v>8.906361686919229</v>
      </c>
      <c r="F893" s="8" t="n">
        <v>1.55428827771679</v>
      </c>
      <c r="G893" s="9">
        <f>DEGREES(F893)</f>
        <v/>
      </c>
      <c r="H893" s="8" t="n">
        <v>9.871651744011247</v>
      </c>
      <c r="I893" s="9">
        <f>DEGREES(H893)</f>
        <v/>
      </c>
      <c r="J893" s="10" t="n">
        <v>0.4682291880453975</v>
      </c>
      <c r="K893" s="10" t="n">
        <v>0.08254024539053217</v>
      </c>
      <c r="L893" s="11">
        <f>$B$5*$B$3*$B$6*SIN(F893)</f>
        <v/>
      </c>
      <c r="M893" s="11">
        <f>$B$9*K893*(SIN(F893))^2 + $B$8*($B$10+K893*COS(F893))*COS(F893)</f>
        <v/>
      </c>
      <c r="N893" s="11">
        <f>0.5*$B$9*(J893^2 + (K893*SIN(F893))^2) + 0.5*$B$8*($B$10 + K893*COS(F893))^2</f>
        <v/>
      </c>
      <c r="O893" s="11">
        <f>$B$3*$B$6*$B$5*COS(F893)</f>
        <v/>
      </c>
      <c r="P893" s="11">
        <f>N893+O893</f>
        <v/>
      </c>
      <c r="Q893" s="12">
        <f>ABS(P893-$P$3)</f>
        <v/>
      </c>
    </row>
    <row r="894">
      <c r="D894" s="13" t="n">
        <v>892</v>
      </c>
      <c r="E894" s="14" t="n">
        <v>8.916368834882059</v>
      </c>
      <c r="F894" s="15" t="n">
        <v>1.558652016262683</v>
      </c>
      <c r="G894" s="16">
        <f>DEGREES(F894)</f>
        <v/>
      </c>
      <c r="H894" s="15" t="n">
        <v>9.872365870932081</v>
      </c>
      <c r="I894" s="16">
        <f>DEGREES(H894)</f>
        <v/>
      </c>
      <c r="J894" s="17" t="n">
        <v>0.4036668768676975</v>
      </c>
      <c r="K894" s="17" t="n">
        <v>0.06072155266106871</v>
      </c>
      <c r="L894" s="18">
        <f>$B$5*$B$3*$B$6*SIN(F894)</f>
        <v/>
      </c>
      <c r="M894" s="18">
        <f>$B$9*K894*(SIN(F894))^2 + $B$8*($B$10+K894*COS(F894))*COS(F894)</f>
        <v/>
      </c>
      <c r="N894" s="18">
        <f>0.5*$B$9*(J894^2 + (K894*SIN(F894))^2) + 0.5*$B$8*($B$10 + K894*COS(F894))^2</f>
        <v/>
      </c>
      <c r="O894" s="18">
        <f>$B$3*$B$6*$B$5*COS(F894)</f>
        <v/>
      </c>
      <c r="P894" s="18">
        <f>N894+O894</f>
        <v/>
      </c>
      <c r="Q894" s="19">
        <f>ABS(P894-$P$3)</f>
        <v/>
      </c>
    </row>
    <row r="895">
      <c r="D895" s="6" t="n">
        <v>893</v>
      </c>
      <c r="E895" s="7" t="n">
        <v>8.92637598284489</v>
      </c>
      <c r="F895" s="8" t="n">
        <v>1.562363157990279</v>
      </c>
      <c r="G895" s="9">
        <f>DEGREES(F895)</f>
        <v/>
      </c>
      <c r="H895" s="8" t="n">
        <v>9.87287792866301</v>
      </c>
      <c r="I895" s="9">
        <f>DEGREES(H895)</f>
        <v/>
      </c>
      <c r="J895" s="10" t="n">
        <v>0.3378371877309331</v>
      </c>
      <c r="K895" s="10" t="n">
        <v>0.04216584402308965</v>
      </c>
      <c r="L895" s="11">
        <f>$B$5*$B$3*$B$6*SIN(F895)</f>
        <v/>
      </c>
      <c r="M895" s="11">
        <f>$B$9*K895*(SIN(F895))^2 + $B$8*($B$10+K895*COS(F895))*COS(F895)</f>
        <v/>
      </c>
      <c r="N895" s="11">
        <f>0.5*$B$9*(J895^2 + (K895*SIN(F895))^2) + 0.5*$B$8*($B$10 + K895*COS(F895))^2</f>
        <v/>
      </c>
      <c r="O895" s="11">
        <f>$B$3*$B$6*$B$5*COS(F895)</f>
        <v/>
      </c>
      <c r="P895" s="11">
        <f>N895+O895</f>
        <v/>
      </c>
      <c r="Q895" s="12">
        <f>ABS(P895-$P$3)</f>
        <v/>
      </c>
    </row>
    <row r="896">
      <c r="D896" s="13" t="n">
        <v>894</v>
      </c>
      <c r="E896" s="14" t="n">
        <v>8.936383130807721</v>
      </c>
      <c r="F896" s="15" t="n">
        <v>1.565410051165194</v>
      </c>
      <c r="G896" s="16">
        <f>DEGREES(F896)</f>
        <v/>
      </c>
      <c r="H896" s="15" t="n">
        <v>9.87322087049478</v>
      </c>
      <c r="I896" s="16">
        <f>DEGREES(H896)</f>
        <v/>
      </c>
      <c r="J896" s="17" t="n">
        <v>0.270946803674621</v>
      </c>
      <c r="K896" s="17" t="n">
        <v>0.02693137814851121</v>
      </c>
      <c r="L896" s="18">
        <f>$B$5*$B$3*$B$6*SIN(F896)</f>
        <v/>
      </c>
      <c r="M896" s="18">
        <f>$B$9*K896*(SIN(F896))^2 + $B$8*($B$10+K896*COS(F896))*COS(F896)</f>
        <v/>
      </c>
      <c r="N896" s="18">
        <f>0.5*$B$9*(J896^2 + (K896*SIN(F896))^2) + 0.5*$B$8*($B$10 + K896*COS(F896))^2</f>
        <v/>
      </c>
      <c r="O896" s="18">
        <f>$B$3*$B$6*$B$5*COS(F896)</f>
        <v/>
      </c>
      <c r="P896" s="18">
        <f>N896+O896</f>
        <v/>
      </c>
      <c r="Q896" s="19">
        <f>ABS(P896-$P$3)</f>
        <v/>
      </c>
    </row>
    <row r="897">
      <c r="D897" s="6" t="n">
        <v>895</v>
      </c>
      <c r="E897" s="7" t="n">
        <v>8.946390278770551</v>
      </c>
      <c r="F897" s="8" t="n">
        <v>1.567783129569652</v>
      </c>
      <c r="G897" s="9">
        <f>DEGREES(F897)</f>
        <v/>
      </c>
      <c r="H897" s="8" t="n">
        <v>9.873428180685059</v>
      </c>
      <c r="I897" s="9">
        <f>DEGREES(H897)</f>
        <v/>
      </c>
      <c r="J897" s="10" t="n">
        <v>0.2032057379629012</v>
      </c>
      <c r="K897" s="10" t="n">
        <v>0.01506598612622434</v>
      </c>
      <c r="L897" s="11">
        <f>$B$5*$B$3*$B$6*SIN(F897)</f>
        <v/>
      </c>
      <c r="M897" s="11">
        <f>$B$9*K897*(SIN(F897))^2 + $B$8*($B$10+K897*COS(F897))*COS(F897)</f>
        <v/>
      </c>
      <c r="N897" s="11">
        <f>0.5*$B$9*(J897^2 + (K897*SIN(F897))^2) + 0.5*$B$8*($B$10 + K897*COS(F897))^2</f>
        <v/>
      </c>
      <c r="O897" s="11">
        <f>$B$3*$B$6*$B$5*COS(F897)</f>
        <v/>
      </c>
      <c r="P897" s="11">
        <f>N897+O897</f>
        <v/>
      </c>
      <c r="Q897" s="12">
        <f>ABS(P897-$P$3)</f>
        <v/>
      </c>
    </row>
    <row r="898">
      <c r="D898" s="13" t="n">
        <v>896</v>
      </c>
      <c r="E898" s="14" t="n">
        <v>8.956397426733382</v>
      </c>
      <c r="F898" s="15" t="n">
        <v>1.569474942537181</v>
      </c>
      <c r="G898" s="16">
        <f>DEGREES(F898)</f>
        <v/>
      </c>
      <c r="H898" s="15" t="n">
        <v>9.873533769329168</v>
      </c>
      <c r="I898" s="16">
        <f>DEGREES(H898)</f>
        <v/>
      </c>
      <c r="J898" s="17" t="n">
        <v>0.1348266747135834</v>
      </c>
      <c r="K898" s="17" t="n">
        <v>0.006606921288578205</v>
      </c>
      <c r="L898" s="18">
        <f>$B$5*$B$3*$B$6*SIN(F898)</f>
        <v/>
      </c>
      <c r="M898" s="18">
        <f>$B$9*K898*(SIN(F898))^2 + $B$8*($B$10+K898*COS(F898))*COS(F898)</f>
        <v/>
      </c>
      <c r="N898" s="18">
        <f>0.5*$B$9*(J898^2 + (K898*SIN(F898))^2) + 0.5*$B$8*($B$10 + K898*COS(F898))^2</f>
        <v/>
      </c>
      <c r="O898" s="18">
        <f>$B$3*$B$6*$B$5*COS(F898)</f>
        <v/>
      </c>
      <c r="P898" s="18">
        <f>N898+O898</f>
        <v/>
      </c>
      <c r="Q898" s="19">
        <f>ABS(P898-$P$3)</f>
        <v/>
      </c>
    </row>
    <row r="899">
      <c r="D899" s="6" t="n">
        <v>897</v>
      </c>
      <c r="E899" s="7" t="n">
        <v>8.966404574696213</v>
      </c>
      <c r="F899" s="8" t="n">
        <v>1.570480178345198</v>
      </c>
      <c r="G899" s="9">
        <f>DEGREES(F899)</f>
        <v/>
      </c>
      <c r="H899" s="8" t="n">
        <v>9.873571865893798</v>
      </c>
      <c r="I899" s="9">
        <f>DEGREES(H899)</f>
        <v/>
      </c>
      <c r="J899" s="10" t="n">
        <v>0.06602430114177693</v>
      </c>
      <c r="K899" s="10" t="n">
        <v>0.001580742248489919</v>
      </c>
      <c r="L899" s="11">
        <f>$B$5*$B$3*$B$6*SIN(F899)</f>
        <v/>
      </c>
      <c r="M899" s="11">
        <f>$B$9*K899*(SIN(F899))^2 + $B$8*($B$10+K899*COS(F899))*COS(F899)</f>
        <v/>
      </c>
      <c r="N899" s="11">
        <f>0.5*$B$9*(J899^2 + (K899*SIN(F899))^2) + 0.5*$B$8*($B$10 + K899*COS(F899))^2</f>
        <v/>
      </c>
      <c r="O899" s="11">
        <f>$B$3*$B$6*$B$5*COS(F899)</f>
        <v/>
      </c>
      <c r="P899" s="11">
        <f>N899+O899</f>
        <v/>
      </c>
      <c r="Q899" s="12">
        <f>ABS(P899-$P$3)</f>
        <v/>
      </c>
    </row>
    <row r="900">
      <c r="D900" s="13" t="n">
        <v>898</v>
      </c>
      <c r="E900" s="14" t="n">
        <v>8.976411722659043</v>
      </c>
      <c r="F900" s="15" t="n">
        <v>1.570795680892028</v>
      </c>
      <c r="G900" s="16">
        <f>DEGREES(F900)</f>
        <v/>
      </c>
      <c r="H900" s="15" t="n">
        <v>9.873576911748026</v>
      </c>
      <c r="I900" s="16">
        <f>DEGREES(H900)</f>
        <v/>
      </c>
      <c r="J900" s="17" t="n">
        <v>-0.00298536648565026</v>
      </c>
      <c r="K900" s="17" t="n">
        <v>3.229514341063222e-06</v>
      </c>
      <c r="L900" s="18">
        <f>$B$5*$B$3*$B$6*SIN(F900)</f>
        <v/>
      </c>
      <c r="M900" s="18">
        <f>$B$9*K900*(SIN(F900))^2 + $B$8*($B$10+K900*COS(F900))*COS(F900)</f>
        <v/>
      </c>
      <c r="N900" s="18">
        <f>0.5*$B$9*(J900^2 + (K900*SIN(F900))^2) + 0.5*$B$8*($B$10 + K900*COS(F900))^2</f>
        <v/>
      </c>
      <c r="O900" s="18">
        <f>$B$3*$B$6*$B$5*COS(F900)</f>
        <v/>
      </c>
      <c r="P900" s="18">
        <f>N900+O900</f>
        <v/>
      </c>
      <c r="Q900" s="19">
        <f>ABS(P900-$P$3)</f>
        <v/>
      </c>
    </row>
    <row r="901">
      <c r="D901" s="6" t="n">
        <v>899</v>
      </c>
      <c r="E901" s="7" t="n">
        <v>8.986418870621874</v>
      </c>
      <c r="F901" s="8" t="n">
        <v>1.570420459605997</v>
      </c>
      <c r="G901" s="9">
        <f>DEGREES(F901)</f>
        <v/>
      </c>
      <c r="H901" s="8" t="n">
        <v>9.873583452029026</v>
      </c>
      <c r="I901" s="9">
        <f>DEGREES(H901)</f>
        <v/>
      </c>
      <c r="J901" s="10" t="n">
        <v>-0.07198566106838793</v>
      </c>
      <c r="K901" s="10" t="n">
        <v>0.001879335944500404</v>
      </c>
      <c r="L901" s="11">
        <f>$B$5*$B$3*$B$6*SIN(F901)</f>
        <v/>
      </c>
      <c r="M901" s="11">
        <f>$B$9*K901*(SIN(F901))^2 + $B$8*($B$10+K901*COS(F901))*COS(F901)</f>
        <v/>
      </c>
      <c r="N901" s="11">
        <f>0.5*$B$9*(J901^2 + (K901*SIN(F901))^2) + 0.5*$B$8*($B$10 + K901*COS(F901))^2</f>
        <v/>
      </c>
      <c r="O901" s="11">
        <f>$B$3*$B$6*$B$5*COS(F901)</f>
        <v/>
      </c>
      <c r="P901" s="11">
        <f>N901+O901</f>
        <v/>
      </c>
      <c r="Q901" s="12">
        <f>ABS(P901-$P$3)</f>
        <v/>
      </c>
    </row>
    <row r="902">
      <c r="D902" s="13" t="n">
        <v>900</v>
      </c>
      <c r="E902" s="14" t="n">
        <v>8.996426018584703</v>
      </c>
      <c r="F902" s="15" t="n">
        <v>1.569355692555493</v>
      </c>
      <c r="G902" s="16">
        <f>DEGREES(F902)</f>
        <v/>
      </c>
      <c r="H902" s="15" t="n">
        <v>9.87362602718197</v>
      </c>
      <c r="I902" s="16">
        <f>DEGREES(H902)</f>
        <v/>
      </c>
      <c r="J902" s="17" t="n">
        <v>-0.1407599449342663</v>
      </c>
      <c r="K902" s="17" t="n">
        <v>0.007203171197017744</v>
      </c>
      <c r="L902" s="18">
        <f>$B$5*$B$3*$B$6*SIN(F902)</f>
        <v/>
      </c>
      <c r="M902" s="18">
        <f>$B$9*K902*(SIN(F902))^2 + $B$8*($B$10+K902*COS(F902))*COS(F902)</f>
        <v/>
      </c>
      <c r="N902" s="18">
        <f>0.5*$B$9*(J902^2 + (K902*SIN(F902))^2) + 0.5*$B$8*($B$10 + K902*COS(F902))^2</f>
        <v/>
      </c>
      <c r="O902" s="18">
        <f>$B$3*$B$6*$B$5*COS(F902)</f>
        <v/>
      </c>
      <c r="P902" s="18">
        <f>N902+O902</f>
        <v/>
      </c>
      <c r="Q902" s="19">
        <f>ABS(P902-$P$3)</f>
        <v/>
      </c>
    </row>
    <row r="903">
      <c r="D903" s="6" t="n">
        <v>901</v>
      </c>
      <c r="E903" s="7" t="n">
        <v>9.006433166547534</v>
      </c>
      <c r="F903" s="8" t="n">
        <v>1.567604722750234</v>
      </c>
      <c r="G903" s="9">
        <f>DEGREES(F903)</f>
        <v/>
      </c>
      <c r="H903" s="8" t="n">
        <v>9.873739064514684</v>
      </c>
      <c r="I903" s="9">
        <f>DEGREES(H903)</f>
        <v/>
      </c>
      <c r="J903" s="10" t="n">
        <v>-0.2090922900086628</v>
      </c>
      <c r="K903" s="10" t="n">
        <v>0.01595802022331494</v>
      </c>
      <c r="L903" s="11">
        <f>$B$5*$B$3*$B$6*SIN(F903)</f>
        <v/>
      </c>
      <c r="M903" s="11">
        <f>$B$9*K903*(SIN(F903))^2 + $B$8*($B$10+K903*COS(F903))*COS(F903)</f>
        <v/>
      </c>
      <c r="N903" s="11">
        <f>0.5*$B$9*(J903^2 + (K903*SIN(F903))^2) + 0.5*$B$8*($B$10 + K903*COS(F903))^2</f>
        <v/>
      </c>
      <c r="O903" s="11">
        <f>$B$3*$B$6*$B$5*COS(F903)</f>
        <v/>
      </c>
      <c r="P903" s="11">
        <f>N903+O903</f>
        <v/>
      </c>
      <c r="Q903" s="12">
        <f>ABS(P903-$P$3)</f>
        <v/>
      </c>
    </row>
    <row r="904">
      <c r="D904" s="13" t="n">
        <v>902</v>
      </c>
      <c r="E904" s="14" t="n">
        <v>9.016440314510366</v>
      </c>
      <c r="F904" s="15" t="n">
        <v>1.565173047645336</v>
      </c>
      <c r="G904" s="16">
        <f>DEGREES(F904)</f>
        <v/>
      </c>
      <c r="H904" s="15" t="n">
        <v>9.87395677010748</v>
      </c>
      <c r="I904" s="16">
        <f>DEGREES(H904)</f>
        <v/>
      </c>
      <c r="J904" s="17" t="n">
        <v>-0.276768155755802</v>
      </c>
      <c r="K904" s="17" t="n">
        <v>0.02811639574780411</v>
      </c>
      <c r="L904" s="18">
        <f>$B$5*$B$3*$B$6*SIN(F904)</f>
        <v/>
      </c>
      <c r="M904" s="18">
        <f>$B$9*K904*(SIN(F904))^2 + $B$8*($B$10+K904*COS(F904))*COS(F904)</f>
        <v/>
      </c>
      <c r="N904" s="18">
        <f>0.5*$B$9*(J904^2 + (K904*SIN(F904))^2) + 0.5*$B$8*($B$10 + K904*COS(F904))^2</f>
        <v/>
      </c>
      <c r="O904" s="18">
        <f>$B$3*$B$6*$B$5*COS(F904)</f>
        <v/>
      </c>
      <c r="P904" s="18">
        <f>N904+O904</f>
        <v/>
      </c>
      <c r="Q904" s="19">
        <f>ABS(P904-$P$3)</f>
        <v/>
      </c>
    </row>
    <row r="905">
      <c r="D905" s="6" t="n">
        <v>903</v>
      </c>
      <c r="E905" s="7" t="n">
        <v>9.026447462473195</v>
      </c>
      <c r="F905" s="8" t="n">
        <v>1.562068301881164</v>
      </c>
      <c r="G905" s="9">
        <f>DEGREES(F905)</f>
        <v/>
      </c>
      <c r="H905" s="8" t="n">
        <v>9.874313021417624</v>
      </c>
      <c r="I905" s="9">
        <f>DEGREES(H905)</f>
        <v/>
      </c>
      <c r="J905" s="10" t="n">
        <v>-0.3435750627637395</v>
      </c>
      <c r="K905" s="10" t="n">
        <v>0.0436401245686624</v>
      </c>
      <c r="L905" s="11">
        <f>$B$5*$B$3*$B$6*SIN(F905)</f>
        <v/>
      </c>
      <c r="M905" s="11">
        <f>$B$9*K905*(SIN(F905))^2 + $B$8*($B$10+K905*COS(F905))*COS(F905)</f>
        <v/>
      </c>
      <c r="N905" s="11">
        <f>0.5*$B$9*(J905^2 + (K905*SIN(F905))^2) + 0.5*$B$8*($B$10 + K905*COS(F905))^2</f>
        <v/>
      </c>
      <c r="O905" s="11">
        <f>$B$3*$B$6*$B$5*COS(F905)</f>
        <v/>
      </c>
      <c r="P905" s="11">
        <f>N905+O905</f>
        <v/>
      </c>
      <c r="Q905" s="12">
        <f>ABS(P905-$P$3)</f>
        <v/>
      </c>
    </row>
    <row r="906">
      <c r="D906" s="13" t="n">
        <v>904</v>
      </c>
      <c r="E906" s="14" t="n">
        <v>9.036454610436026</v>
      </c>
      <c r="F906" s="15" t="n">
        <v>1.558300233313129</v>
      </c>
      <c r="G906" s="16">
        <f>DEGREES(F906)</f>
        <v/>
      </c>
      <c r="H906" s="15" t="n">
        <v>9.874841260915506</v>
      </c>
      <c r="I906" s="16">
        <f>DEGREES(H906)</f>
        <v/>
      </c>
      <c r="J906" s="17" t="n">
        <v>-0.4093032598581869</v>
      </c>
      <c r="K906" s="17" t="n">
        <v>0.06248046740883928</v>
      </c>
      <c r="L906" s="18">
        <f>$B$5*$B$3*$B$6*SIN(F906)</f>
        <v/>
      </c>
      <c r="M906" s="18">
        <f>$B$9*K906*(SIN(F906))^2 + $B$8*($B$10+K906*COS(F906))*COS(F906)</f>
        <v/>
      </c>
      <c r="N906" s="18">
        <f>0.5*$B$9*(J906^2 + (K906*SIN(F906))^2) + 0.5*$B$8*($B$10 + K906*COS(F906))^2</f>
        <v/>
      </c>
      <c r="O906" s="18">
        <f>$B$3*$B$6*$B$5*COS(F906)</f>
        <v/>
      </c>
      <c r="P906" s="18">
        <f>N906+O906</f>
        <v/>
      </c>
      <c r="Q906" s="19">
        <f>ABS(P906-$P$3)</f>
        <v/>
      </c>
    </row>
    <row r="907">
      <c r="D907" s="6" t="n">
        <v>905</v>
      </c>
      <c r="E907" s="7" t="n">
        <v>9.046461758398857</v>
      </c>
      <c r="F907" s="8" t="n">
        <v>1.553880672406708</v>
      </c>
      <c r="G907" s="9">
        <f>DEGREES(F907)</f>
        <v/>
      </c>
      <c r="H907" s="8" t="n">
        <v>9.875574391086571</v>
      </c>
      <c r="I907" s="9">
        <f>DEGREES(H907)</f>
        <v/>
      </c>
      <c r="J907" s="10" t="n">
        <v>-0.4737463826504288</v>
      </c>
      <c r="K907" s="10" t="n">
        <v>0.08457827194094381</v>
      </c>
      <c r="L907" s="11">
        <f>$B$5*$B$3*$B$6*SIN(F907)</f>
        <v/>
      </c>
      <c r="M907" s="11">
        <f>$B$9*K907*(SIN(F907))^2 + $B$8*($B$10+K907*COS(F907))*COS(F907)</f>
        <v/>
      </c>
      <c r="N907" s="11">
        <f>0.5*$B$9*(J907^2 + (K907*SIN(F907))^2) + 0.5*$B$8*($B$10 + K907*COS(F907))^2</f>
        <v/>
      </c>
      <c r="O907" s="11">
        <f>$B$3*$B$6*$B$5*COS(F907)</f>
        <v/>
      </c>
      <c r="P907" s="11">
        <f>N907+O907</f>
        <v/>
      </c>
      <c r="Q907" s="12">
        <f>ABS(P907-$P$3)</f>
        <v/>
      </c>
    </row>
    <row r="908">
      <c r="D908" s="13" t="n">
        <v>906</v>
      </c>
      <c r="E908" s="14" t="n">
        <v>9.056468906361687</v>
      </c>
      <c r="F908" s="15" t="n">
        <v>1.548823495093772</v>
      </c>
      <c r="G908" s="16">
        <f>DEGREES(F908)</f>
        <v/>
      </c>
      <c r="H908" s="15" t="n">
        <v>9.876544671128597</v>
      </c>
      <c r="I908" s="16">
        <f>DEGREES(H908)</f>
        <v/>
      </c>
      <c r="J908" s="17" t="n">
        <v>-0.536702101451994</v>
      </c>
      <c r="K908" s="17" t="n">
        <v>0.1098641585056234</v>
      </c>
      <c r="L908" s="18">
        <f>$B$5*$B$3*$B$6*SIN(F908)</f>
        <v/>
      </c>
      <c r="M908" s="18">
        <f>$B$9*K908*(SIN(F908))^2 + $B$8*($B$10+K908*COS(F908))*COS(F908)</f>
        <v/>
      </c>
      <c r="N908" s="18">
        <f>0.5*$B$9*(J908^2 + (K908*SIN(F908))^2) + 0.5*$B$8*($B$10 + K908*COS(F908))^2</f>
        <v/>
      </c>
      <c r="O908" s="18">
        <f>$B$3*$B$6*$B$5*COS(F908)</f>
        <v/>
      </c>
      <c r="P908" s="18">
        <f>N908+O908</f>
        <v/>
      </c>
      <c r="Q908" s="19">
        <f>ABS(P908-$P$3)</f>
        <v/>
      </c>
    </row>
    <row r="909">
      <c r="D909" s="6" t="n">
        <v>907</v>
      </c>
      <c r="E909" s="7" t="n">
        <v>9.066476054324518</v>
      </c>
      <c r="F909" s="8" t="n">
        <v>1.543144579206831</v>
      </c>
      <c r="G909" s="9">
        <f>DEGREES(F909)</f>
        <v/>
      </c>
      <c r="H909" s="8" t="n">
        <v>9.877783615668685</v>
      </c>
      <c r="I909" s="9">
        <f>DEGREES(H909)</f>
        <v/>
      </c>
      <c r="J909" s="10" t="n">
        <v>-0.5979727565217235</v>
      </c>
      <c r="K909" s="10" t="n">
        <v>0.1382587379403295</v>
      </c>
      <c r="L909" s="11">
        <f>$B$5*$B$3*$B$6*SIN(F909)</f>
        <v/>
      </c>
      <c r="M909" s="11">
        <f>$B$9*K909*(SIN(F909))^2 + $B$8*($B$10+K909*COS(F909))*COS(F909)</f>
        <v/>
      </c>
      <c r="N909" s="11">
        <f>0.5*$B$9*(J909^2 + (K909*SIN(F909))^2) + 0.5*$B$8*($B$10 + K909*COS(F909))^2</f>
        <v/>
      </c>
      <c r="O909" s="11">
        <f>$B$3*$B$6*$B$5*COS(F909)</f>
        <v/>
      </c>
      <c r="P909" s="11">
        <f>N909+O909</f>
        <v/>
      </c>
      <c r="Q909" s="12">
        <f>ABS(P909-$P$3)</f>
        <v/>
      </c>
    </row>
    <row r="910">
      <c r="D910" s="13" t="n">
        <v>908</v>
      </c>
      <c r="E910" s="14" t="n">
        <v>9.076483202287349</v>
      </c>
      <c r="F910" s="15" t="n">
        <v>1.536861754627997</v>
      </c>
      <c r="G910" s="16">
        <f>DEGREES(F910)</f>
        <v/>
      </c>
      <c r="H910" s="15" t="n">
        <v>9.879321895817956</v>
      </c>
      <c r="I910" s="16">
        <f>DEGREES(H910)</f>
        <v/>
      </c>
      <c r="J910" s="17" t="n">
        <v>-0.6573659786506685</v>
      </c>
      <c r="K910" s="17" t="n">
        <v>0.1696728608344997</v>
      </c>
      <c r="L910" s="18">
        <f>$B$5*$B$3*$B$6*SIN(F910)</f>
        <v/>
      </c>
      <c r="M910" s="18">
        <f>$B$9*K910*(SIN(F910))^2 + $B$8*($B$10+K910*COS(F910))*COS(F910)</f>
        <v/>
      </c>
      <c r="N910" s="18">
        <f>0.5*$B$9*(J910^2 + (K910*SIN(F910))^2) + 0.5*$B$8*($B$10 + K910*COS(F910))^2</f>
        <v/>
      </c>
      <c r="O910" s="18">
        <f>$B$3*$B$6*$B$5*COS(F910)</f>
        <v/>
      </c>
      <c r="P910" s="18">
        <f>N910+O910</f>
        <v/>
      </c>
      <c r="Q910" s="19">
        <f>ABS(P910-$P$3)</f>
        <v/>
      </c>
    </row>
    <row r="911">
      <c r="D911" s="6" t="n">
        <v>909</v>
      </c>
      <c r="E911" s="7" t="n">
        <v>9.086490350250179</v>
      </c>
      <c r="F911" s="8" t="n">
        <v>1.529994747309158</v>
      </c>
      <c r="G911" s="9">
        <f>DEGREES(F911)</f>
        <v/>
      </c>
      <c r="H911" s="8" t="n">
        <v>9.881189242874584</v>
      </c>
      <c r="I911" s="9">
        <f>DEGREES(H911)</f>
        <v/>
      </c>
      <c r="J911" s="10" t="n">
        <v>-0.7146952931366504</v>
      </c>
      <c r="K911" s="10" t="n">
        <v>0.2040078974286934</v>
      </c>
      <c r="L911" s="11">
        <f>$B$5*$B$3*$B$6*SIN(F911)</f>
        <v/>
      </c>
      <c r="M911" s="11">
        <f>$B$9*K911*(SIN(F911))^2 + $B$8*($B$10+K911*COS(F911))*COS(F911)</f>
        <v/>
      </c>
      <c r="N911" s="11">
        <f>0.5*$B$9*(J911^2 + (K911*SIN(F911))^2) + 0.5*$B$8*($B$10 + K911*COS(F911))^2</f>
        <v/>
      </c>
      <c r="O911" s="11">
        <f>$B$3*$B$6*$B$5*COS(F911)</f>
        <v/>
      </c>
      <c r="P911" s="11">
        <f>N911+O911</f>
        <v/>
      </c>
      <c r="Q911" s="12">
        <f>ABS(P911-$P$3)</f>
        <v/>
      </c>
    </row>
    <row r="912">
      <c r="D912" s="13" t="n">
        <v>910</v>
      </c>
      <c r="E912" s="14" t="n">
        <v>9.09649749821301</v>
      </c>
      <c r="F912" s="15" t="n">
        <v>1.522565117339136</v>
      </c>
      <c r="G912" s="16">
        <f>DEGREES(F912)</f>
        <v/>
      </c>
      <c r="H912" s="15" t="n">
        <v>9.883414354977555</v>
      </c>
      <c r="I912" s="16">
        <f>DEGREES(H912)</f>
        <v/>
      </c>
      <c r="J912" s="17" t="n">
        <v>-0.7697807052519805</v>
      </c>
      <c r="K912" s="17" t="n">
        <v>0.2411560472788039</v>
      </c>
      <c r="L912" s="18">
        <f>$B$5*$B$3*$B$6*SIN(F912)</f>
        <v/>
      </c>
      <c r="M912" s="18">
        <f>$B$9*K912*(SIN(F912))^2 + $B$8*($B$10+K912*COS(F912))*COS(F912)</f>
        <v/>
      </c>
      <c r="N912" s="18">
        <f>0.5*$B$9*(J912^2 + (K912*SIN(F912))^2) + 0.5*$B$8*($B$10 + K912*COS(F912))^2</f>
        <v/>
      </c>
      <c r="O912" s="18">
        <f>$B$3*$B$6*$B$5*COS(F912)</f>
        <v/>
      </c>
      <c r="P912" s="18">
        <f>N912+O912</f>
        <v/>
      </c>
      <c r="Q912" s="19">
        <f>ABS(P912-$P$3)</f>
        <v/>
      </c>
    </row>
    <row r="913">
      <c r="D913" s="6" t="n">
        <v>911</v>
      </c>
      <c r="E913" s="7" t="n">
        <v>9.106504646175841</v>
      </c>
      <c r="F913" s="8" t="n">
        <v>1.51459619125228</v>
      </c>
      <c r="G913" s="9">
        <f>DEGREES(F913)</f>
        <v/>
      </c>
      <c r="H913" s="8" t="n">
        <v>9.886024807004175</v>
      </c>
      <c r="I913" s="9">
        <f>DEGREES(H913)</f>
        <v/>
      </c>
      <c r="J913" s="10" t="n">
        <v>-0.8224492653661843</v>
      </c>
      <c r="K913" s="10" t="n">
        <v>0.2810006777130836</v>
      </c>
      <c r="L913" s="11">
        <f>$B$5*$B$3*$B$6*SIN(F913)</f>
        <v/>
      </c>
      <c r="M913" s="11">
        <f>$B$9*K913*(SIN(F913))^2 + $B$8*($B$10+K913*COS(F913))*COS(F913)</f>
        <v/>
      </c>
      <c r="N913" s="11">
        <f>0.5*$B$9*(J913^2 + (K913*SIN(F913))^2) + 0.5*$B$8*($B$10 + K913*COS(F913))^2</f>
        <v/>
      </c>
      <c r="O913" s="11">
        <f>$B$3*$B$6*$B$5*COS(F913)</f>
        <v/>
      </c>
      <c r="P913" s="11">
        <f>N913+O913</f>
        <v/>
      </c>
      <c r="Q913" s="12">
        <f>ABS(P913-$P$3)</f>
        <v/>
      </c>
    </row>
    <row r="914">
      <c r="D914" s="13" t="n">
        <v>912</v>
      </c>
      <c r="E914" s="14" t="n">
        <v>9.11651179413867</v>
      </c>
      <c r="F914" s="15" t="n">
        <v>1.506112988791003</v>
      </c>
      <c r="G914" s="16">
        <f>DEGREES(F914)</f>
        <v/>
      </c>
      <c r="H914" s="15" t="n">
        <v>9.889046963994243</v>
      </c>
      <c r="I914" s="16">
        <f>DEGREES(H914)</f>
        <v/>
      </c>
      <c r="J914" s="17" t="n">
        <v>-0.8725356119496224</v>
      </c>
      <c r="K914" s="17" t="n">
        <v>0.323416690019467</v>
      </c>
      <c r="L914" s="18">
        <f>$B$5*$B$3*$B$6*SIN(F914)</f>
        <v/>
      </c>
      <c r="M914" s="18">
        <f>$B$9*K914*(SIN(F914))^2 + $B$8*($B$10+K914*COS(F914))*COS(F914)</f>
        <v/>
      </c>
      <c r="N914" s="18">
        <f>0.5*$B$9*(J914^2 + (K914*SIN(F914))^2) + 0.5*$B$8*($B$10 + K914*COS(F914))^2</f>
        <v/>
      </c>
      <c r="O914" s="18">
        <f>$B$3*$B$6*$B$5*COS(F914)</f>
        <v/>
      </c>
      <c r="P914" s="18">
        <f>N914+O914</f>
        <v/>
      </c>
      <c r="Q914" s="19">
        <f>ABS(P914-$P$3)</f>
        <v/>
      </c>
    </row>
    <row r="915">
      <c r="D915" s="6" t="n">
        <v>913</v>
      </c>
      <c r="E915" s="7" t="n">
        <v>9.126518942101502</v>
      </c>
      <c r="F915" s="8" t="n">
        <v>1.497142144352223</v>
      </c>
      <c r="G915" s="9">
        <f>DEGREES(F915)</f>
        <v/>
      </c>
      <c r="H915" s="8" t="n">
        <v>9.892505898372725</v>
      </c>
      <c r="I915" s="9">
        <f>DEGREES(H915)</f>
        <v/>
      </c>
      <c r="J915" s="10" t="n">
        <v>-0.9198824907529567</v>
      </c>
      <c r="K915" s="10" t="n">
        <v>0.3682709122133689</v>
      </c>
      <c r="L915" s="11">
        <f>$B$5*$B$3*$B$6*SIN(F915)</f>
        <v/>
      </c>
      <c r="M915" s="11">
        <f>$B$9*K915*(SIN(F915))^2 + $B$8*($B$10+K915*COS(F915))*COS(F915)</f>
        <v/>
      </c>
      <c r="N915" s="11">
        <f>0.5*$B$9*(J915^2 + (K915*SIN(F915))^2) + 0.5*$B$8*($B$10 + K915*COS(F915))^2</f>
        <v/>
      </c>
      <c r="O915" s="11">
        <f>$B$3*$B$6*$B$5*COS(F915)</f>
        <v/>
      </c>
      <c r="P915" s="11">
        <f>N915+O915</f>
        <v/>
      </c>
      <c r="Q915" s="12">
        <f>ABS(P915-$P$3)</f>
        <v/>
      </c>
    </row>
    <row r="916">
      <c r="D916" s="13" t="n">
        <v>914</v>
      </c>
      <c r="E916" s="14" t="n">
        <v>9.136526090064333</v>
      </c>
      <c r="F916" s="15" t="n">
        <v>1.487711823364333</v>
      </c>
      <c r="G916" s="16">
        <f>DEGREES(F916)</f>
        <v/>
      </c>
      <c r="H916" s="15" t="n">
        <v>9.896425311230768</v>
      </c>
      <c r="I916" s="16">
        <f>DEGREES(H916)</f>
        <v/>
      </c>
      <c r="J916" s="17" t="n">
        <v>-0.9643412485324744</v>
      </c>
      <c r="K916" s="17" t="n">
        <v>0.4154225171528154</v>
      </c>
      <c r="L916" s="18">
        <f>$B$5*$B$3*$B$6*SIN(F916)</f>
        <v/>
      </c>
      <c r="M916" s="18">
        <f>$B$9*K916*(SIN(F916))^2 + $B$8*($B$10+K916*COS(F916))*COS(F916)</f>
        <v/>
      </c>
      <c r="N916" s="18">
        <f>0.5*$B$9*(J916^2 + (K916*SIN(F916))^2) + 0.5*$B$8*($B$10 + K916*COS(F916))^2</f>
        <v/>
      </c>
      <c r="O916" s="18">
        <f>$B$3*$B$6*$B$5*COS(F916)</f>
        <v/>
      </c>
      <c r="P916" s="18">
        <f>N916+O916</f>
        <v/>
      </c>
      <c r="Q916" s="19">
        <f>ABS(P916-$P$3)</f>
        <v/>
      </c>
    </row>
    <row r="917">
      <c r="D917" s="6" t="n">
        <v>915</v>
      </c>
      <c r="E917" s="7" t="n">
        <v>9.146533238027162</v>
      </c>
      <c r="F917" s="8" t="n">
        <v>1.477851633857256</v>
      </c>
      <c r="G917" s="9">
        <f>DEGREES(F917)</f>
        <v/>
      </c>
      <c r="H917" s="8" t="n">
        <v>9.900827457912282</v>
      </c>
      <c r="I917" s="9">
        <f>DEGREES(H917)</f>
        <v/>
      </c>
      <c r="J917" s="10" t="n">
        <v>-1.005772299771176</v>
      </c>
      <c r="K917" s="10" t="n">
        <v>0.4647234646882019</v>
      </c>
      <c r="L917" s="11">
        <f>$B$5*$B$3*$B$6*SIN(F917)</f>
        <v/>
      </c>
      <c r="M917" s="11">
        <f>$B$9*K917*(SIN(F917))^2 + $B$8*($B$10+K917*COS(F917))*COS(F917)</f>
        <v/>
      </c>
      <c r="N917" s="11">
        <f>0.5*$B$9*(J917^2 + (K917*SIN(F917))^2) + 0.5*$B$8*($B$10 + K917*COS(F917))^2</f>
        <v/>
      </c>
      <c r="O917" s="11">
        <f>$B$3*$B$6*$B$5*COS(F917)</f>
        <v/>
      </c>
      <c r="P917" s="11">
        <f>N917+O917</f>
        <v/>
      </c>
      <c r="Q917" s="12">
        <f>ABS(P917-$P$3)</f>
        <v/>
      </c>
    </row>
    <row r="918">
      <c r="D918" s="13" t="n">
        <v>916</v>
      </c>
      <c r="E918" s="14" t="n">
        <v>9.156540385989993</v>
      </c>
      <c r="F918" s="15" t="n">
        <v>1.46759253350319</v>
      </c>
      <c r="G918" s="16">
        <f>DEGREES(F918)</f>
        <v/>
      </c>
      <c r="H918" s="15" t="n">
        <v>9.905733078139646</v>
      </c>
      <c r="I918" s="16">
        <f>DEGREES(H918)</f>
        <v/>
      </c>
      <c r="J918" s="17" t="n">
        <v>-1.044045564930304</v>
      </c>
      <c r="K918" s="17" t="n">
        <v>0.5160189664585308</v>
      </c>
      <c r="L918" s="18">
        <f>$B$5*$B$3*$B$6*SIN(F918)</f>
        <v/>
      </c>
      <c r="M918" s="18">
        <f>$B$9*K918*(SIN(F918))^2 + $B$8*($B$10+K918*COS(F918))*COS(F918)</f>
        <v/>
      </c>
      <c r="N918" s="18">
        <f>0.5*$B$9*(J918^2 + (K918*SIN(F918))^2) + 0.5*$B$8*($B$10 + K918*COS(F918))^2</f>
        <v/>
      </c>
      <c r="O918" s="18">
        <f>$B$3*$B$6*$B$5*COS(F918)</f>
        <v/>
      </c>
      <c r="P918" s="18">
        <f>N918+O918</f>
        <v/>
      </c>
      <c r="Q918" s="19">
        <f>ABS(P918-$P$3)</f>
        <v/>
      </c>
    </row>
    <row r="919">
      <c r="D919" s="6" t="n">
        <v>917</v>
      </c>
      <c r="E919" s="7" t="n">
        <v>9.166547533952825</v>
      </c>
      <c r="F919" s="8" t="n">
        <v>1.456966732419967</v>
      </c>
      <c r="G919" s="9">
        <f>DEGREES(F919)</f>
        <v/>
      </c>
      <c r="H919" s="8" t="n">
        <v>9.911161330897977</v>
      </c>
      <c r="I919" s="9">
        <f>DEGREES(H919)</f>
        <v/>
      </c>
      <c r="J919" s="10" t="n">
        <v>-1.079040878855214</v>
      </c>
      <c r="K919" s="10" t="n">
        <v>0.5691479718746463</v>
      </c>
      <c r="L919" s="11">
        <f>$B$5*$B$3*$B$6*SIN(F919)</f>
        <v/>
      </c>
      <c r="M919" s="11">
        <f>$B$9*K919*(SIN(F919))^2 + $B$8*($B$10+K919*COS(F919))*COS(F919)</f>
        <v/>
      </c>
      <c r="N919" s="11">
        <f>0.5*$B$9*(J919^2 + (K919*SIN(F919))^2) + 0.5*$B$8*($B$10 + K919*COS(F919))^2</f>
        <v/>
      </c>
      <c r="O919" s="11">
        <f>$B$3*$B$6*$B$5*COS(F919)</f>
        <v/>
      </c>
      <c r="P919" s="11">
        <f>N919+O919</f>
        <v/>
      </c>
      <c r="Q919" s="12">
        <f>ABS(P919-$P$3)</f>
        <v/>
      </c>
    </row>
    <row r="920">
      <c r="D920" s="13" t="n">
        <v>918</v>
      </c>
      <c r="E920" s="14" t="n">
        <v>9.176554681915654</v>
      </c>
      <c r="F920" s="15" t="n">
        <v>1.446007592042135</v>
      </c>
      <c r="G920" s="16">
        <f>DEGREES(F920)</f>
        <v/>
      </c>
      <c r="H920" s="15" t="n">
        <v>9.917129734282369</v>
      </c>
      <c r="I920" s="16">
        <f>DEGREES(H920)</f>
        <v/>
      </c>
      <c r="J920" s="17" t="n">
        <v>-1.110648368053466</v>
      </c>
      <c r="K920" s="17" t="n">
        <v>0.6239436737638078</v>
      </c>
      <c r="L920" s="18">
        <f>$B$5*$B$3*$B$6*SIN(F920)</f>
        <v/>
      </c>
      <c r="M920" s="18">
        <f>$B$9*K920*(SIN(F920))^2 + $B$8*($B$10+K920*COS(F920))*COS(F920)</f>
        <v/>
      </c>
      <c r="N920" s="18">
        <f>0.5*$B$9*(J920^2 + (K920*SIN(F920))^2) + 0.5*$B$8*($B$10 + K920*COS(F920))^2</f>
        <v/>
      </c>
      <c r="O920" s="18">
        <f>$B$3*$B$6*$B$5*COS(F920)</f>
        <v/>
      </c>
      <c r="P920" s="18">
        <f>N920+O920</f>
        <v/>
      </c>
      <c r="Q920" s="19">
        <f>ABS(P920-$P$3)</f>
        <v/>
      </c>
    </row>
    <row r="921">
      <c r="D921" s="6" t="n">
        <v>919</v>
      </c>
      <c r="E921" s="7" t="n">
        <v>9.186561829878485</v>
      </c>
      <c r="F921" s="8" t="n">
        <v>1.434749520377284</v>
      </c>
      <c r="G921" s="9">
        <f>DEGREES(F921)</f>
        <v/>
      </c>
      <c r="H921" s="8" t="n">
        <v>9.923654110496978</v>
      </c>
      <c r="I921" s="9">
        <f>DEGREES(H921)</f>
        <v/>
      </c>
      <c r="J921" s="10" t="n">
        <v>-1.138768795660601</v>
      </c>
      <c r="K921" s="10" t="n">
        <v>0.6802340320880617</v>
      </c>
      <c r="L921" s="11">
        <f>$B$5*$B$3*$B$6*SIN(F921)</f>
        <v/>
      </c>
      <c r="M921" s="11">
        <f>$B$9*K921*(SIN(F921))^2 + $B$8*($B$10+K921*COS(F921))*COS(F921)</f>
        <v/>
      </c>
      <c r="N921" s="11">
        <f>0.5*$B$9*(J921^2 + (K921*SIN(F921))^2) + 0.5*$B$8*($B$10 + K921*COS(F921))^2</f>
        <v/>
      </c>
      <c r="O921" s="11">
        <f>$B$3*$B$6*$B$5*COS(F921)</f>
        <v/>
      </c>
      <c r="P921" s="11">
        <f>N921+O921</f>
        <v/>
      </c>
      <c r="Q921" s="12">
        <f>ABS(P921-$P$3)</f>
        <v/>
      </c>
    </row>
    <row r="922">
      <c r="D922" s="13" t="n">
        <v>920</v>
      </c>
      <c r="E922" s="14" t="n">
        <v>9.196568977841316</v>
      </c>
      <c r="F922" s="15" t="n">
        <v>1.423227863976514</v>
      </c>
      <c r="G922" s="16">
        <f>DEGREES(F922)</f>
        <v/>
      </c>
      <c r="H922" s="15" t="n">
        <v>9.930748536178635</v>
      </c>
      <c r="I922" s="16">
        <f>DEGREES(H922)</f>
        <v/>
      </c>
      <c r="J922" s="17" t="n">
        <v>-1.163313873010415</v>
      </c>
      <c r="K922" s="17" t="n">
        <v>0.7378423140919141</v>
      </c>
      <c r="L922" s="18">
        <f>$B$5*$B$3*$B$6*SIN(F922)</f>
        <v/>
      </c>
      <c r="M922" s="18">
        <f>$B$9*K922*(SIN(F922))^2 + $B$8*($B$10+K922*COS(F922))*COS(F922)</f>
        <v/>
      </c>
      <c r="N922" s="18">
        <f>0.5*$B$9*(J922^2 + (K922*SIN(F922))^2) + 0.5*$B$8*($B$10 + K922*COS(F922))^2</f>
        <v/>
      </c>
      <c r="O922" s="18">
        <f>$B$3*$B$6*$B$5*COS(F922)</f>
        <v/>
      </c>
      <c r="P922" s="18">
        <f>N922+O922</f>
        <v/>
      </c>
      <c r="Q922" s="19">
        <f>ABS(P922-$P$3)</f>
        <v/>
      </c>
    </row>
    <row r="923">
      <c r="D923" s="6" t="n">
        <v>921</v>
      </c>
      <c r="E923" s="7" t="n">
        <v>9.206576125804146</v>
      </c>
      <c r="F923" s="8" t="n">
        <v>1.411478796958166</v>
      </c>
      <c r="G923" s="9">
        <f>DEGREES(F923)</f>
        <v/>
      </c>
      <c r="H923" s="8" t="n">
        <v>9.938425298200947</v>
      </c>
      <c r="I923" s="9">
        <f>DEGREES(H923)</f>
        <v/>
      </c>
      <c r="J923" s="10" t="n">
        <v>-1.184206536831629</v>
      </c>
      <c r="K923" s="10" t="n">
        <v>0.7965876491836527</v>
      </c>
      <c r="L923" s="11">
        <f>$B$5*$B$3*$B$6*SIN(F923)</f>
        <v/>
      </c>
      <c r="M923" s="11">
        <f>$B$9*K923*(SIN(F923))^2 + $B$8*($B$10+K923*COS(F923))*COS(F923)</f>
        <v/>
      </c>
      <c r="N923" s="11">
        <f>0.5*$B$9*(J923^2 + (K923*SIN(F923))^2) + 0.5*$B$8*($B$10 + K923*COS(F923))^2</f>
        <v/>
      </c>
      <c r="O923" s="11">
        <f>$B$3*$B$6*$B$5*COS(F923)</f>
        <v/>
      </c>
      <c r="P923" s="11">
        <f>N923+O923</f>
        <v/>
      </c>
      <c r="Q923" s="12">
        <f>ABS(P923-$P$3)</f>
        <v/>
      </c>
    </row>
    <row r="924">
      <c r="D924" s="13" t="n">
        <v>922</v>
      </c>
      <c r="E924" s="14" t="n">
        <v>9.216583273766977</v>
      </c>
      <c r="F924" s="15" t="n">
        <v>1.39953920743328</v>
      </c>
      <c r="G924" s="16">
        <f>DEGREES(F924)</f>
        <v/>
      </c>
      <c r="H924" s="15" t="n">
        <v>9.946694855097661</v>
      </c>
      <c r="I924" s="16">
        <f>DEGREES(H924)</f>
        <v/>
      </c>
      <c r="J924" s="17" t="n">
        <v>-1.201381191200606</v>
      </c>
      <c r="K924" s="17" t="n">
        <v>0.8562855968080816</v>
      </c>
      <c r="L924" s="18">
        <f>$B$5*$B$3*$B$6*SIN(F924)</f>
        <v/>
      </c>
      <c r="M924" s="18">
        <f>$B$9*K924*(SIN(F924))^2 + $B$8*($B$10+K924*COS(F924))*COS(F924)</f>
        <v/>
      </c>
      <c r="N924" s="18">
        <f>0.5*$B$9*(J924^2 + (K924*SIN(F924))^2) + 0.5*$B$8*($B$10 + K924*COS(F924))^2</f>
        <v/>
      </c>
      <c r="O924" s="18">
        <f>$B$3*$B$6*$B$5*COS(F924)</f>
        <v/>
      </c>
      <c r="P924" s="18">
        <f>N924+O924</f>
        <v/>
      </c>
      <c r="Q924" s="19">
        <f>ABS(P924-$P$3)</f>
        <v/>
      </c>
    </row>
    <row r="925">
      <c r="D925" s="6" t="n">
        <v>923</v>
      </c>
      <c r="E925" s="7" t="n">
        <v>9.226590421729808</v>
      </c>
      <c r="F925" s="8" t="n">
        <v>1.38744658168937</v>
      </c>
      <c r="G925" s="9">
        <f>DEGREES(F925)</f>
        <v/>
      </c>
      <c r="H925" s="8" t="n">
        <v>9.955565804226383</v>
      </c>
      <c r="I925" s="9">
        <f>DEGREES(H925)</f>
        <v/>
      </c>
      <c r="J925" s="10" t="n">
        <v>-1.214783913490418</v>
      </c>
      <c r="K925" s="10" t="n">
        <v>0.9167487255276348</v>
      </c>
      <c r="L925" s="11">
        <f>$B$5*$B$3*$B$6*SIN(F925)</f>
        <v/>
      </c>
      <c r="M925" s="11">
        <f>$B$9*K925*(SIN(F925))^2 + $B$8*($B$10+K925*COS(F925))*COS(F925)</f>
        <v/>
      </c>
      <c r="N925" s="11">
        <f>0.5*$B$9*(J925^2 + (K925*SIN(F925))^2) + 0.5*$B$8*($B$10 + K925*COS(F925))^2</f>
        <v/>
      </c>
      <c r="O925" s="11">
        <f>$B$3*$B$6*$B$5*COS(F925)</f>
        <v/>
      </c>
      <c r="P925" s="11">
        <f>N925+O925</f>
        <v/>
      </c>
      <c r="Q925" s="12">
        <f>ABS(P925-$P$3)</f>
        <v/>
      </c>
    </row>
    <row r="926">
      <c r="D926" s="13" t="n">
        <v>924</v>
      </c>
      <c r="E926" s="14" t="n">
        <v>9.236597569692638</v>
      </c>
      <c r="F926" s="15" t="n">
        <v>1.375238886496098</v>
      </c>
      <c r="G926" s="16">
        <f>DEGREES(F926)</f>
        <v/>
      </c>
      <c r="H926" s="15" t="n">
        <v>9.965044854775782</v>
      </c>
      <c r="I926" s="16">
        <f>DEGREES(H926)</f>
        <v/>
      </c>
      <c r="J926" s="17" t="n">
        <v>-1.224372623669747</v>
      </c>
      <c r="K926" s="17" t="n">
        <v>0.9777872014939928</v>
      </c>
      <c r="L926" s="18">
        <f>$B$5*$B$3*$B$6*SIN(F926)</f>
        <v/>
      </c>
      <c r="M926" s="18">
        <f>$B$9*K926*(SIN(F926))^2 + $B$8*($B$10+K926*COS(F926))*COS(F926)</f>
        <v/>
      </c>
      <c r="N926" s="18">
        <f>0.5*$B$9*(J926^2 + (K926*SIN(F926))^2) + 0.5*$B$8*($B$10 + K926*COS(F926))^2</f>
        <v/>
      </c>
      <c r="O926" s="18">
        <f>$B$3*$B$6*$B$5*COS(F926)</f>
        <v/>
      </c>
      <c r="P926" s="18">
        <f>N926+O926</f>
        <v/>
      </c>
      <c r="Q926" s="19">
        <f>ABS(P926-$P$3)</f>
        <v/>
      </c>
    </row>
    <row r="927">
      <c r="D927" s="6" t="n">
        <v>925</v>
      </c>
      <c r="E927" s="7" t="n">
        <v>9.246604717655469</v>
      </c>
      <c r="F927" s="8" t="n">
        <v>1.362954449902418</v>
      </c>
      <c r="G927" s="9">
        <f>DEGREES(F927)</f>
        <v/>
      </c>
      <c r="H927" s="8" t="n">
        <v>9.975136806700991</v>
      </c>
      <c r="I927" s="9">
        <f>DEGREES(H927)</f>
        <v/>
      </c>
      <c r="J927" s="10" t="n">
        <v>-1.230117216419994</v>
      </c>
      <c r="K927" s="10" t="n">
        <v>1.039209384462395</v>
      </c>
      <c r="L927" s="11">
        <f>$B$5*$B$3*$B$6*SIN(F927)</f>
        <v/>
      </c>
      <c r="M927" s="11">
        <f>$B$9*K927*(SIN(F927))^2 + $B$8*($B$10+K927*COS(F927))*COS(F927)</f>
        <v/>
      </c>
      <c r="N927" s="11">
        <f>0.5*$B$9*(J927^2 + (K927*SIN(F927))^2) + 0.5*$B$8*($B$10 + K927*COS(F927))^2</f>
        <v/>
      </c>
      <c r="O927" s="11">
        <f>$B$3*$B$6*$B$5*COS(F927)</f>
        <v/>
      </c>
      <c r="P927" s="11">
        <f>N927+O927</f>
        <v/>
      </c>
      <c r="Q927" s="12">
        <f>ABS(P927-$P$3)</f>
        <v/>
      </c>
    </row>
    <row r="928">
      <c r="D928" s="13" t="n">
        <v>926</v>
      </c>
      <c r="E928" s="14" t="n">
        <v>9.2566118656183</v>
      </c>
      <c r="F928" s="15" t="n">
        <v>1.350631840899426</v>
      </c>
      <c r="G928" s="16">
        <f>DEGREES(F928)</f>
        <v/>
      </c>
      <c r="H928" s="15" t="n">
        <v>9.985844535653372</v>
      </c>
      <c r="I928" s="16">
        <f>DEGREES(H928)</f>
        <v/>
      </c>
      <c r="J928" s="17" t="n">
        <v>-1.231999655655827</v>
      </c>
      <c r="K928" s="17" t="n">
        <v>1.100822429477355</v>
      </c>
      <c r="L928" s="18">
        <f>$B$5*$B$3*$B$6*SIN(F928)</f>
        <v/>
      </c>
      <c r="M928" s="18">
        <f>$B$9*K928*(SIN(F928))^2 + $B$8*($B$10+K928*COS(F928))*COS(F928)</f>
        <v/>
      </c>
      <c r="N928" s="18">
        <f>0.5*$B$9*(J928^2 + (K928*SIN(F928))^2) + 0.5*$B$8*($B$10 + K928*COS(F928))^2</f>
        <v/>
      </c>
      <c r="O928" s="18">
        <f>$B$3*$B$6*$B$5*COS(F928)</f>
        <v/>
      </c>
      <c r="P928" s="18">
        <f>N928+O928</f>
        <v/>
      </c>
      <c r="Q928" s="19">
        <f>ABS(P928-$P$3)</f>
        <v/>
      </c>
    </row>
    <row r="929">
      <c r="D929" s="6" t="n">
        <v>927</v>
      </c>
      <c r="E929" s="7" t="n">
        <v>9.266619013581129</v>
      </c>
      <c r="F929" s="8" t="n">
        <v>1.338309748326716</v>
      </c>
      <c r="G929" s="9">
        <f>DEGREES(F929)</f>
        <v/>
      </c>
      <c r="H929" s="8" t="n">
        <v>9.997168983951932</v>
      </c>
      <c r="I929" s="9">
        <f>DEGREES(H929)</f>
        <v/>
      </c>
      <c r="J929" s="10" t="n">
        <v>-1.230014031152423</v>
      </c>
      <c r="K929" s="10" t="n">
        <v>1.162432892340904</v>
      </c>
      <c r="L929" s="11">
        <f>$B$5*$B$3*$B$6*SIN(F929)</f>
        <v/>
      </c>
      <c r="M929" s="11">
        <f>$B$9*K929*(SIN(F929))^2 + $B$8*($B$10+K929*COS(F929))*COS(F929)</f>
        <v/>
      </c>
      <c r="N929" s="11">
        <f>0.5*$B$9*(J929^2 + (K929*SIN(F929))^2) + 0.5*$B$8*($B$10 + K929*COS(F929))^2</f>
        <v/>
      </c>
      <c r="O929" s="11">
        <f>$B$3*$B$6*$B$5*COS(F929)</f>
        <v/>
      </c>
      <c r="P929" s="11">
        <f>N929+O929</f>
        <v/>
      </c>
      <c r="Q929" s="12">
        <f>ABS(P929-$P$3)</f>
        <v/>
      </c>
    </row>
    <row r="930">
      <c r="D930" s="13" t="n">
        <v>928</v>
      </c>
      <c r="E930" s="14" t="n">
        <v>9.276626161543961</v>
      </c>
      <c r="F930" s="15" t="n">
        <v>1.326026859402462</v>
      </c>
      <c r="G930" s="16">
        <f>DEGREES(F930)</f>
        <v/>
      </c>
      <c r="H930" s="15" t="n">
        <v>10.00910915762477</v>
      </c>
      <c r="I930" s="16">
        <f>DEGREES(H930)</f>
        <v/>
      </c>
      <c r="J930" s="17" t="n">
        <v>-1.224166577101573</v>
      </c>
      <c r="K930" s="17" t="n">
        <v>1.223847336962175</v>
      </c>
      <c r="L930" s="18">
        <f>$B$5*$B$3*$B$6*SIN(F930)</f>
        <v/>
      </c>
      <c r="M930" s="18">
        <f>$B$9*K930*(SIN(F930))^2 + $B$8*($B$10+K930*COS(F930))*COS(F930)</f>
        <v/>
      </c>
      <c r="N930" s="18">
        <f>0.5*$B$9*(J930^2 + (K930*SIN(F930))^2) + 0.5*$B$8*($B$10 + K930*COS(F930))^2</f>
        <v/>
      </c>
      <c r="O930" s="18">
        <f>$B$3*$B$6*$B$5*COS(F930)</f>
        <v/>
      </c>
      <c r="P930" s="18">
        <f>N930+O930</f>
        <v/>
      </c>
      <c r="Q930" s="19">
        <f>ABS(P930-$P$3)</f>
        <v/>
      </c>
    </row>
    <row r="931">
      <c r="D931" s="6" t="n">
        <v>929</v>
      </c>
      <c r="E931" s="7" t="n">
        <v>9.286633309506792</v>
      </c>
      <c r="F931" s="8" t="n">
        <v>1.313821738258595</v>
      </c>
      <c r="G931" s="9">
        <f>DEGREES(F931)</f>
        <v/>
      </c>
      <c r="H931" s="8" t="n">
        <v>10.02166212952979</v>
      </c>
      <c r="I931" s="9">
        <f>DEGREES(H931)</f>
        <v/>
      </c>
      <c r="J931" s="10" t="n">
        <v>-1.214475652538425</v>
      </c>
      <c r="K931" s="10" t="n">
        <v>1.284872942681506</v>
      </c>
      <c r="L931" s="11">
        <f>$B$5*$B$3*$B$6*SIN(F931)</f>
        <v/>
      </c>
      <c r="M931" s="11">
        <f>$B$9*K931*(SIN(F931))^2 + $B$8*($B$10+K931*COS(F931))*COS(F931)</f>
        <v/>
      </c>
      <c r="N931" s="11">
        <f>0.5*$B$9*(J931^2 + (K931*SIN(F931))^2) + 0.5*$B$8*($B$10 + K931*COS(F931))^2</f>
        <v/>
      </c>
      <c r="O931" s="11">
        <f>$B$3*$B$6*$B$5*COS(F931)</f>
        <v/>
      </c>
      <c r="P931" s="11">
        <f>N931+O931</f>
        <v/>
      </c>
      <c r="Q931" s="12">
        <f>ABS(P931-$P$3)</f>
        <v/>
      </c>
    </row>
    <row r="932">
      <c r="D932" s="13" t="n">
        <v>930</v>
      </c>
      <c r="E932" s="14" t="n">
        <v>9.296640457469621</v>
      </c>
      <c r="F932" s="15" t="n">
        <v>1.301732704862431</v>
      </c>
      <c r="G932" s="16">
        <f>DEGREES(F932)</f>
        <v/>
      </c>
      <c r="H932" s="15" t="n">
        <v>10.03482304854498</v>
      </c>
      <c r="I932" s="16">
        <f>DEGREES(H932)</f>
        <v/>
      </c>
      <c r="J932" s="17" t="n">
        <v>-1.200971683700304</v>
      </c>
      <c r="K932" s="17" t="n">
        <v>1.345318109662328</v>
      </c>
      <c r="L932" s="18">
        <f>$B$5*$B$3*$B$6*SIN(F932)</f>
        <v/>
      </c>
      <c r="M932" s="18">
        <f>$B$9*K932*(SIN(F932))^2 + $B$8*($B$10+K932*COS(F932))*COS(F932)</f>
        <v/>
      </c>
      <c r="N932" s="18">
        <f>0.5*$B$9*(J932^2 + (K932*SIN(F932))^2) + 0.5*$B$8*($B$10 + K932*COS(F932))^2</f>
        <v/>
      </c>
      <c r="O932" s="18">
        <f>$B$3*$B$6*$B$5*COS(F932)</f>
        <v/>
      </c>
      <c r="P932" s="18">
        <f>N932+O932</f>
        <v/>
      </c>
      <c r="Q932" s="19">
        <f>ABS(P932-$P$3)</f>
        <v/>
      </c>
    </row>
    <row r="933">
      <c r="D933" s="6" t="n">
        <v>931</v>
      </c>
      <c r="E933" s="7" t="n">
        <v>9.306647605432453</v>
      </c>
      <c r="F933" s="8" t="n">
        <v>1.289797714704866</v>
      </c>
      <c r="G933" s="9">
        <f>DEGREES(F933)</f>
        <v/>
      </c>
      <c r="H933" s="8" t="n">
        <v>10.04858515479927</v>
      </c>
      <c r="I933" s="9">
        <f>DEGREES(H933)</f>
        <v/>
      </c>
      <c r="J933" s="10" t="n">
        <v>-1.183697068498567</v>
      </c>
      <c r="K933" s="10" t="n">
        <v>1.404993060450153</v>
      </c>
      <c r="L933" s="11">
        <f>$B$5*$B$3*$B$6*SIN(F933)</f>
        <v/>
      </c>
      <c r="M933" s="11">
        <f>$B$9*K933*(SIN(F933))^2 + $B$8*($B$10+K933*COS(F933))*COS(F933)</f>
        <v/>
      </c>
      <c r="N933" s="11">
        <f>0.5*$B$9*(J933^2 + (K933*SIN(F933))^2) + 0.5*$B$8*($B$10 + K933*COS(F933))^2</f>
        <v/>
      </c>
      <c r="O933" s="11">
        <f>$B$3*$B$6*$B$5*COS(F933)</f>
        <v/>
      </c>
      <c r="P933" s="11">
        <f>N933+O933</f>
        <v/>
      </c>
      <c r="Q933" s="12">
        <f>ABS(P933-$P$3)</f>
        <v/>
      </c>
    </row>
    <row r="934">
      <c r="D934" s="13" t="n">
        <v>932</v>
      </c>
      <c r="E934" s="14" t="n">
        <v>9.316654753395284</v>
      </c>
      <c r="F934" s="15" t="n">
        <v>1.278054239632946</v>
      </c>
      <c r="G934" s="16">
        <f>DEGREES(F934)</f>
        <v/>
      </c>
      <c r="H934" s="15" t="n">
        <v>10.06293980089625</v>
      </c>
      <c r="I934" s="16">
        <f>DEGREES(H934)</f>
        <v/>
      </c>
      <c r="J934" s="17" t="n">
        <v>-1.162706043403463</v>
      </c>
      <c r="K934" s="17" t="n">
        <v>1.463710435809753</v>
      </c>
      <c r="L934" s="18">
        <f>$B$5*$B$3*$B$6*SIN(F934)</f>
        <v/>
      </c>
      <c r="M934" s="18">
        <f>$B$9*K934*(SIN(F934))^2 + $B$8*($B$10+K934*COS(F934))*COS(F934)</f>
        <v/>
      </c>
      <c r="N934" s="18">
        <f>0.5*$B$9*(J934^2 + (K934*SIN(F934))^2) + 0.5*$B$8*($B$10 + K934*COS(F934))^2</f>
        <v/>
      </c>
      <c r="O934" s="18">
        <f>$B$3*$B$6*$B$5*COS(F934)</f>
        <v/>
      </c>
      <c r="P934" s="18">
        <f>N934+O934</f>
        <v/>
      </c>
      <c r="Q934" s="19">
        <f>ABS(P934-$P$3)</f>
        <v/>
      </c>
    </row>
    <row r="935">
      <c r="D935" s="6" t="n">
        <v>933</v>
      </c>
      <c r="E935" s="7" t="n">
        <v>9.326661901358113</v>
      </c>
      <c r="F935" s="8" t="n">
        <v>1.266539150200892</v>
      </c>
      <c r="G935" s="9">
        <f>DEGREES(F935)</f>
        <v/>
      </c>
      <c r="H935" s="8" t="n">
        <v>10.07787647906409</v>
      </c>
      <c r="I935" s="9">
        <f>DEGREES(H935)</f>
        <v/>
      </c>
      <c r="J935" s="10" t="n">
        <v>-1.138064513159897</v>
      </c>
      <c r="K935" s="10" t="n">
        <v>1.521285882970025</v>
      </c>
      <c r="L935" s="11">
        <f>$B$5*$B$3*$B$6*SIN(F935)</f>
        <v/>
      </c>
      <c r="M935" s="11">
        <f>$B$9*K935*(SIN(F935))^2 + $B$8*($B$10+K935*COS(F935))*COS(F935)</f>
        <v/>
      </c>
      <c r="N935" s="11">
        <f>0.5*$B$9*(J935^2 + (K935*SIN(F935))^2) + 0.5*$B$8*($B$10 + K935*COS(F935))^2</f>
        <v/>
      </c>
      <c r="O935" s="11">
        <f>$B$3*$B$6*$B$5*COS(F935)</f>
        <v/>
      </c>
      <c r="P935" s="11">
        <f>N935+O935</f>
        <v/>
      </c>
      <c r="Q935" s="12">
        <f>ABS(P935-$P$3)</f>
        <v/>
      </c>
    </row>
    <row r="936">
      <c r="D936" s="13" t="n">
        <v>934</v>
      </c>
      <c r="E936" s="14" t="n">
        <v>9.336669049320944</v>
      </c>
      <c r="F936" s="15" t="n">
        <v>1.255288599908971</v>
      </c>
      <c r="G936" s="16">
        <f>DEGREES(F936)</f>
        <v/>
      </c>
      <c r="H936" s="15" t="n">
        <v>10.09338285414642</v>
      </c>
      <c r="I936" s="16">
        <f>DEGREES(H936)</f>
        <v/>
      </c>
      <c r="J936" s="17" t="n">
        <v>-1.109849843868717</v>
      </c>
      <c r="K936" s="17" t="n">
        <v>1.577538634429629</v>
      </c>
      <c r="L936" s="18">
        <f>$B$5*$B$3*$B$6*SIN(F936)</f>
        <v/>
      </c>
      <c r="M936" s="18">
        <f>$B$9*K936*(SIN(F936))^2 + $B$8*($B$10+K936*COS(F936))*COS(F936)</f>
        <v/>
      </c>
      <c r="N936" s="18">
        <f>0.5*$B$9*(J936^2 + (K936*SIN(F936))^2) + 0.5*$B$8*($B$10 + K936*COS(F936))^2</f>
        <v/>
      </c>
      <c r="O936" s="18">
        <f>$B$3*$B$6*$B$5*COS(F936)</f>
        <v/>
      </c>
      <c r="P936" s="18">
        <f>N936+O936</f>
        <v/>
      </c>
      <c r="Q936" s="19">
        <f>ABS(P936-$P$3)</f>
        <v/>
      </c>
    </row>
    <row r="937">
      <c r="D937" s="6" t="n">
        <v>935</v>
      </c>
      <c r="E937" s="7" t="n">
        <v>9.346676197283776</v>
      </c>
      <c r="F937" s="8" t="n">
        <v>1.244337911693706</v>
      </c>
      <c r="G937" s="9">
        <f>DEGREES(F937)</f>
        <v/>
      </c>
      <c r="H937" s="8" t="n">
        <v>10.10944480233051</v>
      </c>
      <c r="I937" s="9">
        <f>DEGREES(H937)</f>
        <v/>
      </c>
      <c r="J937" s="10" t="n">
        <v>-1.078150620083257</v>
      </c>
      <c r="K937" s="10" t="n">
        <v>1.632292075505953</v>
      </c>
      <c r="L937" s="11">
        <f>$B$5*$B$3*$B$6*SIN(F937)</f>
        <v/>
      </c>
      <c r="M937" s="11">
        <f>$B$9*K937*(SIN(F937))^2 + $B$8*($B$10+K937*COS(F937))*COS(F937)</f>
        <v/>
      </c>
      <c r="N937" s="11">
        <f>0.5*$B$9*(J937^2 + (K937*SIN(F937))^2) + 0.5*$B$8*($B$10 + K937*COS(F937))^2</f>
        <v/>
      </c>
      <c r="O937" s="11">
        <f>$B$3*$B$6*$B$5*COS(F937)</f>
        <v/>
      </c>
      <c r="P937" s="11">
        <f>N937+O937</f>
        <v/>
      </c>
      <c r="Q937" s="12">
        <f>ABS(P937-$P$3)</f>
        <v/>
      </c>
    </row>
    <row r="938">
      <c r="D938" s="13" t="n">
        <v>936</v>
      </c>
      <c r="E938" s="14" t="n">
        <v>9.356683345246605</v>
      </c>
      <c r="F938" s="15" t="n">
        <v>1.233721467025751</v>
      </c>
      <c r="G938" s="16">
        <f>DEGREES(F938)</f>
        <v/>
      </c>
      <c r="H938" s="15" t="n">
        <v>10.12604645549134</v>
      </c>
      <c r="I938" s="16">
        <f>DEGREES(H938)</f>
        <v/>
      </c>
      <c r="J938" s="17" t="n">
        <v>-1.043066366683681</v>
      </c>
      <c r="K938" s="17" t="n">
        <v>1.685374298845727</v>
      </c>
      <c r="L938" s="18">
        <f>$B$5*$B$3*$B$6*SIN(F938)</f>
        <v/>
      </c>
      <c r="M938" s="18">
        <f>$B$9*K938*(SIN(F938))^2 + $B$8*($B$10+K938*COS(F938))*COS(F938)</f>
        <v/>
      </c>
      <c r="N938" s="18">
        <f>0.5*$B$9*(J938^2 + (K938*SIN(F938))^2) + 0.5*$B$8*($B$10 + K938*COS(F938))^2</f>
        <v/>
      </c>
      <c r="O938" s="18">
        <f>$B$3*$B$6*$B$5*COS(F938)</f>
        <v/>
      </c>
      <c r="P938" s="18">
        <f>N938+O938</f>
        <v/>
      </c>
      <c r="Q938" s="19">
        <f>ABS(P938-$P$3)</f>
        <v/>
      </c>
    </row>
    <row r="939">
      <c r="D939" s="6" t="n">
        <v>937</v>
      </c>
      <c r="E939" s="7" t="n">
        <v>9.366690493209436</v>
      </c>
      <c r="F939" s="8" t="n">
        <v>1.223472597963656</v>
      </c>
      <c r="G939" s="9">
        <f>DEGREES(F939)</f>
        <v/>
      </c>
      <c r="H939" s="8" t="n">
        <v>10.14317025101214</v>
      </c>
      <c r="I939" s="9">
        <f>DEGREES(H939)</f>
        <v/>
      </c>
      <c r="J939" s="10" t="n">
        <v>-1.004707236402382</v>
      </c>
      <c r="K939" s="10" t="n">
        <v>1.736618644156204</v>
      </c>
      <c r="L939" s="11">
        <f>$B$5*$B$3*$B$6*SIN(F939)</f>
        <v/>
      </c>
      <c r="M939" s="11">
        <f>$B$9*K939*(SIN(F939))^2 + $B$8*($B$10+K939*COS(F939))*COS(F939)</f>
        <v/>
      </c>
      <c r="N939" s="11">
        <f>0.5*$B$9*(J939^2 + (K939*SIN(F939))^2) + 0.5*$B$8*($B$10 + K939*COS(F939))^2</f>
        <v/>
      </c>
      <c r="O939" s="11">
        <f>$B$3*$B$6*$B$5*COS(F939)</f>
        <v/>
      </c>
      <c r="P939" s="11">
        <f>N939+O939</f>
        <v/>
      </c>
      <c r="Q939" s="12">
        <f>ABS(P939-$P$3)</f>
        <v/>
      </c>
    </row>
    <row r="940">
      <c r="D940" s="13" t="n">
        <v>938</v>
      </c>
      <c r="E940" s="14" t="n">
        <v>9.376697641172267</v>
      </c>
      <c r="F940" s="15" t="n">
        <v>1.213623482502446</v>
      </c>
      <c r="G940" s="16">
        <f>DEGREES(F940)</f>
        <v/>
      </c>
      <c r="H940" s="15" t="n">
        <v>10.16079698692509</v>
      </c>
      <c r="I940" s="16">
        <f>DEGREES(H940)</f>
        <v/>
      </c>
      <c r="J940" s="17" t="n">
        <v>-0.9631936639815651</v>
      </c>
      <c r="K940" s="17" t="n">
        <v>1.785864221462252</v>
      </c>
      <c r="L940" s="18">
        <f>$B$5*$B$3*$B$6*SIN(F940)</f>
        <v/>
      </c>
      <c r="M940" s="18">
        <f>$B$9*K940*(SIN(F940))^2 + $B$8*($B$10+K940*COS(F940))*COS(F940)</f>
        <v/>
      </c>
      <c r="N940" s="18">
        <f>0.5*$B$9*(J940^2 + (K940*SIN(F940))^2) + 0.5*$B$8*($B$10 + K940*COS(F940))^2</f>
        <v/>
      </c>
      <c r="O940" s="18">
        <f>$B$3*$B$6*$B$5*COS(F940)</f>
        <v/>
      </c>
      <c r="P940" s="18">
        <f>N940+O940</f>
        <v/>
      </c>
      <c r="Q940" s="19">
        <f>ABS(P940-$P$3)</f>
        <v/>
      </c>
    </row>
    <row r="941">
      <c r="D941" s="6" t="n">
        <v>939</v>
      </c>
      <c r="E941" s="7" t="n">
        <v>9.386704789135097</v>
      </c>
      <c r="F941" s="8" t="n">
        <v>1.204205043545553</v>
      </c>
      <c r="G941" s="9">
        <f>DEGREES(F941)</f>
        <v/>
      </c>
      <c r="H941" s="8" t="n">
        <v>10.178905882199</v>
      </c>
      <c r="I941" s="9">
        <f>DEGREES(H941)</f>
        <v/>
      </c>
      <c r="J941" s="10" t="n">
        <v>-0.918655988048706</v>
      </c>
      <c r="K941" s="10" t="n">
        <v>1.832956416246718</v>
      </c>
      <c r="L941" s="11">
        <f>$B$5*$B$3*$B$6*SIN(F941)</f>
        <v/>
      </c>
      <c r="M941" s="11">
        <f>$B$9*K941*(SIN(F941))^2 + $B$8*($B$10+K941*COS(F941))*COS(F941)</f>
        <v/>
      </c>
      <c r="N941" s="11">
        <f>0.5*$B$9*(J941^2 + (K941*SIN(F941))^2) + 0.5*$B$8*($B$10 + K941*COS(F941))^2</f>
        <v/>
      </c>
      <c r="O941" s="11">
        <f>$B$3*$B$6*$B$5*COS(F941)</f>
        <v/>
      </c>
      <c r="P941" s="11">
        <f>N941+O941</f>
        <v/>
      </c>
      <c r="Q941" s="12">
        <f>ABS(P941-$P$3)</f>
        <v/>
      </c>
    </row>
    <row r="942">
      <c r="D942" s="13" t="n">
        <v>940</v>
      </c>
      <c r="E942" s="14" t="n">
        <v>9.396711937097928</v>
      </c>
      <c r="F942" s="15" t="n">
        <v>1.195246851817317</v>
      </c>
      <c r="G942" s="16">
        <f>DEGREES(F942)</f>
        <v/>
      </c>
      <c r="H942" s="15" t="n">
        <v>10.19747464198483</v>
      </c>
      <c r="I942" s="16">
        <f>DEGREES(H942)</f>
        <v/>
      </c>
      <c r="J942" s="17" t="n">
        <v>-0.8712340418971775</v>
      </c>
      <c r="K942" s="17" t="n">
        <v>1.877747374887897</v>
      </c>
      <c r="L942" s="18">
        <f>$B$5*$B$3*$B$6*SIN(F942)</f>
        <v/>
      </c>
      <c r="M942" s="18">
        <f>$B$9*K942*(SIN(F942))^2 + $B$8*($B$10+K942*COS(F942))*COS(F942)</f>
        <v/>
      </c>
      <c r="N942" s="18">
        <f>0.5*$B$9*(J942^2 + (K942*SIN(F942))^2) + 0.5*$B$8*($B$10 + K942*COS(F942))^2</f>
        <v/>
      </c>
      <c r="O942" s="18">
        <f>$B$3*$B$6*$B$5*COS(F942)</f>
        <v/>
      </c>
      <c r="P942" s="18">
        <f>N942+O942</f>
        <v/>
      </c>
      <c r="Q942" s="19">
        <f>ABS(P942-$P$3)</f>
        <v/>
      </c>
    </row>
    <row r="943">
      <c r="D943" s="6" t="n">
        <v>941</v>
      </c>
      <c r="E943" s="7" t="n">
        <v>9.406719085060759</v>
      </c>
      <c r="F943" s="8" t="n">
        <v>1.18677703302089</v>
      </c>
      <c r="G943" s="9">
        <f>DEGREES(F943)</f>
        <v/>
      </c>
      <c r="H943" s="8" t="n">
        <v>10.21647952761389</v>
      </c>
      <c r="I943" s="9">
        <f>DEGREES(H943)</f>
        <v/>
      </c>
      <c r="J943" s="10" t="n">
        <v>-0.8210767144568846</v>
      </c>
      <c r="K943" s="10" t="n">
        <v>1.920096468870034</v>
      </c>
      <c r="L943" s="11">
        <f>$B$5*$B$3*$B$6*SIN(F943)</f>
        <v/>
      </c>
      <c r="M943" s="11">
        <f>$B$9*K943*(SIN(F943))^2 + $B$8*($B$10+K943*COS(F943))*COS(F943)</f>
        <v/>
      </c>
      <c r="N943" s="11">
        <f>0.5*$B$9*(J943^2 + (K943*SIN(F943))^2) + 0.5*$B$8*($B$10 + K943*COS(F943))^2</f>
        <v/>
      </c>
      <c r="O943" s="11">
        <f>$B$3*$B$6*$B$5*COS(F943)</f>
        <v/>
      </c>
      <c r="P943" s="11">
        <f>N943+O943</f>
        <v/>
      </c>
      <c r="Q943" s="12">
        <f>ABS(P943-$P$3)</f>
        <v/>
      </c>
    </row>
    <row r="944">
      <c r="D944" s="13" t="n">
        <v>942</v>
      </c>
      <c r="E944" s="14" t="n">
        <v>9.416726233023589</v>
      </c>
      <c r="F944" s="15" t="n">
        <v>1.178822179532993</v>
      </c>
      <c r="G944" s="16">
        <f>DEGREES(F944)</f>
        <v/>
      </c>
      <c r="H944" s="15" t="n">
        <v>10.23589543112934</v>
      </c>
      <c r="I944" s="16">
        <f>DEGREES(H944)</f>
        <v/>
      </c>
      <c r="J944" s="17" t="n">
        <v>-0.7683414828331496</v>
      </c>
      <c r="K944" s="17" t="n">
        <v>1.959870736309521</v>
      </c>
      <c r="L944" s="18">
        <f>$B$5*$B$3*$B$6*SIN(F944)</f>
        <v/>
      </c>
      <c r="M944" s="18">
        <f>$B$9*K944*(SIN(F944))^2 + $B$8*($B$10+K944*COS(F944))*COS(F944)</f>
        <v/>
      </c>
      <c r="N944" s="18">
        <f>0.5*$B$9*(J944^2 + (K944*SIN(F944))^2) + 0.5*$B$8*($B$10 + K944*COS(F944))^2</f>
        <v/>
      </c>
      <c r="O944" s="18">
        <f>$B$3*$B$6*$B$5*COS(F944)</f>
        <v/>
      </c>
      <c r="P944" s="18">
        <f>N944+O944</f>
        <v/>
      </c>
      <c r="Q944" s="19">
        <f>ABS(P944-$P$3)</f>
        <v/>
      </c>
    </row>
    <row r="945">
      <c r="D945" s="6" t="n">
        <v>943</v>
      </c>
      <c r="E945" s="7" t="n">
        <v>9.42673338098642</v>
      </c>
      <c r="F945" s="8" t="n">
        <v>1.171407266912818</v>
      </c>
      <c r="G945" s="9">
        <f>DEGREES(F945)</f>
        <v/>
      </c>
      <c r="H945" s="8" t="n">
        <v>10.25569595411668</v>
      </c>
      <c r="I945" s="9">
        <f>DEGREES(H945)</f>
        <v/>
      </c>
      <c r="J945" s="10" t="n">
        <v>-0.713193917881671</v>
      </c>
      <c r="K945" s="10" t="n">
        <v>1.996945299410394</v>
      </c>
      <c r="L945" s="11">
        <f>$B$5*$B$3*$B$6*SIN(F945)</f>
        <v/>
      </c>
      <c r="M945" s="11">
        <f>$B$9*K945*(SIN(F945))^2 + $B$8*($B$10+K945*COS(F945))*COS(F945)</f>
        <v/>
      </c>
      <c r="N945" s="11">
        <f>0.5*$B$9*(J945^2 + (K945*SIN(F945))^2) + 0.5*$B$8*($B$10 + K945*COS(F945))^2</f>
        <v/>
      </c>
      <c r="O945" s="11">
        <f>$B$3*$B$6*$B$5*COS(F945)</f>
        <v/>
      </c>
      <c r="P945" s="11">
        <f>N945+O945</f>
        <v/>
      </c>
      <c r="Q945" s="12">
        <f>ABS(P945-$P$3)</f>
        <v/>
      </c>
    </row>
    <row r="946">
      <c r="D946" s="13" t="n">
        <v>944</v>
      </c>
      <c r="E946" s="14" t="n">
        <v>9.436740528949251</v>
      </c>
      <c r="F946" s="15" t="n">
        <v>1.164555575487194</v>
      </c>
      <c r="G946" s="16">
        <f>DEGREES(F946)</f>
        <v/>
      </c>
      <c r="H946" s="15" t="n">
        <v>10.27585349058591</v>
      </c>
      <c r="I946" s="16">
        <f>DEGREES(H946)</f>
        <v/>
      </c>
      <c r="J946" s="17" t="n">
        <v>-0.6558071643718615</v>
      </c>
      <c r="K946" s="17" t="n">
        <v>2.031203756538512</v>
      </c>
      <c r="L946" s="18">
        <f>$B$5*$B$3*$B$6*SIN(F946)</f>
        <v/>
      </c>
      <c r="M946" s="18">
        <f>$B$9*K946*(SIN(F946))^2 + $B$8*($B$10+K946*COS(F946))*COS(F946)</f>
        <v/>
      </c>
      <c r="N946" s="18">
        <f>0.5*$B$9*(J946^2 + (K946*SIN(F946))^2) + 0.5*$B$8*($B$10 + K946*COS(F946))^2</f>
        <v/>
      </c>
      <c r="O946" s="18">
        <f>$B$3*$B$6*$B$5*COS(F946)</f>
        <v/>
      </c>
      <c r="P946" s="18">
        <f>N946+O946</f>
        <v/>
      </c>
      <c r="Q946" s="19">
        <f>ABS(P946-$P$3)</f>
        <v/>
      </c>
    </row>
    <row r="947">
      <c r="D947" s="6" t="n">
        <v>945</v>
      </c>
      <c r="E947" s="7" t="n">
        <v>9.44674767691208</v>
      </c>
      <c r="F947" s="8" t="n">
        <v>1.158288617258205</v>
      </c>
      <c r="G947" s="9">
        <f>DEGREES(F947)</f>
        <v/>
      </c>
      <c r="H947" s="8" t="n">
        <v>10.29633931364496</v>
      </c>
      <c r="I947" s="9">
        <f>DEGREES(H947)</f>
        <v/>
      </c>
      <c r="J947" s="10" t="n">
        <v>-0.5963613973706313</v>
      </c>
      <c r="K947" s="10" t="n">
        <v>2.06253854768346</v>
      </c>
      <c r="L947" s="11">
        <f>$B$5*$B$3*$B$6*SIN(F947)</f>
        <v/>
      </c>
      <c r="M947" s="11">
        <f>$B$9*K947*(SIN(F947))^2 + $B$8*($B$10+K947*COS(F947))*COS(F947)</f>
        <v/>
      </c>
      <c r="N947" s="11">
        <f>0.5*$B$9*(J947^2 + (K947*SIN(F947))^2) + 0.5*$B$8*($B$10 + K947*COS(F947))^2</f>
        <v/>
      </c>
      <c r="O947" s="11">
        <f>$B$3*$B$6*$B$5*COS(F947)</f>
        <v/>
      </c>
      <c r="P947" s="11">
        <f>N947+O947</f>
        <v/>
      </c>
      <c r="Q947" s="12">
        <f>ABS(P947-$P$3)</f>
        <v/>
      </c>
    </row>
    <row r="948">
      <c r="D948" s="13" t="n">
        <v>946</v>
      </c>
      <c r="E948" s="14" t="n">
        <v>9.456754824874912</v>
      </c>
      <c r="F948" s="15" t="n">
        <v>1.152626068362743</v>
      </c>
      <c r="G948" s="16">
        <f>DEGREES(F948)</f>
        <v/>
      </c>
      <c r="H948" s="15" t="n">
        <v>10.31712366569255</v>
      </c>
      <c r="I948" s="16">
        <f>DEGREES(H948)</f>
        <v/>
      </c>
      <c r="J948" s="17" t="n">
        <v>-0.5350432565533294</v>
      </c>
      <c r="K948" s="17" t="n">
        <v>2.090851292160769</v>
      </c>
      <c r="L948" s="18">
        <f>$B$5*$B$3*$B$6*SIN(F948)</f>
        <v/>
      </c>
      <c r="M948" s="18">
        <f>$B$9*K948*(SIN(F948))^2 + $B$8*($B$10+K948*COS(F948))*COS(F948)</f>
        <v/>
      </c>
      <c r="N948" s="18">
        <f>0.5*$B$9*(J948^2 + (K948*SIN(F948))^2) + 0.5*$B$8*($B$10 + K948*COS(F948))^2</f>
        <v/>
      </c>
      <c r="O948" s="18">
        <f>$B$3*$B$6*$B$5*COS(F948)</f>
        <v/>
      </c>
      <c r="P948" s="18">
        <f>N948+O948</f>
        <v/>
      </c>
      <c r="Q948" s="19">
        <f>ABS(P948-$P$3)</f>
        <v/>
      </c>
    </row>
    <row r="949">
      <c r="D949" s="6" t="n">
        <v>947</v>
      </c>
      <c r="E949" s="7" t="n">
        <v>9.466761972837743</v>
      </c>
      <c r="F949" s="8" t="n">
        <v>1.147585707296082</v>
      </c>
      <c r="G949" s="9">
        <f>DEGREES(F949)</f>
        <v/>
      </c>
      <c r="H949" s="8" t="n">
        <v>10.33817585184694</v>
      </c>
      <c r="I949" s="9">
        <f>DEGREES(H949)</f>
        <v/>
      </c>
      <c r="J949" s="10" t="n">
        <v>-0.4720452602181247</v>
      </c>
      <c r="K949" s="10" t="n">
        <v>2.116053097494072</v>
      </c>
      <c r="L949" s="11">
        <f>$B$5*$B$3*$B$6*SIN(F949)</f>
        <v/>
      </c>
      <c r="M949" s="11">
        <f>$B$9*K949*(SIN(F949))^2 + $B$8*($B$10+K949*COS(F949))*COS(F949)</f>
        <v/>
      </c>
      <c r="N949" s="11">
        <f>0.5*$B$9*(J949^2 + (K949*SIN(F949))^2) + 0.5*$B$8*($B$10 + K949*COS(F949))^2</f>
        <v/>
      </c>
      <c r="O949" s="11">
        <f>$B$3*$B$6*$B$5*COS(F949)</f>
        <v/>
      </c>
      <c r="P949" s="11">
        <f>N949+O949</f>
        <v/>
      </c>
      <c r="Q949" s="12">
        <f>ABS(P949-$P$3)</f>
        <v/>
      </c>
    </row>
    <row r="950">
      <c r="D950" s="13" t="n">
        <v>948</v>
      </c>
      <c r="E950" s="14" t="n">
        <v>9.476769120800572</v>
      </c>
      <c r="F950" s="15" t="n">
        <v>1.14318335909339</v>
      </c>
      <c r="G950" s="16">
        <f>DEGREES(F950)</f>
        <v/>
      </c>
      <c r="H950" s="15" t="n">
        <v>10.35946433631758</v>
      </c>
      <c r="I950" s="16">
        <f>DEGREES(H950)</f>
        <v/>
      </c>
      <c r="J950" s="17" t="n">
        <v>-0.4075652008434326</v>
      </c>
      <c r="K950" s="17" t="n">
        <v>2.138064838507534</v>
      </c>
      <c r="L950" s="18">
        <f>$B$5*$B$3*$B$6*SIN(F950)</f>
        <v/>
      </c>
      <c r="M950" s="18">
        <f>$B$9*K950*(SIN(F950))^2 + $B$8*($B$10+K950*COS(F950))*COS(F950)</f>
        <v/>
      </c>
      <c r="N950" s="18">
        <f>0.5*$B$9*(J950^2 + (K950*SIN(F950))^2) + 0.5*$B$8*($B$10 + K950*COS(F950))^2</f>
        <v/>
      </c>
      <c r="O950" s="18">
        <f>$B$3*$B$6*$B$5*COS(F950)</f>
        <v/>
      </c>
      <c r="P950" s="18">
        <f>N950+O950</f>
        <v/>
      </c>
      <c r="Q950" s="19">
        <f>ABS(P950-$P$3)</f>
        <v/>
      </c>
    </row>
    <row r="951">
      <c r="D951" s="6" t="n">
        <v>949</v>
      </c>
      <c r="E951" s="7" t="n">
        <v>9.486776268763403</v>
      </c>
      <c r="F951" s="8" t="n">
        <v>1.139432845644444</v>
      </c>
      <c r="G951" s="9">
        <f>DEGREES(F951)</f>
        <v/>
      </c>
      <c r="H951" s="8" t="n">
        <v>10.38095684141683</v>
      </c>
      <c r="I951" s="9">
        <f>DEGREES(H951)</f>
        <v/>
      </c>
      <c r="J951" s="10" t="n">
        <v>-0.3418055240861134</v>
      </c>
      <c r="K951" s="10" t="n">
        <v>2.156817405752261</v>
      </c>
      <c r="L951" s="11">
        <f>$B$5*$B$3*$B$6*SIN(F951)</f>
        <v/>
      </c>
      <c r="M951" s="11">
        <f>$B$9*K951*(SIN(F951))^2 + $B$8*($B$10+K951*COS(F951))*COS(F951)</f>
        <v/>
      </c>
      <c r="N951" s="11">
        <f>0.5*$B$9*(J951^2 + (K951*SIN(F951))^2) + 0.5*$B$8*($B$10 + K951*COS(F951))^2</f>
        <v/>
      </c>
      <c r="O951" s="11">
        <f>$B$3*$B$6*$B$5*COS(F951)</f>
        <v/>
      </c>
      <c r="P951" s="11">
        <f>N951+O951</f>
        <v/>
      </c>
      <c r="Q951" s="12">
        <f>ABS(P951-$P$3)</f>
        <v/>
      </c>
    </row>
    <row r="952">
      <c r="D952" s="13" t="n">
        <v>950</v>
      </c>
      <c r="E952" s="14" t="n">
        <v>9.496783416726233</v>
      </c>
      <c r="F952" s="15" t="n">
        <v>1.136345942297567</v>
      </c>
      <c r="G952" s="16">
        <f>DEGREES(F952)</f>
        <v/>
      </c>
      <c r="H952" s="15" t="n">
        <v>10.40262044890102</v>
      </c>
      <c r="I952" s="16">
        <f>DEGREES(H952)</f>
        <v/>
      </c>
      <c r="J952" s="17" t="n">
        <v>-0.2749726931704238</v>
      </c>
      <c r="K952" s="17" t="n">
        <v>2.172251922486647</v>
      </c>
      <c r="L952" s="18">
        <f>$B$5*$B$3*$B$6*SIN(F952)</f>
        <v/>
      </c>
      <c r="M952" s="18">
        <f>$B$9*K952*(SIN(F952))^2 + $B$8*($B$10+K952*COS(F952))*COS(F952)</f>
        <v/>
      </c>
      <c r="N952" s="18">
        <f>0.5*$B$9*(J952^2 + (K952*SIN(F952))^2) + 0.5*$B$8*($B$10 + K952*COS(F952))^2</f>
        <v/>
      </c>
      <c r="O952" s="18">
        <f>$B$3*$B$6*$B$5*COS(F952)</f>
        <v/>
      </c>
      <c r="P952" s="18">
        <f>N952+O952</f>
        <v/>
      </c>
      <c r="Q952" s="19">
        <f>ABS(P952-$P$3)</f>
        <v/>
      </c>
    </row>
    <row r="953">
      <c r="D953" s="6" t="n">
        <v>951</v>
      </c>
      <c r="E953" s="7" t="n">
        <v>9.506790564689064</v>
      </c>
      <c r="F953" s="8" t="n">
        <v>1.133932340888991</v>
      </c>
      <c r="G953" s="9">
        <f>DEGREES(F953)</f>
        <v/>
      </c>
      <c r="H953" s="8" t="n">
        <v>10.42442170332267</v>
      </c>
      <c r="I953" s="9">
        <f>DEGREES(H953)</f>
        <v/>
      </c>
      <c r="J953" s="10" t="n">
        <v>-0.2072765406629946</v>
      </c>
      <c r="K953" s="10" t="n">
        <v>2.184319929529529</v>
      </c>
      <c r="L953" s="11">
        <f>$B$5*$B$3*$B$6*SIN(F953)</f>
        <v/>
      </c>
      <c r="M953" s="11">
        <f>$B$9*K953*(SIN(F953))^2 + $B$8*($B$10+K953*COS(F953))*COS(F953)</f>
        <v/>
      </c>
      <c r="N953" s="11">
        <f>0.5*$B$9*(J953^2 + (K953*SIN(F953))^2) + 0.5*$B$8*($B$10 + K953*COS(F953))^2</f>
        <v/>
      </c>
      <c r="O953" s="11">
        <f>$B$3*$B$6*$B$5*COS(F953)</f>
        <v/>
      </c>
      <c r="P953" s="11">
        <f>N953+O953</f>
        <v/>
      </c>
      <c r="Q953" s="12">
        <f>ABS(P953-$P$3)</f>
        <v/>
      </c>
    </row>
    <row r="954">
      <c r="D954" s="13" t="n">
        <v>952</v>
      </c>
      <c r="E954" s="14" t="n">
        <v>9.516797712651895</v>
      </c>
      <c r="F954" s="15" t="n">
        <v>1.132199619313764</v>
      </c>
      <c r="G954" s="16">
        <f>DEGREES(F954)</f>
        <v/>
      </c>
      <c r="H954" s="15" t="n">
        <v>10.4463267170693</v>
      </c>
      <c r="I954" s="16">
        <f>DEGREES(H954)</f>
        <v/>
      </c>
      <c r="J954" s="17" t="n">
        <v>-0.1389296096693351</v>
      </c>
      <c r="K954" s="17" t="n">
        <v>2.192983537405665</v>
      </c>
      <c r="L954" s="18">
        <f>$B$5*$B$3*$B$6*SIN(F954)</f>
        <v/>
      </c>
      <c r="M954" s="18">
        <f>$B$9*K954*(SIN(F954))^2 + $B$8*($B$10+K954*COS(F954))*COS(F954)</f>
        <v/>
      </c>
      <c r="N954" s="18">
        <f>0.5*$B$9*(J954^2 + (K954*SIN(F954))^2) + 0.5*$B$8*($B$10 + K954*COS(F954))^2</f>
        <v/>
      </c>
      <c r="O954" s="18">
        <f>$B$3*$B$6*$B$5*COS(F954)</f>
        <v/>
      </c>
      <c r="P954" s="18">
        <f>N954+O954</f>
        <v/>
      </c>
      <c r="Q954" s="19">
        <f>ABS(P954-$P$3)</f>
        <v/>
      </c>
    </row>
    <row r="955">
      <c r="D955" s="6" t="n">
        <v>953</v>
      </c>
      <c r="E955" s="7" t="n">
        <v>9.526804860614725</v>
      </c>
      <c r="F955" s="8" t="n">
        <v>1.131153217733711</v>
      </c>
      <c r="G955" s="9">
        <f>DEGREES(F955)</f>
        <v/>
      </c>
      <c r="H955" s="8" t="n">
        <v>10.46830127675909</v>
      </c>
      <c r="I955" s="9">
        <f>DEGREES(H955)</f>
        <v/>
      </c>
      <c r="J955" s="10" t="n">
        <v>-0.07014648652011779</v>
      </c>
      <c r="K955" s="10" t="n">
        <v>2.198215545305928</v>
      </c>
      <c r="L955" s="11">
        <f>$B$5*$B$3*$B$6*SIN(F955)</f>
        <v/>
      </c>
      <c r="M955" s="11">
        <f>$B$9*K955*(SIN(F955))^2 + $B$8*($B$10+K955*COS(F955))*COS(F955)</f>
        <v/>
      </c>
      <c r="N955" s="11">
        <f>0.5*$B$9*(J955^2 + (K955*SIN(F955))^2) + 0.5*$B$8*($B$10 + K955*COS(F955))^2</f>
        <v/>
      </c>
      <c r="O955" s="11">
        <f>$B$3*$B$6*$B$5*COS(F955)</f>
        <v/>
      </c>
      <c r="P955" s="11">
        <f>N955+O955</f>
        <v/>
      </c>
      <c r="Q955" s="12">
        <f>ABS(P955-$P$3)</f>
        <v/>
      </c>
    </row>
    <row r="956">
      <c r="D956" s="13" t="n">
        <v>954</v>
      </c>
      <c r="E956" s="14" t="n">
        <v>9.536812008577556</v>
      </c>
      <c r="F956" s="15" t="n">
        <v>1.13079642149716</v>
      </c>
      <c r="G956" s="16">
        <f>DEGREES(F956)</f>
        <v/>
      </c>
      <c r="H956" s="15" t="n">
        <v>10.49031095065943</v>
      </c>
      <c r="I956" s="16">
        <f>DEGREES(H956)</f>
        <v/>
      </c>
      <c r="J956" s="17" t="n">
        <v>-0.001143127042336203</v>
      </c>
      <c r="K956" s="17" t="n">
        <v>2.199999526488681</v>
      </c>
      <c r="L956" s="18">
        <f>$B$5*$B$3*$B$6*SIN(F956)</f>
        <v/>
      </c>
      <c r="M956" s="18">
        <f>$B$9*K956*(SIN(F956))^2 + $B$8*($B$10+K956*COS(F956))*COS(F956)</f>
        <v/>
      </c>
      <c r="N956" s="18">
        <f>0.5*$B$9*(J956^2 + (K956*SIN(F956))^2) + 0.5*$B$8*($B$10 + K956*COS(F956))^2</f>
        <v/>
      </c>
      <c r="O956" s="18">
        <f>$B$3*$B$6*$B$5*COS(F956)</f>
        <v/>
      </c>
      <c r="P956" s="18">
        <f>N956+O956</f>
        <v/>
      </c>
      <c r="Q956" s="19">
        <f>ABS(P956-$P$3)</f>
        <v/>
      </c>
    </row>
    <row r="957">
      <c r="D957" s="6" t="n">
        <v>955</v>
      </c>
      <c r="E957" s="7" t="n">
        <v>9.546819156540387</v>
      </c>
      <c r="F957" s="8" t="n">
        <v>1.131130350824056</v>
      </c>
      <c r="G957" s="9">
        <f>DEGREES(F957)</f>
        <v/>
      </c>
      <c r="H957" s="8" t="n">
        <v>10.51232119679091</v>
      </c>
      <c r="I957" s="9">
        <f>DEGREES(H957)</f>
        <v/>
      </c>
      <c r="J957" s="10" t="n">
        <v>0.0678638214691373</v>
      </c>
      <c r="K957" s="10" t="n">
        <v>2.198329879854205</v>
      </c>
      <c r="L957" s="11">
        <f>$B$5*$B$3*$B$6*SIN(F957)</f>
        <v/>
      </c>
      <c r="M957" s="11">
        <f>$B$9*K957*(SIN(F957))^2 + $B$8*($B$10+K957*COS(F957))*COS(F957)</f>
        <v/>
      </c>
      <c r="N957" s="11">
        <f>0.5*$B$9*(J957^2 + (K957*SIN(F957))^2) + 0.5*$B$8*($B$10 + K957*COS(F957))^2</f>
        <v/>
      </c>
      <c r="O957" s="11">
        <f>$B$3*$B$6*$B$5*COS(F957)</f>
        <v/>
      </c>
      <c r="P957" s="11">
        <f>N957+O957</f>
        <v/>
      </c>
      <c r="Q957" s="12">
        <f>ABS(P957-$P$3)</f>
        <v/>
      </c>
    </row>
    <row r="958">
      <c r="D958" s="13" t="n">
        <v>956</v>
      </c>
      <c r="E958" s="14" t="n">
        <v>9.556826304503216</v>
      </c>
      <c r="F958" s="15" t="n">
        <v>1.132153957288843</v>
      </c>
      <c r="G958" s="16">
        <f>DEGREES(F958)</f>
        <v/>
      </c>
      <c r="H958" s="15" t="n">
        <v>10.53429747137749</v>
      </c>
      <c r="I958" s="16">
        <f>DEGREES(H958)</f>
        <v/>
      </c>
      <c r="J958" s="17" t="n">
        <v>0.1366577004510478</v>
      </c>
      <c r="K958" s="17" t="n">
        <v>2.193211847530268</v>
      </c>
      <c r="L958" s="18">
        <f>$B$5*$B$3*$B$6*SIN(F958)</f>
        <v/>
      </c>
      <c r="M958" s="18">
        <f>$B$9*K958*(SIN(F958))^2 + $B$8*($B$10+K958*COS(F958))*COS(F958)</f>
        <v/>
      </c>
      <c r="N958" s="18">
        <f>0.5*$B$9*(J958^2 + (K958*SIN(F958))^2) + 0.5*$B$8*($B$10 + K958*COS(F958))^2</f>
        <v/>
      </c>
      <c r="O958" s="18">
        <f>$B$3*$B$6*$B$5*COS(F958)</f>
        <v/>
      </c>
      <c r="P958" s="18">
        <f>N958+O958</f>
        <v/>
      </c>
      <c r="Q958" s="19">
        <f>ABS(P958-$P$3)</f>
        <v/>
      </c>
    </row>
    <row r="959">
      <c r="D959" s="6" t="n">
        <v>957</v>
      </c>
      <c r="E959" s="7" t="n">
        <v>9.566833452466048</v>
      </c>
      <c r="F959" s="8" t="n">
        <v>1.133864027112175</v>
      </c>
      <c r="G959" s="9">
        <f>DEGREES(F959)</f>
        <v/>
      </c>
      <c r="H959" s="8" t="n">
        <v>10.55620533730237</v>
      </c>
      <c r="I959" s="9">
        <f>DEGREES(H959)</f>
        <v/>
      </c>
      <c r="J959" s="10" t="n">
        <v>0.2050225203067119</v>
      </c>
      <c r="K959" s="10" t="n">
        <v>2.184661498413607</v>
      </c>
      <c r="L959" s="11">
        <f>$B$5*$B$3*$B$6*SIN(F959)</f>
        <v/>
      </c>
      <c r="M959" s="11">
        <f>$B$9*K959*(SIN(F959))^2 + $B$8*($B$10+K959*COS(F959))*COS(F959)</f>
        <v/>
      </c>
      <c r="N959" s="11">
        <f>0.5*$B$9*(J959^2 + (K959*SIN(F959))^2) + 0.5*$B$8*($B$10 + K959*COS(F959))^2</f>
        <v/>
      </c>
      <c r="O959" s="11">
        <f>$B$3*$B$6*$B$5*COS(F959)</f>
        <v/>
      </c>
      <c r="P959" s="11">
        <f>N959+O959</f>
        <v/>
      </c>
      <c r="Q959" s="12">
        <f>ABS(P959-$P$3)</f>
        <v/>
      </c>
    </row>
    <row r="960">
      <c r="D960" s="13" t="n">
        <v>958</v>
      </c>
      <c r="E960" s="14" t="n">
        <v>9.576840600428879</v>
      </c>
      <c r="F960" s="15" t="n">
        <v>1.136255191251094</v>
      </c>
      <c r="G960" s="16">
        <f>DEGREES(F960)</f>
        <v/>
      </c>
      <c r="H960" s="15" t="n">
        <v>10.57801057222886</v>
      </c>
      <c r="I960" s="16">
        <f>DEGREES(H960)</f>
        <v/>
      </c>
      <c r="J960" s="17" t="n">
        <v>0.2727436385404763</v>
      </c>
      <c r="K960" s="17" t="n">
        <v>2.172705677719012</v>
      </c>
      <c r="L960" s="18">
        <f>$B$5*$B$3*$B$6*SIN(F960)</f>
        <v/>
      </c>
      <c r="M960" s="18">
        <f>$B$9*K960*(SIN(F960))^2 + $B$8*($B$10+K960*COS(F960))*COS(F960)</f>
        <v/>
      </c>
      <c r="N960" s="18">
        <f>0.5*$B$9*(J960^2 + (K960*SIN(F960))^2) + 0.5*$B$8*($B$10 + K960*COS(F960))^2</f>
        <v/>
      </c>
      <c r="O960" s="18">
        <f>$B$3*$B$6*$B$5*COS(F960)</f>
        <v/>
      </c>
      <c r="P960" s="18">
        <f>N960+O960</f>
        <v/>
      </c>
      <c r="Q960" s="19">
        <f>ABS(P960-$P$3)</f>
        <v/>
      </c>
    </row>
    <row r="961">
      <c r="D961" s="6" t="n">
        <v>959</v>
      </c>
      <c r="E961" s="7" t="n">
        <v>9.586847748391708</v>
      </c>
      <c r="F961" s="8" t="n">
        <v>1.139319942256017</v>
      </c>
      <c r="G961" s="9">
        <f>DEGREES(F961)</f>
        <v/>
      </c>
      <c r="H961" s="8" t="n">
        <v>10.59967927604703</v>
      </c>
      <c r="I961" s="9">
        <f>DEGREES(H961)</f>
        <v/>
      </c>
      <c r="J961" s="10" t="n">
        <v>0.3396084336628556</v>
      </c>
      <c r="K961" s="10" t="n">
        <v>2.157381922694396</v>
      </c>
      <c r="L961" s="11">
        <f>$B$5*$B$3*$B$6*SIN(F961)</f>
        <v/>
      </c>
      <c r="M961" s="11">
        <f>$B$9*K961*(SIN(F961))^2 + $B$8*($B$10+K961*COS(F961))*COS(F961)</f>
        <v/>
      </c>
      <c r="N961" s="11">
        <f>0.5*$B$9*(J961^2 + (K961*SIN(F961))^2) + 0.5*$B$8*($B$10 + K961*COS(F961))^2</f>
        <v/>
      </c>
      <c r="O961" s="11">
        <f>$B$3*$B$6*$B$5*COS(F961)</f>
        <v/>
      </c>
      <c r="P961" s="11">
        <f>N961+O961</f>
        <v/>
      </c>
      <c r="Q961" s="12">
        <f>ABS(P961-$P$3)</f>
        <v/>
      </c>
    </row>
    <row r="962">
      <c r="D962" s="13" t="n">
        <v>960</v>
      </c>
      <c r="E962" s="14" t="n">
        <v>9.596854896354539</v>
      </c>
      <c r="F962" s="15" t="n">
        <v>1.143048657841601</v>
      </c>
      <c r="G962" s="16">
        <f>DEGREES(F962)</f>
        <v/>
      </c>
      <c r="H962" s="15" t="n">
        <v>10.62117797730861</v>
      </c>
      <c r="I962" s="16">
        <f>DEGREES(H962)</f>
        <v/>
      </c>
      <c r="J962" s="17" t="n">
        <v>0.40540697275039</v>
      </c>
      <c r="K962" s="17" t="n">
        <v>2.138738344766479</v>
      </c>
      <c r="L962" s="18">
        <f>$B$5*$B$3*$B$6*SIN(F962)</f>
        <v/>
      </c>
      <c r="M962" s="18">
        <f>$B$9*K962*(SIN(F962))^2 + $B$8*($B$10+K962*COS(F962))*COS(F962)</f>
        <v/>
      </c>
      <c r="N962" s="18">
        <f>0.5*$B$9*(J962^2 + (K962*SIN(F962))^2) + 0.5*$B$8*($B$10 + K962*COS(F962))^2</f>
        <v/>
      </c>
      <c r="O962" s="18">
        <f>$B$3*$B$6*$B$5*COS(F962)</f>
        <v/>
      </c>
      <c r="P962" s="18">
        <f>N962+O962</f>
        <v/>
      </c>
      <c r="Q962" s="19">
        <f>ABS(P962-$P$3)</f>
        <v/>
      </c>
    </row>
    <row r="963">
      <c r="D963" s="6" t="n">
        <v>961</v>
      </c>
      <c r="E963" s="7" t="n">
        <v>9.606862044317371</v>
      </c>
      <c r="F963" s="8" t="n">
        <v>1.147429631097468</v>
      </c>
      <c r="G963" s="9">
        <f>DEGREES(F963)</f>
        <v/>
      </c>
      <c r="H963" s="8" t="n">
        <v>10.6424737383161</v>
      </c>
      <c r="I963" s="9">
        <f>DEGREES(H963)</f>
        <v/>
      </c>
      <c r="J963" s="10" t="n">
        <v>0.4699326705641941</v>
      </c>
      <c r="K963" s="10" t="n">
        <v>2.116833478487142</v>
      </c>
      <c r="L963" s="11">
        <f>$B$5*$B$3*$B$6*SIN(F963)</f>
        <v/>
      </c>
      <c r="M963" s="11">
        <f>$B$9*K963*(SIN(F963))^2 + $B$8*($B$10+K963*COS(F963))*COS(F963)</f>
        <v/>
      </c>
      <c r="N963" s="11">
        <f>0.5*$B$9*(J963^2 + (K963*SIN(F963))^2) + 0.5*$B$8*($B$10 + K963*COS(F963))^2</f>
        <v/>
      </c>
      <c r="O963" s="11">
        <f>$B$3*$B$6*$B$5*COS(F963)</f>
        <v/>
      </c>
      <c r="P963" s="11">
        <f>N963+O963</f>
        <v/>
      </c>
      <c r="Q963" s="12">
        <f>ABS(P963-$P$3)</f>
        <v/>
      </c>
    </row>
    <row r="964">
      <c r="D964" s="13" t="n">
        <v>962</v>
      </c>
      <c r="E964" s="14" t="n">
        <v>9.6168691922802</v>
      </c>
      <c r="F964" s="15" t="n">
        <v>1.152449107243968</v>
      </c>
      <c r="G964" s="16">
        <f>DEGREES(F964)</f>
        <v/>
      </c>
      <c r="H964" s="15" t="n">
        <v>10.66353425853597</v>
      </c>
      <c r="I964" s="16">
        <f>DEGREES(H964)</f>
        <v/>
      </c>
      <c r="J964" s="17" t="n">
        <v>0.5329829381580647</v>
      </c>
      <c r="K964" s="17" t="n">
        <v>2.091736097754641</v>
      </c>
      <c r="L964" s="18">
        <f>$B$5*$B$3*$B$6*SIN(F964)</f>
        <v/>
      </c>
      <c r="M964" s="18">
        <f>$B$9*K964*(SIN(F964))^2 + $B$8*($B$10+K964*COS(F964))*COS(F964)</f>
        <v/>
      </c>
      <c r="N964" s="18">
        <f>0.5*$B$9*(J964^2 + (K964*SIN(F964))^2) + 0.5*$B$8*($B$10 + K964*COS(F964))^2</f>
        <v/>
      </c>
      <c r="O964" s="18">
        <f>$B$3*$B$6*$B$5*COS(F964)</f>
        <v/>
      </c>
      <c r="P964" s="18">
        <f>N964+O964</f>
        <v/>
      </c>
      <c r="Q964" s="19">
        <f>ABS(P964-$P$3)</f>
        <v/>
      </c>
    </row>
    <row r="965">
      <c r="D965" s="6" t="n">
        <v>963</v>
      </c>
      <c r="E965" s="7" t="n">
        <v>9.626876340243031</v>
      </c>
      <c r="F965" s="8" t="n">
        <v>1.158091326817549</v>
      </c>
      <c r="G965" s="9">
        <f>DEGREES(F965)</f>
        <v/>
      </c>
      <c r="H965" s="8" t="n">
        <v>10.68432797601151</v>
      </c>
      <c r="I965" s="9">
        <f>DEGREES(H965)</f>
        <v/>
      </c>
      <c r="J965" s="10" t="n">
        <v>0.5943598189394976</v>
      </c>
      <c r="K965" s="10" t="n">
        <v>2.063524999886736</v>
      </c>
      <c r="L965" s="11">
        <f>$B$5*$B$3*$B$6*SIN(F965)</f>
        <v/>
      </c>
      <c r="M965" s="11">
        <f>$B$9*K965*(SIN(F965))^2 + $B$8*($B$10+K965*COS(F965))*COS(F965)</f>
        <v/>
      </c>
      <c r="N965" s="11">
        <f>0.5*$B$9*(J965^2 + (K965*SIN(F965))^2) + 0.5*$B$8*($B$10 + K965*COS(F965))^2</f>
        <v/>
      </c>
      <c r="O965" s="11">
        <f>$B$3*$B$6*$B$5*COS(F965)</f>
        <v/>
      </c>
      <c r="P965" s="11">
        <f>N965+O965</f>
        <v/>
      </c>
      <c r="Q965" s="12">
        <f>ABS(P965-$P$3)</f>
        <v/>
      </c>
    </row>
    <row r="966">
      <c r="D966" s="13" t="n">
        <v>964</v>
      </c>
      <c r="E966" s="14" t="n">
        <v>9.636883488205862</v>
      </c>
      <c r="F966" s="15" t="n">
        <v>1.164338575150156</v>
      </c>
      <c r="G966" s="16">
        <f>DEGREES(F966)</f>
        <v/>
      </c>
      <c r="H966" s="15" t="n">
        <v>10.70482416645671</v>
      </c>
      <c r="I966" s="16">
        <f>DEGREES(H966)</f>
        <v/>
      </c>
      <c r="J966" s="17" t="n">
        <v>0.6538706101866071</v>
      </c>
      <c r="K966" s="17" t="n">
        <v>2.032288758223704</v>
      </c>
      <c r="L966" s="18">
        <f>$B$5*$B$3*$B$6*SIN(F966)</f>
        <v/>
      </c>
      <c r="M966" s="18">
        <f>$B$9*K966*(SIN(F966))^2 + $B$8*($B$10+K966*COS(F966))*COS(F966)</f>
        <v/>
      </c>
      <c r="N966" s="18">
        <f>0.5*$B$9*(J966^2 + (K966*SIN(F966))^2) + 0.5*$B$8*($B$10 + K966*COS(F966))^2</f>
        <v/>
      </c>
      <c r="O966" s="18">
        <f>$B$3*$B$6*$B$5*COS(F966)</f>
        <v/>
      </c>
      <c r="P966" s="18">
        <f>N966+O966</f>
        <v/>
      </c>
      <c r="Q966" s="19">
        <f>ABS(P966-$P$3)</f>
        <v/>
      </c>
    </row>
    <row r="967">
      <c r="D967" s="6" t="n">
        <v>965</v>
      </c>
      <c r="E967" s="7" t="n">
        <v>9.646890636168692</v>
      </c>
      <c r="F967" s="8" t="n">
        <v>1.171171237987324</v>
      </c>
      <c r="G967" s="9">
        <f>DEGREES(F967)</f>
        <v/>
      </c>
      <c r="H967" s="8" t="n">
        <v>10.72499303972016</v>
      </c>
      <c r="I967" s="9">
        <f>DEGREES(H967)</f>
        <v/>
      </c>
      <c r="J967" s="10" t="n">
        <v>0.7113284680698039</v>
      </c>
      <c r="K967" s="10" t="n">
        <v>1.998125444037864</v>
      </c>
      <c r="L967" s="11">
        <f>$B$5*$B$3*$B$6*SIN(F967)</f>
        <v/>
      </c>
      <c r="M967" s="11">
        <f>$B$9*K967*(SIN(F967))^2 + $B$8*($B$10+K967*COS(F967))*COS(F967)</f>
        <v/>
      </c>
      <c r="N967" s="11">
        <f>0.5*$B$9*(J967^2 + (K967*SIN(F967))^2) + 0.5*$B$8*($B$10 + K967*COS(F967))^2</f>
        <v/>
      </c>
      <c r="O967" s="11">
        <f>$B$3*$B$6*$B$5*COS(F967)</f>
        <v/>
      </c>
      <c r="P967" s="11">
        <f>N967+O967</f>
        <v/>
      </c>
      <c r="Q967" s="12">
        <f>ABS(P967-$P$3)</f>
        <v/>
      </c>
    </row>
    <row r="968">
      <c r="D968" s="13" t="n">
        <v>966</v>
      </c>
      <c r="E968" s="14" t="n">
        <v>9.656897784131523</v>
      </c>
      <c r="F968" s="15" t="n">
        <v>1.17856786307033</v>
      </c>
      <c r="G968" s="16">
        <f>DEGREES(F968)</f>
        <v/>
      </c>
      <c r="H968" s="15" t="n">
        <v>10.74480583331611</v>
      </c>
      <c r="I968" s="16">
        <f>DEGREES(H968)</f>
        <v/>
      </c>
      <c r="J968" s="17" t="n">
        <v>0.7665529942784437</v>
      </c>
      <c r="K968" s="17" t="n">
        <v>1.961142318622835</v>
      </c>
      <c r="L968" s="18">
        <f>$B$5*$B$3*$B$6*SIN(F968)</f>
        <v/>
      </c>
      <c r="M968" s="18">
        <f>$B$9*K968*(SIN(F968))^2 + $B$8*($B$10+K968*COS(F968))*COS(F968)</f>
        <v/>
      </c>
      <c r="N968" s="18">
        <f>0.5*$B$9*(J968^2 + (K968*SIN(F968))^2) + 0.5*$B$8*($B$10 + K968*COS(F968))^2</f>
        <v/>
      </c>
      <c r="O968" s="18">
        <f>$B$3*$B$6*$B$5*COS(F968)</f>
        <v/>
      </c>
      <c r="P968" s="18">
        <f>N968+O968</f>
        <v/>
      </c>
      <c r="Q968" s="19">
        <f>ABS(P968-$P$3)</f>
        <v/>
      </c>
    </row>
    <row r="969">
      <c r="D969" s="6" t="n">
        <v>967</v>
      </c>
      <c r="E969" s="7" t="n">
        <v>9.666904932094354</v>
      </c>
      <c r="F969" s="8" t="n">
        <v>1.186505227489049</v>
      </c>
      <c r="G969" s="9">
        <f>DEGREES(F969)</f>
        <v/>
      </c>
      <c r="H969" s="8" t="n">
        <v>10.76423490272897</v>
      </c>
      <c r="I969" s="9">
        <f>DEGREES(H969)</f>
        <v/>
      </c>
      <c r="J969" s="10" t="n">
        <v>0.8193708024107007</v>
      </c>
      <c r="K969" s="10" t="n">
        <v>1.921455496529238</v>
      </c>
      <c r="L969" s="11">
        <f>$B$5*$B$3*$B$6*SIN(F969)</f>
        <v/>
      </c>
      <c r="M969" s="11">
        <f>$B$9*K969*(SIN(F969))^2 + $B$8*($B$10+K969*COS(F969))*COS(F969)</f>
        <v/>
      </c>
      <c r="N969" s="11">
        <f>0.5*$B$9*(J969^2 + (K969*SIN(F969))^2) + 0.5*$B$8*($B$10 + K969*COS(F969))^2</f>
        <v/>
      </c>
      <c r="O969" s="11">
        <f>$B$3*$B$6*$B$5*COS(F969)</f>
        <v/>
      </c>
      <c r="P969" s="11">
        <f>N969+O969</f>
        <v/>
      </c>
      <c r="Q969" s="12">
        <f>ABS(P969-$P$3)</f>
        <v/>
      </c>
    </row>
    <row r="970">
      <c r="D970" s="13" t="n">
        <v>968</v>
      </c>
      <c r="E970" s="14" t="n">
        <v>9.676912080057184</v>
      </c>
      <c r="F970" s="15" t="n">
        <v>1.194958410594068</v>
      </c>
      <c r="G970" s="16">
        <f>DEGREES(F970)</f>
        <v/>
      </c>
      <c r="H970" s="15" t="n">
        <v>10.78325380820774</v>
      </c>
      <c r="I970" s="16">
        <f>DEGREES(H970)</f>
        <v/>
      </c>
      <c r="J970" s="17" t="n">
        <v>0.869616062348434</v>
      </c>
      <c r="K970" s="17" t="n">
        <v>1.879189581004143</v>
      </c>
      <c r="L970" s="18">
        <f>$B$5*$B$3*$B$6*SIN(F970)</f>
        <v/>
      </c>
      <c r="M970" s="18">
        <f>$B$9*K970*(SIN(F970))^2 + $B$8*($B$10+K970*COS(F970))*COS(F970)</f>
        <v/>
      </c>
      <c r="N970" s="18">
        <f>0.5*$B$9*(J970^2 + (K970*SIN(F970))^2) + 0.5*$B$8*($B$10 + K970*COS(F970))^2</f>
        <v/>
      </c>
      <c r="O970" s="18">
        <f>$B$3*$B$6*$B$5*COS(F970)</f>
        <v/>
      </c>
      <c r="P970" s="18">
        <f>N970+O970</f>
        <v/>
      </c>
      <c r="Q970" s="19">
        <f>ABS(P970-$P$3)</f>
        <v/>
      </c>
    </row>
    <row r="971">
      <c r="D971" s="6" t="n">
        <v>969</v>
      </c>
      <c r="E971" s="7" t="n">
        <v>9.686919228020015</v>
      </c>
      <c r="F971" s="8" t="n">
        <v>1.203900872239133</v>
      </c>
      <c r="G971" s="9">
        <f>DEGREES(F971)</f>
        <v/>
      </c>
      <c r="H971" s="8" t="n">
        <v>10.801837397778</v>
      </c>
      <c r="I971" s="9">
        <f>DEGREES(H971)</f>
        <v/>
      </c>
      <c r="J971" s="10" t="n">
        <v>0.9171310209079337</v>
      </c>
      <c r="K971" s="10" t="n">
        <v>1.83447727277882</v>
      </c>
      <c r="L971" s="11">
        <f>$B$5*$B$3*$B$6*SIN(F971)</f>
        <v/>
      </c>
      <c r="M971" s="11">
        <f>$B$9*K971*(SIN(F971))^2 + $B$8*($B$10+K971*COS(F971))*COS(F971)</f>
        <v/>
      </c>
      <c r="N971" s="11">
        <f>0.5*$B$9*(J971^2 + (K971*SIN(F971))^2) + 0.5*$B$8*($B$10 + K971*COS(F971))^2</f>
        <v/>
      </c>
      <c r="O971" s="11">
        <f>$B$3*$B$6*$B$5*COS(F971)</f>
        <v/>
      </c>
      <c r="P971" s="11">
        <f>N971+O971</f>
        <v/>
      </c>
      <c r="Q971" s="12">
        <f>ABS(P971-$P$3)</f>
        <v/>
      </c>
    </row>
    <row r="972">
      <c r="D972" s="13" t="n">
        <v>970</v>
      </c>
      <c r="E972" s="14" t="n">
        <v>9.696926375982846</v>
      </c>
      <c r="F972" s="15" t="n">
        <v>1.213304536108256</v>
      </c>
      <c r="G972" s="16">
        <f>DEGREES(F972)</f>
        <v/>
      </c>
      <c r="H972" s="15" t="n">
        <v>10.81996188621055</v>
      </c>
      <c r="I972" s="16">
        <f>DEGREES(H972)</f>
        <v/>
      </c>
      <c r="J972" s="17" t="n">
        <v>0.9617664971316945</v>
      </c>
      <c r="K972" s="17" t="n">
        <v>1.787458953433205</v>
      </c>
      <c r="L972" s="18">
        <f>$B$5*$B$3*$B$6*SIN(F972)</f>
        <v/>
      </c>
      <c r="M972" s="18">
        <f>$B$9*K972*(SIN(F972))^2 + $B$8*($B$10+K972*COS(F972))*COS(F972)</f>
        <v/>
      </c>
      <c r="N972" s="18">
        <f>0.5*$B$9*(J972^2 + (K972*SIN(F972))^2) + 0.5*$B$8*($B$10 + K972*COS(F972))^2</f>
        <v/>
      </c>
      <c r="O972" s="18">
        <f>$B$3*$B$6*$B$5*COS(F972)</f>
        <v/>
      </c>
      <c r="P972" s="18">
        <f>N972+O972</f>
        <v/>
      </c>
      <c r="Q972" s="19">
        <f>ABS(P972-$P$3)</f>
        <v/>
      </c>
    </row>
    <row r="973">
      <c r="D973" s="6" t="n">
        <v>971</v>
      </c>
      <c r="E973" s="7" t="n">
        <v>9.706933523945676</v>
      </c>
      <c r="F973" s="8" t="n">
        <v>1.223139877865886</v>
      </c>
      <c r="G973" s="9">
        <f>DEGREES(F973)</f>
        <v/>
      </c>
      <c r="H973" s="8" t="n">
        <v>10.83760492969904</v>
      </c>
      <c r="I973" s="9">
        <f>DEGREES(H973)</f>
        <v/>
      </c>
      <c r="J973" s="10" t="n">
        <v>1.003382350666355</v>
      </c>
      <c r="K973" s="10" t="n">
        <v>1.738282244645055</v>
      </c>
      <c r="L973" s="11">
        <f>$B$5*$B$3*$B$6*SIN(F973)</f>
        <v/>
      </c>
      <c r="M973" s="11">
        <f>$B$9*K973*(SIN(F973))^2 + $B$8*($B$10+K973*COS(F973))*COS(F973)</f>
        <v/>
      </c>
      <c r="N973" s="11">
        <f>0.5*$B$9*(J973^2 + (K973*SIN(F973))^2) + 0.5*$B$8*($B$10 + K973*COS(F973))^2</f>
        <v/>
      </c>
      <c r="O973" s="11">
        <f>$B$3*$B$6*$B$5*COS(F973)</f>
        <v/>
      </c>
      <c r="P973" s="11">
        <f>N973+O973</f>
        <v/>
      </c>
      <c r="Q973" s="12">
        <f>ABS(P973-$P$3)</f>
        <v/>
      </c>
    </row>
    <row r="974">
      <c r="D974" s="13" t="n">
        <v>972</v>
      </c>
      <c r="E974" s="14" t="n">
        <v>9.716940671908507</v>
      </c>
      <c r="F974" s="15" t="n">
        <v>1.233376017853383</v>
      </c>
      <c r="G974" s="16">
        <f>DEGREES(F974)</f>
        <v/>
      </c>
      <c r="H974" s="15" t="n">
        <v>10.85474569601202</v>
      </c>
      <c r="I974" s="16">
        <f>DEGREES(H974)</f>
        <v/>
      </c>
      <c r="J974" s="17" t="n">
        <v>1.041847921756228</v>
      </c>
      <c r="K974" s="17" t="n">
        <v>1.68710154470757</v>
      </c>
      <c r="L974" s="18">
        <f>$B$5*$B$3*$B$6*SIN(F974)</f>
        <v/>
      </c>
      <c r="M974" s="18">
        <f>$B$9*K974*(SIN(F974))^2 + $B$8*($B$10+K974*COS(F974))*COS(F974)</f>
        <v/>
      </c>
      <c r="N974" s="18">
        <f>0.5*$B$9*(J974^2 + (K974*SIN(F974))^2) + 0.5*$B$8*($B$10 + K974*COS(F974))^2</f>
        <v/>
      </c>
      <c r="O974" s="18">
        <f>$B$3*$B$6*$B$5*COS(F974)</f>
        <v/>
      </c>
      <c r="P974" s="18">
        <f>N974+O974</f>
        <v/>
      </c>
      <c r="Q974" s="19">
        <f>ABS(P974-$P$3)</f>
        <v/>
      </c>
    </row>
    <row r="975">
      <c r="D975" s="6" t="n">
        <v>973</v>
      </c>
      <c r="E975" s="7" t="n">
        <v>9.726947819871338</v>
      </c>
      <c r="F975" s="8" t="n">
        <v>1.243980818040728</v>
      </c>
      <c r="G975" s="9">
        <f>DEGREES(F975)</f>
        <v/>
      </c>
      <c r="H975" s="8" t="n">
        <v>10.87136492989911</v>
      </c>
      <c r="I975" s="9">
        <f>DEGREES(H975)</f>
        <v/>
      </c>
      <c r="J975" s="10" t="n">
        <v>1.077042441470846</v>
      </c>
      <c r="K975" s="10" t="n">
        <v>1.634077543770845</v>
      </c>
      <c r="L975" s="11">
        <f>$B$5*$B$3*$B$6*SIN(F975)</f>
        <v/>
      </c>
      <c r="M975" s="11">
        <f>$B$9*K975*(SIN(F975))^2 + $B$8*($B$10+K975*COS(F975))*COS(F975)</f>
        <v/>
      </c>
      <c r="N975" s="11">
        <f>0.5*$B$9*(J975^2 + (K975*SIN(F975))^2) + 0.5*$B$8*($B$10 + K975*COS(F975))^2</f>
        <v/>
      </c>
      <c r="O975" s="11">
        <f>$B$3*$B$6*$B$5*COS(F975)</f>
        <v/>
      </c>
      <c r="P975" s="11">
        <f>N975+O975</f>
        <v/>
      </c>
      <c r="Q975" s="12">
        <f>ABS(P975-$P$3)</f>
        <v/>
      </c>
    </row>
    <row r="976">
      <c r="D976" s="13" t="n">
        <v>974</v>
      </c>
      <c r="E976" s="14" t="n">
        <v>9.736954967834167</v>
      </c>
      <c r="F976" s="15" t="n">
        <v>1.254920982929111</v>
      </c>
      <c r="G976" s="16">
        <f>DEGREES(F976)</f>
        <v/>
      </c>
      <c r="H976" s="15" t="n">
        <v>10.88744501354595</v>
      </c>
      <c r="I976" s="16">
        <f>DEGREES(H976)</f>
        <v/>
      </c>
      <c r="J976" s="17" t="n">
        <v>1.108855410878732</v>
      </c>
      <c r="K976" s="17" t="n">
        <v>1.579376719328927</v>
      </c>
      <c r="L976" s="18">
        <f>$B$5*$B$3*$B$6*SIN(F976)</f>
        <v/>
      </c>
      <c r="M976" s="18">
        <f>$B$9*K976*(SIN(F976))^2 + $B$8*($B$10+K976*COS(F976))*COS(F976)</f>
        <v/>
      </c>
      <c r="N976" s="18">
        <f>0.5*$B$9*(J976^2 + (K976*SIN(F976))^2) + 0.5*$B$8*($B$10 + K976*COS(F976))^2</f>
        <v/>
      </c>
      <c r="O976" s="18">
        <f>$B$3*$B$6*$B$5*COS(F976)</f>
        <v/>
      </c>
      <c r="P976" s="18">
        <f>N976+O976</f>
        <v/>
      </c>
      <c r="Q976" s="19">
        <f>ABS(P976-$P$3)</f>
        <v/>
      </c>
    </row>
    <row r="977">
      <c r="D977" s="6" t="n">
        <v>975</v>
      </c>
      <c r="E977" s="7" t="n">
        <v>9.746962115796999</v>
      </c>
      <c r="F977" s="8" t="n">
        <v>1.266162164087585</v>
      </c>
      <c r="G977" s="9">
        <f>DEGREES(F977)</f>
        <v/>
      </c>
      <c r="H977" s="8" t="n">
        <v>10.90297002188831</v>
      </c>
      <c r="I977" s="9">
        <f>DEGREES(H977)</f>
        <v/>
      </c>
      <c r="J977" s="10" t="n">
        <v>1.137186947976813</v>
      </c>
      <c r="K977" s="10" t="n">
        <v>1.52317081353656</v>
      </c>
      <c r="L977" s="11">
        <f>$B$5*$B$3*$B$6*SIN(F977)</f>
        <v/>
      </c>
      <c r="M977" s="11">
        <f>$B$9*K977*(SIN(F977))^2 + $B$8*($B$10+K977*COS(F977))*COS(F977)</f>
        <v/>
      </c>
      <c r="N977" s="11">
        <f>0.5*$B$9*(J977^2 + (K977*SIN(F977))^2) + 0.5*$B$8*($B$10 + K977*COS(F977))^2</f>
        <v/>
      </c>
      <c r="O977" s="11">
        <f>$B$3*$B$6*$B$5*COS(F977)</f>
        <v/>
      </c>
      <c r="P977" s="11">
        <f>N977+O977</f>
        <v/>
      </c>
      <c r="Q977" s="12">
        <f>ABS(P977-$P$3)</f>
        <v/>
      </c>
    </row>
    <row r="978">
      <c r="D978" s="13" t="n">
        <v>976</v>
      </c>
      <c r="E978" s="14" t="n">
        <v>9.75696926375983</v>
      </c>
      <c r="F978" s="15" t="n">
        <v>1.277669067995544</v>
      </c>
      <c r="G978" s="16">
        <f>DEGREES(F978)</f>
        <v/>
      </c>
      <c r="H978" s="15" t="n">
        <v>10.91792577261129</v>
      </c>
      <c r="I978" s="16">
        <f>DEGREES(H978)</f>
        <v/>
      </c>
      <c r="J978" s="17" t="n">
        <v>1.161948101286218</v>
      </c>
      <c r="K978" s="17" t="n">
        <v>1.465636293996761</v>
      </c>
      <c r="L978" s="18">
        <f>$B$5*$B$3*$B$6*SIN(F978)</f>
        <v/>
      </c>
      <c r="M978" s="18">
        <f>$B$9*K978*(SIN(F978))^2 + $B$8*($B$10+K978*COS(F978))*COS(F978)</f>
        <v/>
      </c>
      <c r="N978" s="18">
        <f>0.5*$B$9*(J978^2 + (K978*SIN(F978))^2) + 0.5*$B$8*($B$10 + K978*COS(F978))^2</f>
        <v/>
      </c>
      <c r="O978" s="18">
        <f>$B$3*$B$6*$B$5*COS(F978)</f>
        <v/>
      </c>
      <c r="P978" s="18">
        <f>N978+O978</f>
        <v/>
      </c>
      <c r="Q978" s="19">
        <f>ABS(P978-$P$3)</f>
        <v/>
      </c>
    </row>
    <row r="979">
      <c r="D979" s="6" t="n">
        <v>977</v>
      </c>
      <c r="E979" s="7" t="n">
        <v>9.766976411722659</v>
      </c>
      <c r="F979" s="8" t="n">
        <v>1.289405566852506</v>
      </c>
      <c r="G979" s="9">
        <f>DEGREES(F979)</f>
        <v/>
      </c>
      <c r="H979" s="8" t="n">
        <v>10.93229987067713</v>
      </c>
      <c r="I979" s="9">
        <f>DEGREES(H979)</f>
        <v/>
      </c>
      <c r="J979" s="10" t="n">
        <v>1.183061129129978</v>
      </c>
      <c r="K979" s="10" t="n">
        <v>1.406953799711955</v>
      </c>
      <c r="L979" s="11">
        <f>$B$5*$B$3*$B$6*SIN(F979)</f>
        <v/>
      </c>
      <c r="M979" s="11">
        <f>$B$9*K979*(SIN(F979))^2 + $B$8*($B$10+K979*COS(F979))*COS(F979)</f>
        <v/>
      </c>
      <c r="N979" s="11">
        <f>0.5*$B$9*(J979^2 + (K979*SIN(F979))^2) + 0.5*$B$8*($B$10 + K979*COS(F979))^2</f>
        <v/>
      </c>
      <c r="O979" s="11">
        <f>$B$3*$B$6*$B$5*COS(F979)</f>
        <v/>
      </c>
      <c r="P979" s="11">
        <f>N979+O979</f>
        <v/>
      </c>
      <c r="Q979" s="12">
        <f>ABS(P979-$P$3)</f>
        <v/>
      </c>
    </row>
    <row r="980">
      <c r="D980" s="13" t="n">
        <v>978</v>
      </c>
      <c r="E980" s="14" t="n">
        <v>9.77698355968549</v>
      </c>
      <c r="F980" s="15" t="n">
        <v>1.30133481200722</v>
      </c>
      <c r="G980" s="16">
        <f>DEGREES(F980)</f>
        <v/>
      </c>
      <c r="H980" s="15" t="n">
        <v>10.94608174724136</v>
      </c>
      <c r="I980" s="16">
        <f>DEGREES(H980)</f>
        <v/>
      </c>
      <c r="J980" s="17" t="n">
        <v>1.200459743715685</v>
      </c>
      <c r="K980" s="17" t="n">
        <v>1.347307573938383</v>
      </c>
      <c r="L980" s="18">
        <f>$B$5*$B$3*$B$6*SIN(F980)</f>
        <v/>
      </c>
      <c r="M980" s="18">
        <f>$B$9*K980*(SIN(F980))^2 + $B$8*($B$10+K980*COS(F980))*COS(F980)</f>
        <v/>
      </c>
      <c r="N980" s="18">
        <f>0.5*$B$9*(J980^2 + (K980*SIN(F980))^2) + 0.5*$B$8*($B$10 + K980*COS(F980))^2</f>
        <v/>
      </c>
      <c r="O980" s="18">
        <f>$B$3*$B$6*$B$5*COS(F980)</f>
        <v/>
      </c>
      <c r="P980" s="18">
        <f>N980+O980</f>
        <v/>
      </c>
      <c r="Q980" s="19">
        <f>ABS(P980-$P$3)</f>
        <v/>
      </c>
    </row>
    <row r="981">
      <c r="D981" s="6" t="n">
        <v>979</v>
      </c>
      <c r="E981" s="7" t="n">
        <v>9.786990707648322</v>
      </c>
      <c r="F981" s="8" t="n">
        <v>1.313419349650011</v>
      </c>
      <c r="G981" s="9">
        <f>DEGREES(F981)</f>
        <v/>
      </c>
      <c r="H981" s="8" t="n">
        <v>10.95926269283548</v>
      </c>
      <c r="I981" s="9">
        <f>DEGREES(H981)</f>
        <v/>
      </c>
      <c r="J981" s="10" t="n">
        <v>1.214089319256806</v>
      </c>
      <c r="K981" s="10" t="n">
        <v>1.286884885724429</v>
      </c>
      <c r="L981" s="11">
        <f>$B$5*$B$3*$B$6*SIN(F981)</f>
        <v/>
      </c>
      <c r="M981" s="11">
        <f>$B$9*K981*(SIN(F981))^2 + $B$8*($B$10+K981*COS(F981))*COS(F981)</f>
        <v/>
      </c>
      <c r="N981" s="11">
        <f>0.5*$B$9*(J981^2 + (K981*SIN(F981))^2) + 0.5*$B$8*($B$10 + K981*COS(F981))^2</f>
        <v/>
      </c>
      <c r="O981" s="11">
        <f>$B$3*$B$6*$B$5*COS(F981)</f>
        <v/>
      </c>
      <c r="P981" s="11">
        <f>N981+O981</f>
        <v/>
      </c>
      <c r="Q981" s="12">
        <f>ABS(P981-$P$3)</f>
        <v/>
      </c>
    </row>
    <row r="982">
      <c r="D982" s="13" t="n">
        <v>980</v>
      </c>
      <c r="E982" s="14" t="n">
        <v>9.796997855611151</v>
      </c>
      <c r="F982" s="15" t="n">
        <v>1.325621238405126</v>
      </c>
      <c r="G982" s="16">
        <f>DEGREES(F982)</f>
        <v/>
      </c>
      <c r="H982" s="15" t="n">
        <v>10.97183588471169</v>
      </c>
      <c r="I982" s="16">
        <f>DEGREES(H982)</f>
        <v/>
      </c>
      <c r="J982" s="17" t="n">
        <v>1.223907063479261</v>
      </c>
      <c r="K982" s="17" t="n">
        <v>1.225875441948852</v>
      </c>
      <c r="L982" s="18">
        <f>$B$5*$B$3*$B$6*SIN(F982)</f>
        <v/>
      </c>
      <c r="M982" s="18">
        <f>$B$9*K982*(SIN(F982))^2 + $B$8*($B$10+K982*COS(F982))*COS(F982)</f>
        <v/>
      </c>
      <c r="N982" s="18">
        <f>0.5*$B$9*(J982^2 + (K982*SIN(F982))^2) + 0.5*$B$8*($B$10 + K982*COS(F982))^2</f>
        <v/>
      </c>
      <c r="O982" s="18">
        <f>$B$3*$B$6*$B$5*COS(F982)</f>
        <v/>
      </c>
      <c r="P982" s="18">
        <f>N982+O982</f>
        <v/>
      </c>
      <c r="Q982" s="19">
        <f>ABS(P982-$P$3)</f>
        <v/>
      </c>
    </row>
    <row r="983">
      <c r="D983" s="6" t="n">
        <v>981</v>
      </c>
      <c r="E983" s="7" t="n">
        <v>9.807005003573982</v>
      </c>
      <c r="F983" s="8" t="n">
        <v>1.337902168453871</v>
      </c>
      <c r="G983" s="9">
        <f>DEGREES(F983)</f>
        <v/>
      </c>
      <c r="H983" s="8" t="n">
        <v>10.98379640826409</v>
      </c>
      <c r="I983" s="9">
        <f>DEGREES(H983)</f>
        <v/>
      </c>
      <c r="J983" s="10" t="n">
        <v>1.22988215197474</v>
      </c>
      <c r="K983" s="10" t="n">
        <v>1.164470791705127</v>
      </c>
      <c r="L983" s="11">
        <f>$B$5*$B$3*$B$6*SIN(F983)</f>
        <v/>
      </c>
      <c r="M983" s="11">
        <f>$B$9*K983*(SIN(F983))^2 + $B$8*($B$10+K983*COS(F983))*COS(F983)</f>
        <v/>
      </c>
      <c r="N983" s="11">
        <f>0.5*$B$9*(J983^2 + (K983*SIN(F983))^2) + 0.5*$B$8*($B$10 + K983*COS(F983))^2</f>
        <v/>
      </c>
      <c r="O983" s="11">
        <f>$B$3*$B$6*$B$5*COS(F983)</f>
        <v/>
      </c>
      <c r="P983" s="11">
        <f>N983+O983</f>
        <v/>
      </c>
      <c r="Q983" s="12">
        <f>ABS(P983-$P$3)</f>
        <v/>
      </c>
    </row>
    <row r="984">
      <c r="D984" s="13" t="n">
        <v>982</v>
      </c>
      <c r="E984" s="14" t="n">
        <v>9.817012151536813</v>
      </c>
      <c r="F984" s="15" t="n">
        <v>1.350223581814523</v>
      </c>
      <c r="G984" s="16">
        <f>DEGREES(F984)</f>
        <v/>
      </c>
      <c r="H984" s="15" t="n">
        <v>10.99514127245882</v>
      </c>
      <c r="I984" s="16">
        <f>DEGREES(H984)</f>
        <v/>
      </c>
      <c r="J984" s="17" t="n">
        <v>1.231995824978948</v>
      </c>
      <c r="K984" s="17" t="n">
        <v>1.102863724901868</v>
      </c>
      <c r="L984" s="18">
        <f>$B$5*$B$3*$B$6*SIN(F984)</f>
        <v/>
      </c>
      <c r="M984" s="18">
        <f>$B$9*K984*(SIN(F984))^2 + $B$8*($B$10+K984*COS(F984))*COS(F984)</f>
        <v/>
      </c>
      <c r="N984" s="18">
        <f>0.5*$B$9*(J984^2 + (K984*SIN(F984))^2) + 0.5*$B$8*($B$10 + K984*COS(F984))^2</f>
        <v/>
      </c>
      <c r="O984" s="18">
        <f>$B$3*$B$6*$B$5*COS(F984)</f>
        <v/>
      </c>
      <c r="P984" s="18">
        <f>N984+O984</f>
        <v/>
      </c>
      <c r="Q984" s="19">
        <f>ABS(P984-$P$3)</f>
        <v/>
      </c>
    </row>
    <row r="985">
      <c r="D985" s="6" t="n">
        <v>983</v>
      </c>
      <c r="E985" s="7" t="n">
        <v>9.827019299499643</v>
      </c>
      <c r="F985" s="8" t="n">
        <v>1.362546793401397</v>
      </c>
      <c r="G985" s="9">
        <f>DEGREES(F985)</f>
        <v/>
      </c>
      <c r="H985" s="8" t="n">
        <v>11.00586941922495</v>
      </c>
      <c r="I985" s="9">
        <f>DEGREES(H985)</f>
        <v/>
      </c>
      <c r="J985" s="10" t="n">
        <v>1.230241446270953</v>
      </c>
      <c r="K985" s="10" t="n">
        <v>1.041247666967498</v>
      </c>
      <c r="L985" s="11">
        <f>$B$5*$B$3*$B$6*SIN(F985)</f>
        <v/>
      </c>
      <c r="M985" s="11">
        <f>$B$9*K985*(SIN(F985))^2 + $B$8*($B$10+K985*COS(F985))*COS(F985)</f>
        <v/>
      </c>
      <c r="N985" s="11">
        <f>0.5*$B$9*(J985^2 + (K985*SIN(F985))^2) + 0.5*$B$8*($B$10 + K985*COS(F985))^2</f>
        <v/>
      </c>
      <c r="O985" s="11">
        <f>$B$3*$B$6*$B$5*COS(F985)</f>
        <v/>
      </c>
      <c r="P985" s="11">
        <f>N985+O985</f>
        <v/>
      </c>
      <c r="Q985" s="12">
        <f>ABS(P985-$P$3)</f>
        <v/>
      </c>
    </row>
    <row r="986">
      <c r="D986" s="13" t="n">
        <v>984</v>
      </c>
      <c r="E986" s="14" t="n">
        <v>9.837026447462474</v>
      </c>
      <c r="F986" s="15" t="n">
        <v>1.374833112482994</v>
      </c>
      <c r="G986" s="16">
        <f>DEGREES(F986)</f>
        <v/>
      </c>
      <c r="H986" s="15" t="n">
        <v>11.01598172677643</v>
      </c>
      <c r="I986" s="16">
        <f>DEGREES(H986)</f>
        <v/>
      </c>
      <c r="J986" s="17" t="n">
        <v>1.224624524008678</v>
      </c>
      <c r="K986" s="17" t="n">
        <v>0.979816071559514</v>
      </c>
      <c r="L986" s="18">
        <f>$B$5*$B$3*$B$6*SIN(F986)</f>
        <v/>
      </c>
      <c r="M986" s="18">
        <f>$B$9*K986*(SIN(F986))^2 + $B$8*($B$10+K986*COS(F986))*COS(F986)</f>
        <v/>
      </c>
      <c r="N986" s="18">
        <f>0.5*$B$9*(J986^2 + (K986*SIN(F986))^2) + 0.5*$B$8*($B$10 + K986*COS(F986))^2</f>
        <v/>
      </c>
      <c r="O986" s="18">
        <f>$B$3*$B$6*$B$5*COS(F986)</f>
        <v/>
      </c>
      <c r="P986" s="18">
        <f>N986+O986</f>
        <v/>
      </c>
      <c r="Q986" s="19">
        <f>ABS(P986-$P$3)</f>
        <v/>
      </c>
    </row>
    <row r="987">
      <c r="D987" s="6" t="n">
        <v>985</v>
      </c>
      <c r="E987" s="7" t="n">
        <v>9.847033595425305</v>
      </c>
      <c r="F987" s="8" t="n">
        <v>1.387043964157843</v>
      </c>
      <c r="G987" s="9">
        <f>DEGREES(F987)</f>
        <v/>
      </c>
      <c r="H987" s="8" t="n">
        <v>11.02548100685482</v>
      </c>
      <c r="I987" s="9">
        <f>DEGREES(H987)</f>
        <v/>
      </c>
      <c r="J987" s="10" t="n">
        <v>1.215162693435143</v>
      </c>
      <c r="K987" s="10" t="n">
        <v>0.9187618131852671</v>
      </c>
      <c r="L987" s="11">
        <f>$B$5*$B$3*$B$6*SIN(F987)</f>
        <v/>
      </c>
      <c r="M987" s="11">
        <f>$B$9*K987*(SIN(F987))^2 + $B$8*($B$10+K987*COS(F987))*COS(F987)</f>
        <v/>
      </c>
      <c r="N987" s="11">
        <f>0.5*$B$9*(J987^2 + (K987*SIN(F987))^2) + 0.5*$B$8*($B$10 + K987*COS(F987))^2</f>
        <v/>
      </c>
      <c r="O987" s="11">
        <f>$B$3*$B$6*$B$5*COS(F987)</f>
        <v/>
      </c>
      <c r="P987" s="11">
        <f>N987+O987</f>
        <v/>
      </c>
      <c r="Q987" s="12">
        <f>ABS(P987-$P$3)</f>
        <v/>
      </c>
    </row>
    <row r="988">
      <c r="D988" s="13" t="n">
        <v>986</v>
      </c>
      <c r="E988" s="14" t="n">
        <v>9.857040743388135</v>
      </c>
      <c r="F988" s="15" t="n">
        <v>1.399141010466695</v>
      </c>
      <c r="G988" s="16">
        <f>DEGREES(F988)</f>
        <v/>
      </c>
      <c r="H988" s="15" t="n">
        <v>11.03437199590133</v>
      </c>
      <c r="I988" s="16">
        <f>DEGREES(H988)</f>
        <v/>
      </c>
      <c r="J988" s="17" t="n">
        <v>1.20188566150975</v>
      </c>
      <c r="K988" s="17" t="n">
        <v>0.8582765816410067</v>
      </c>
      <c r="L988" s="18">
        <f>$B$5*$B$3*$B$6*SIN(F988)</f>
        <v/>
      </c>
      <c r="M988" s="18">
        <f>$B$9*K988*(SIN(F988))^2 + $B$8*($B$10+K988*COS(F988))*COS(F988)</f>
        <v/>
      </c>
      <c r="N988" s="18">
        <f>0.5*$B$9*(J988^2 + (K988*SIN(F988))^2) + 0.5*$B$8*($B$10 + K988*COS(F988))^2</f>
        <v/>
      </c>
      <c r="O988" s="18">
        <f>$B$3*$B$6*$B$5*COS(F988)</f>
        <v/>
      </c>
      <c r="P988" s="18">
        <f>N988+O988</f>
        <v/>
      </c>
      <c r="Q988" s="19">
        <f>ABS(P988-$P$3)</f>
        <v/>
      </c>
    </row>
    <row r="989">
      <c r="D989" s="6" t="n">
        <v>987</v>
      </c>
      <c r="E989" s="7" t="n">
        <v>9.867047891350966</v>
      </c>
      <c r="F989" s="8" t="n">
        <v>1.411086270760807</v>
      </c>
      <c r="G989" s="9">
        <f>DEGREES(F989)</f>
        <v/>
      </c>
      <c r="H989" s="8" t="n">
        <v>11.04266134018607</v>
      </c>
      <c r="I989" s="9">
        <f>DEGREES(H989)</f>
        <v/>
      </c>
      <c r="J989" s="10" t="n">
        <v>1.184835113638426</v>
      </c>
      <c r="K989" s="10" t="n">
        <v>0.7985502801704497</v>
      </c>
      <c r="L989" s="11">
        <f>$B$5*$B$3*$B$6*SIN(F989)</f>
        <v/>
      </c>
      <c r="M989" s="11">
        <f>$B$9*K989*(SIN(F989))^2 + $B$8*($B$10+K989*COS(F989))*COS(F989)</f>
        <v/>
      </c>
      <c r="N989" s="11">
        <f>0.5*$B$9*(J989^2 + (K989*SIN(F989))^2) + 0.5*$B$8*($B$10 + K989*COS(F989))^2</f>
        <v/>
      </c>
      <c r="O989" s="11">
        <f>$B$3*$B$6*$B$5*COS(F989)</f>
        <v/>
      </c>
      <c r="P989" s="11">
        <f>N989+O989</f>
        <v/>
      </c>
      <c r="Q989" s="12">
        <f>ABS(P989-$P$3)</f>
        <v/>
      </c>
    </row>
    <row r="990">
      <c r="D990" s="13" t="n">
        <v>988</v>
      </c>
      <c r="E990" s="14" t="n">
        <v>9.877055039313797</v>
      </c>
      <c r="F990" s="15" t="n">
        <v>1.422842240948363</v>
      </c>
      <c r="G990" s="16">
        <f>DEGREES(F990)</f>
        <v/>
      </c>
      <c r="H990" s="15" t="n">
        <v>11.05035757494089</v>
      </c>
      <c r="I990" s="16">
        <f>DEGREES(H990)</f>
        <v/>
      </c>
      <c r="J990" s="17" t="n">
        <v>1.164064582795516</v>
      </c>
      <c r="K990" s="17" t="n">
        <v>0.7397704292326694</v>
      </c>
      <c r="L990" s="18">
        <f>$B$5*$B$3*$B$6*SIN(F990)</f>
        <v/>
      </c>
      <c r="M990" s="18">
        <f>$B$9*K990*(SIN(F990))^2 + $B$8*($B$10+K990*COS(F990))*COS(F990)</f>
        <v/>
      </c>
      <c r="N990" s="18">
        <f>0.5*$B$9*(J990^2 + (K990*SIN(F990))^2) + 0.5*$B$8*($B$10 + K990*COS(F990))^2</f>
        <v/>
      </c>
      <c r="O990" s="18">
        <f>$B$3*$B$6*$B$5*COS(F990)</f>
        <v/>
      </c>
      <c r="P990" s="18">
        <f>N990+O990</f>
        <v/>
      </c>
      <c r="Q990" s="19">
        <f>ABS(P990-$P$3)</f>
        <v/>
      </c>
    </row>
    <row r="991">
      <c r="D991" s="6" t="n">
        <v>989</v>
      </c>
      <c r="E991" s="7" t="n">
        <v>9.887062187276626</v>
      </c>
      <c r="F991" s="8" t="n">
        <v>1.434372011244693</v>
      </c>
      <c r="G991" s="9">
        <f>DEGREES(F991)</f>
        <v/>
      </c>
      <c r="H991" s="8" t="n">
        <v>11.05747109756173</v>
      </c>
      <c r="I991" s="9">
        <f>DEGREES(H991)</f>
        <v/>
      </c>
      <c r="J991" s="10" t="n">
        <v>1.139639281448273</v>
      </c>
      <c r="K991" s="10" t="n">
        <v>0.6821215777510159</v>
      </c>
      <c r="L991" s="11">
        <f>$B$5*$B$3*$B$6*SIN(F991)</f>
        <v/>
      </c>
      <c r="M991" s="11">
        <f>$B$9*K991*(SIN(F991))^2 + $B$8*($B$10+K991*COS(F991))*COS(F991)</f>
        <v/>
      </c>
      <c r="N991" s="11">
        <f>0.5*$B$9*(J991^2 + (K991*SIN(F991))^2) + 0.5*$B$8*($B$10 + K991*COS(F991))^2</f>
        <v/>
      </c>
      <c r="O991" s="11">
        <f>$B$3*$B$6*$B$5*COS(F991)</f>
        <v/>
      </c>
      <c r="P991" s="11">
        <f>N991+O991</f>
        <v/>
      </c>
      <c r="Q991" s="12">
        <f>ABS(P991-$P$3)</f>
        <v/>
      </c>
    </row>
    <row r="992">
      <c r="D992" s="13" t="n">
        <v>990</v>
      </c>
      <c r="E992" s="14" t="n">
        <v>9.897069335239458</v>
      </c>
      <c r="F992" s="15" t="n">
        <v>1.445639382056564</v>
      </c>
      <c r="G992" s="16">
        <f>DEGREES(F992)</f>
        <v/>
      </c>
      <c r="H992" s="15" t="n">
        <v>11.06401413496425</v>
      </c>
      <c r="I992" s="16">
        <f>DEGREES(H992)</f>
        <v/>
      </c>
      <c r="J992" s="17" t="n">
        <v>1.111635896811679</v>
      </c>
      <c r="K992" s="17" t="n">
        <v>0.6257847236916612</v>
      </c>
      <c r="L992" s="18">
        <f>$B$5*$B$3*$B$6*SIN(F992)</f>
        <v/>
      </c>
      <c r="M992" s="18">
        <f>$B$9*K992*(SIN(F992))^2 + $B$8*($B$10+K992*COS(F992))*COS(F992)</f>
        <v/>
      </c>
      <c r="N992" s="18">
        <f>0.5*$B$9*(J992^2 + (K992*SIN(F992))^2) + 0.5*$B$8*($B$10 + K992*COS(F992))^2</f>
        <v/>
      </c>
      <c r="O992" s="18">
        <f>$B$3*$B$6*$B$5*COS(F992)</f>
        <v/>
      </c>
      <c r="P992" s="18">
        <f>N992+O992</f>
        <v/>
      </c>
      <c r="Q992" s="19">
        <f>ABS(P992-$P$3)</f>
        <v/>
      </c>
    </row>
    <row r="993">
      <c r="D993" s="6" t="n">
        <v>991</v>
      </c>
      <c r="E993" s="7" t="n">
        <v>9.907076483202289</v>
      </c>
      <c r="F993" s="8" t="n">
        <v>1.456608977636686</v>
      </c>
      <c r="G993" s="9">
        <f>DEGREES(F993)</f>
        <v/>
      </c>
      <c r="H993" s="8" t="n">
        <v>11.07000070519542</v>
      </c>
      <c r="I993" s="9">
        <f>DEGREES(H993)</f>
        <v/>
      </c>
      <c r="J993" s="10" t="n">
        <v>1.080142350076461</v>
      </c>
      <c r="K993" s="10" t="n">
        <v>0.5709367457910528</v>
      </c>
      <c r="L993" s="11">
        <f>$B$5*$B$3*$B$6*SIN(F993)</f>
        <v/>
      </c>
      <c r="M993" s="11">
        <f>$B$9*K993*(SIN(F993))^2 + $B$8*($B$10+K993*COS(F993))*COS(F993)</f>
        <v/>
      </c>
      <c r="N993" s="11">
        <f>0.5*$B$9*(J993^2 + (K993*SIN(F993))^2) + 0.5*$B$8*($B$10 + K993*COS(F993))^2</f>
        <v/>
      </c>
      <c r="O993" s="11">
        <f>$B$3*$B$6*$B$5*COS(F993)</f>
        <v/>
      </c>
      <c r="P993" s="11">
        <f>N993+O993</f>
        <v/>
      </c>
      <c r="Q993" s="12">
        <f>ABS(P993-$P$3)</f>
        <v/>
      </c>
    </row>
    <row r="994">
      <c r="D994" s="13" t="n">
        <v>992</v>
      </c>
      <c r="E994" s="14" t="n">
        <v>9.917083631165118</v>
      </c>
      <c r="F994" s="15" t="n">
        <v>1.467246357151652</v>
      </c>
      <c r="G994" s="16">
        <f>DEGREES(F994)</f>
        <v/>
      </c>
      <c r="H994" s="15" t="n">
        <v>11.07544657342164</v>
      </c>
      <c r="I994" s="16">
        <f>DEGREES(H994)</f>
        <v/>
      </c>
      <c r="J994" s="17" t="n">
        <v>1.045257520366155</v>
      </c>
      <c r="K994" s="17" t="n">
        <v>0.5177498482162239</v>
      </c>
      <c r="L994" s="18">
        <f>$B$5*$B$3*$B$6*SIN(F994)</f>
        <v/>
      </c>
      <c r="M994" s="18">
        <f>$B$9*K994*(SIN(F994))^2 + $B$8*($B$10+K994*COS(F994))*COS(F994)</f>
        <v/>
      </c>
      <c r="N994" s="18">
        <f>0.5*$B$9*(J994^2 + (K994*SIN(F994))^2) + 0.5*$B$8*($B$10 + K994*COS(F994))^2</f>
        <v/>
      </c>
      <c r="O994" s="18">
        <f>$B$3*$B$6*$B$5*COS(F994)</f>
        <v/>
      </c>
      <c r="P994" s="18">
        <f>N994+O994</f>
        <v/>
      </c>
      <c r="Q994" s="19">
        <f>ABS(P994-$P$3)</f>
        <v/>
      </c>
    </row>
    <row r="995">
      <c r="D995" s="6" t="n">
        <v>993</v>
      </c>
      <c r="E995" s="7" t="n">
        <v>9.927090779127949</v>
      </c>
      <c r="F995" s="8" t="n">
        <v>1.477518122814548</v>
      </c>
      <c r="G995" s="9">
        <f>DEGREES(F995)</f>
        <v/>
      </c>
      <c r="H995" s="8" t="n">
        <v>11.08036920243137</v>
      </c>
      <c r="I995" s="9">
        <f>DEGREES(H995)</f>
        <v/>
      </c>
      <c r="J995" s="10" t="n">
        <v>1.007090934289973</v>
      </c>
      <c r="K995" s="10" t="n">
        <v>0.4663910199017434</v>
      </c>
      <c r="L995" s="11">
        <f>$B$5*$B$3*$B$6*SIN(F995)</f>
        <v/>
      </c>
      <c r="M995" s="11">
        <f>$B$9*K995*(SIN(F995))^2 + $B$8*($B$10+K995*COS(F995))*COS(F995)</f>
        <v/>
      </c>
      <c r="N995" s="11">
        <f>0.5*$B$9*(J995^2 + (K995*SIN(F995))^2) + 0.5*$B$8*($B$10 + K995*COS(F995))^2</f>
        <v/>
      </c>
      <c r="O995" s="11">
        <f>$B$3*$B$6*$B$5*COS(F995)</f>
        <v/>
      </c>
      <c r="P995" s="11">
        <f>N995+O995</f>
        <v/>
      </c>
      <c r="Q995" s="12">
        <f>ABS(P995-$P$3)</f>
        <v/>
      </c>
    </row>
    <row r="996">
      <c r="D996" s="13" t="n">
        <v>994</v>
      </c>
      <c r="E996" s="14" t="n">
        <v>9.937097927090781</v>
      </c>
      <c r="F996" s="15" t="n">
        <v>1.487392024742737</v>
      </c>
      <c r="G996" s="16">
        <f>DEGREES(F996)</f>
        <v/>
      </c>
      <c r="H996" s="15" t="n">
        <v>11.08478769780787</v>
      </c>
      <c r="I996" s="16">
        <f>DEGREES(H996)</f>
        <v/>
      </c>
      <c r="J996" s="17" t="n">
        <v>0.9657624220662032</v>
      </c>
      <c r="K996" s="17" t="n">
        <v>0.4170215102607953</v>
      </c>
      <c r="L996" s="18">
        <f>$B$5*$B$3*$B$6*SIN(F996)</f>
        <v/>
      </c>
      <c r="M996" s="18">
        <f>$B$9*K996*(SIN(F996))^2 + $B$8*($B$10+K996*COS(F996))*COS(F996)</f>
        <v/>
      </c>
      <c r="N996" s="18">
        <f>0.5*$B$9*(J996^2 + (K996*SIN(F996))^2) + 0.5*$B$8*($B$10 + K996*COS(F996))^2</f>
        <v/>
      </c>
      <c r="O996" s="18">
        <f>$B$3*$B$6*$B$5*COS(F996)</f>
        <v/>
      </c>
      <c r="P996" s="18">
        <f>N996+O996</f>
        <v/>
      </c>
      <c r="Q996" s="19">
        <f>ABS(P996-$P$3)</f>
        <v/>
      </c>
    </row>
    <row r="997">
      <c r="D997" s="6" t="n">
        <v>995</v>
      </c>
      <c r="E997" s="7" t="n">
        <v>9.94710507505361</v>
      </c>
      <c r="F997" s="8" t="n">
        <v>1.496837062211636</v>
      </c>
      <c r="G997" s="9">
        <f>DEGREES(F997)</f>
        <v/>
      </c>
      <c r="H997" s="8" t="n">
        <v>11.08872274794412</v>
      </c>
      <c r="I997" s="9">
        <f>DEGREES(H997)</f>
        <v/>
      </c>
      <c r="J997" s="10" t="n">
        <v>0.9214017412956684</v>
      </c>
      <c r="K997" s="10" t="n">
        <v>0.3697963229163013</v>
      </c>
      <c r="L997" s="11">
        <f>$B$5*$B$3*$B$6*SIN(F997)</f>
        <v/>
      </c>
      <c r="M997" s="11">
        <f>$B$9*K997*(SIN(F997))^2 + $B$8*($B$10+K997*COS(F997))*COS(F997)</f>
        <v/>
      </c>
      <c r="N997" s="11">
        <f>0.5*$B$9*(J997^2 + (K997*SIN(F997))^2) + 0.5*$B$8*($B$10 + K997*COS(F997))^2</f>
        <v/>
      </c>
      <c r="O997" s="11">
        <f>$B$3*$B$6*$B$5*COS(F997)</f>
        <v/>
      </c>
      <c r="P997" s="11">
        <f>N997+O997</f>
        <v/>
      </c>
      <c r="Q997" s="12">
        <f>ABS(P997-$P$3)</f>
        <v/>
      </c>
    </row>
    <row r="998">
      <c r="D998" s="13" t="n">
        <v>996</v>
      </c>
      <c r="E998" s="14" t="n">
        <v>9.957112223016441</v>
      </c>
      <c r="F998" s="15" t="n">
        <v>1.505823580986538</v>
      </c>
      <c r="G998" s="16">
        <f>DEGREES(F998)</f>
        <v/>
      </c>
      <c r="H998" s="15" t="n">
        <v>11.09219655908827</v>
      </c>
      <c r="I998" s="16">
        <f>DEGREES(H998)</f>
        <v/>
      </c>
      <c r="J998" s="17" t="n">
        <v>0.8741481695665841</v>
      </c>
      <c r="K998" s="17" t="n">
        <v>0.3248637290417905</v>
      </c>
      <c r="L998" s="18">
        <f>$B$5*$B$3*$B$6*SIN(F998)</f>
        <v/>
      </c>
      <c r="M998" s="18">
        <f>$B$9*K998*(SIN(F998))^2 + $B$8*($B$10+K998*COS(F998))*COS(F998)</f>
        <v/>
      </c>
      <c r="N998" s="18">
        <f>0.5*$B$9*(J998^2 + (K998*SIN(F998))^2) + 0.5*$B$8*($B$10 + K998*COS(F998))^2</f>
        <v/>
      </c>
      <c r="O998" s="18">
        <f>$B$3*$B$6*$B$5*COS(F998)</f>
        <v/>
      </c>
      <c r="P998" s="18">
        <f>N998+O998</f>
        <v/>
      </c>
      <c r="Q998" s="19">
        <f>ABS(P998-$P$3)</f>
        <v/>
      </c>
    </row>
    <row r="999">
      <c r="D999" s="6" t="n">
        <v>997</v>
      </c>
      <c r="E999" s="7" t="n">
        <v>9.967119370979272</v>
      </c>
      <c r="F999" s="8" t="n">
        <v>1.514323366426916</v>
      </c>
      <c r="G999" s="9">
        <f>DEGREES(F999)</f>
        <v/>
      </c>
      <c r="H999" s="8" t="n">
        <v>11.09523278562342</v>
      </c>
      <c r="I999" s="9">
        <f>DEGREES(H999)</f>
        <v/>
      </c>
      <c r="J999" s="10" t="n">
        <v>0.824150067169892</v>
      </c>
      <c r="K999" s="10" t="n">
        <v>0.2823648018399048</v>
      </c>
      <c r="L999" s="11">
        <f>$B$5*$B$3*$B$6*SIN(F999)</f>
        <v/>
      </c>
      <c r="M999" s="11">
        <f>$B$9*K999*(SIN(F999))^2 + $B$8*($B$10+K999*COS(F999))*COS(F999)</f>
        <v/>
      </c>
      <c r="N999" s="11">
        <f>0.5*$B$9*(J999^2 + (K999*SIN(F999))^2) + 0.5*$B$8*($B$10 + K999*COS(F999))^2</f>
        <v/>
      </c>
      <c r="O999" s="11">
        <f>$B$3*$B$6*$B$5*COS(F999)</f>
        <v/>
      </c>
      <c r="P999" s="11">
        <f>N999+O999</f>
        <v/>
      </c>
      <c r="Q999" s="12">
        <f>ABS(P999-$P$3)</f>
        <v/>
      </c>
    </row>
    <row r="1000">
      <c r="D1000" s="13" t="n">
        <v>998</v>
      </c>
      <c r="E1000" s="14" t="n">
        <v>9.977126518942102</v>
      </c>
      <c r="F1000" s="15" t="n">
        <v>1.52230973207088</v>
      </c>
      <c r="G1000" s="16">
        <f>DEGREES(F1000)</f>
        <v/>
      </c>
      <c r="H1000" s="15" t="n">
        <v>11.09785645580091</v>
      </c>
      <c r="I1000" s="16">
        <f>DEGREES(H1000)</f>
        <v/>
      </c>
      <c r="J1000" s="17" t="n">
        <v>0.7715644112979539</v>
      </c>
      <c r="K1000" s="17" t="n">
        <v>0.2424329736200853</v>
      </c>
      <c r="L1000" s="18">
        <f>$B$5*$B$3*$B$6*SIN(F1000)</f>
        <v/>
      </c>
      <c r="M1000" s="18">
        <f>$B$9*K1000*(SIN(F1000))^2 + $B$8*($B$10+K1000*COS(F1000))*COS(F1000)</f>
        <v/>
      </c>
      <c r="N1000" s="18">
        <f>0.5*$B$9*(J1000^2 + (K1000*SIN(F1000))^2) + 0.5*$B$8*($B$10 + K1000*COS(F1000))^2</f>
        <v/>
      </c>
      <c r="O1000" s="18">
        <f>$B$3*$B$6*$B$5*COS(F1000)</f>
        <v/>
      </c>
      <c r="P1000" s="18">
        <f>N1000+O1000</f>
        <v/>
      </c>
      <c r="Q1000" s="19">
        <f>ABS(P1000-$P$3)</f>
        <v/>
      </c>
    </row>
    <row r="1001">
      <c r="D1001" s="6" t="n">
        <v>999</v>
      </c>
      <c r="E1001" s="7" t="n">
        <v>9.987133666904933</v>
      </c>
      <c r="F1001" s="8" t="n">
        <v>1.529757603421688</v>
      </c>
      <c r="G1001" s="9">
        <f>DEGREES(F1001)</f>
        <v/>
      </c>
      <c r="H1001" s="8" t="n">
        <v>11.10009389316</v>
      </c>
      <c r="I1001" s="9">
        <f>DEGREES(H1001)</f>
        <v/>
      </c>
      <c r="J1001" s="10" t="n">
        <v>0.7165563031890083</v>
      </c>
      <c r="K1001" s="10" t="n">
        <v>0.2051936168660423</v>
      </c>
      <c r="L1001" s="11">
        <f>$B$5*$B$3*$B$6*SIN(F1001)</f>
        <v/>
      </c>
      <c r="M1001" s="11">
        <f>$B$9*K1001*(SIN(F1001))^2 + $B$8*($B$10+K1001*COS(F1001))*COS(F1001)</f>
        <v/>
      </c>
      <c r="N1001" s="11">
        <f>0.5*$B$9*(J1001^2 + (K1001*SIN(F1001))^2) + 0.5*$B$8*($B$10 + K1001*COS(F1001))^2</f>
        <v/>
      </c>
      <c r="O1001" s="11">
        <f>$B$3*$B$6*$B$5*COS(F1001)</f>
        <v/>
      </c>
      <c r="P1001" s="11">
        <f>N1001+O1001</f>
        <v/>
      </c>
      <c r="Q1001" s="12">
        <f>ABS(P1001-$P$3)</f>
        <v/>
      </c>
    </row>
    <row r="1002">
      <c r="D1002" s="13" t="n">
        <v>1000</v>
      </c>
      <c r="E1002" s="14" t="n">
        <v>9.997140814867763</v>
      </c>
      <c r="F1002" s="15" t="n">
        <v>1.536643596673204</v>
      </c>
      <c r="G1002" s="16">
        <f>DEGREES(F1002)</f>
        <v/>
      </c>
      <c r="H1002" s="15" t="n">
        <v>11.10197263388085</v>
      </c>
      <c r="I1002" s="16">
        <f>DEGREES(H1002)</f>
        <v/>
      </c>
      <c r="J1002" s="17" t="n">
        <v>0.6592984497649936</v>
      </c>
      <c r="K1002" s="17" t="n">
        <v>0.1707636506084614</v>
      </c>
      <c r="L1002" s="18">
        <f>$B$5*$B$3*$B$6*SIN(F1002)</f>
        <v/>
      </c>
      <c r="M1002" s="18">
        <f>$B$9*K1002*(SIN(F1002))^2 + $B$8*($B$10+K1002*COS(F1002))*COS(F1002)</f>
        <v/>
      </c>
      <c r="N1002" s="18">
        <f>0.5*$B$9*(J1002^2 + (K1002*SIN(F1002))^2) + 0.5*$B$8*($B$10 + K1002*COS(F1002))^2</f>
        <v/>
      </c>
      <c r="O1002" s="18">
        <f>$B$3*$B$6*$B$5*COS(F1002)</f>
        <v/>
      </c>
      <c r="P1002" s="18">
        <f>N1002+O1002</f>
        <v/>
      </c>
      <c r="Q1002" s="19">
        <f>ABS(P1002-$P$3)</f>
        <v/>
      </c>
    </row>
    <row r="1003">
      <c r="D1003" s="6" t="n">
        <v>1001</v>
      </c>
      <c r="E1003" s="7" t="n">
        <v>10.00714796283059</v>
      </c>
      <c r="F1003" s="8" t="n">
        <v>1.542946092127175</v>
      </c>
      <c r="G1003" s="9">
        <f>DEGREES(F1003)</f>
        <v/>
      </c>
      <c r="H1003" s="8" t="n">
        <v>11.10352134033016</v>
      </c>
      <c r="I1003" s="9">
        <f>DEGREES(H1003)</f>
        <v/>
      </c>
      <c r="J1003" s="10" t="n">
        <v>0.5999706213899527</v>
      </c>
      <c r="K1003" s="10" t="n">
        <v>0.139251173338606</v>
      </c>
      <c r="L1003" s="11">
        <f>$B$5*$B$3*$B$6*SIN(F1003)</f>
        <v/>
      </c>
      <c r="M1003" s="11">
        <f>$B$9*K1003*(SIN(F1003))^2 + $B$8*($B$10+K1003*COS(F1003))*COS(F1003)</f>
        <v/>
      </c>
      <c r="N1003" s="11">
        <f>0.5*$B$9*(J1003^2 + (K1003*SIN(F1003))^2) + 0.5*$B$8*($B$10 + K1003*COS(F1003))^2</f>
        <v/>
      </c>
      <c r="O1003" s="11">
        <f>$B$3*$B$6*$B$5*COS(F1003)</f>
        <v/>
      </c>
      <c r="P1003" s="11">
        <f>N1003+O1003</f>
        <v/>
      </c>
      <c r="Q1003" s="12">
        <f>ABS(P1003-$P$3)</f>
        <v/>
      </c>
    </row>
    <row r="1004">
      <c r="D1004" s="13" t="n">
        <v>1002</v>
      </c>
      <c r="E1004" s="14" t="n">
        <v>10.01715511079342</v>
      </c>
      <c r="F1004" s="15" t="n">
        <v>1.548645302071794</v>
      </c>
      <c r="G1004" s="16">
        <f>DEGREES(F1004)</f>
        <v/>
      </c>
      <c r="H1004" s="15" t="n">
        <v>11.10476971107106</v>
      </c>
      <c r="I1004" s="16">
        <f>DEGREES(H1004)</f>
        <v/>
      </c>
      <c r="J1004" s="17" t="n">
        <v>0.5387590874517144</v>
      </c>
      <c r="K1004" s="17" t="n">
        <v>0.1107551236155113</v>
      </c>
      <c r="L1004" s="18">
        <f>$B$5*$B$3*$B$6*SIN(F1004)</f>
        <v/>
      </c>
      <c r="M1004" s="18">
        <f>$B$9*K1004*(SIN(F1004))^2 + $B$8*($B$10+K1004*COS(F1004))*COS(F1004)</f>
        <v/>
      </c>
      <c r="N1004" s="18">
        <f>0.5*$B$9*(J1004^2 + (K1004*SIN(F1004))^2) + 0.5*$B$8*($B$10 + K1004*COS(F1004))^2</f>
        <v/>
      </c>
      <c r="O1004" s="18">
        <f>$B$3*$B$6*$B$5*COS(F1004)</f>
        <v/>
      </c>
      <c r="P1004" s="18">
        <f>N1004+O1004</f>
        <v/>
      </c>
      <c r="Q1004" s="19">
        <f>ABS(P1004-$P$3)</f>
        <v/>
      </c>
    </row>
    <row r="1005">
      <c r="D1005" s="6" t="n">
        <v>1003</v>
      </c>
      <c r="E1005" s="7" t="n">
        <v>10.02716225875625</v>
      </c>
      <c r="F1005" s="8" t="n">
        <v>1.553723332908447</v>
      </c>
      <c r="G1005" s="9">
        <f>DEGREES(F1005)</f>
        <v/>
      </c>
      <c r="H1005" s="8" t="n">
        <v>11.10574838761957</v>
      </c>
      <c r="I1005" s="9">
        <f>DEGREES(H1005)</f>
        <v/>
      </c>
      <c r="J1005" s="10" t="n">
        <v>0.4758560315387982</v>
      </c>
      <c r="K1005" s="10" t="n">
        <v>0.08536496943225025</v>
      </c>
      <c r="L1005" s="11">
        <f>$B$5*$B$3*$B$6*SIN(F1005)</f>
        <v/>
      </c>
      <c r="M1005" s="11">
        <f>$B$9*K1005*(SIN(F1005))^2 + $B$8*($B$10+K1005*COS(F1005))*COS(F1005)</f>
        <v/>
      </c>
      <c r="N1005" s="11">
        <f>0.5*$B$9*(J1005^2 + (K1005*SIN(F1005))^2) + 0.5*$B$8*($B$10 + K1005*COS(F1005))^2</f>
        <v/>
      </c>
      <c r="O1005" s="11">
        <f>$B$3*$B$6*$B$5*COS(F1005)</f>
        <v/>
      </c>
      <c r="P1005" s="11">
        <f>N1005+O1005</f>
        <v/>
      </c>
      <c r="Q1005" s="12">
        <f>ABS(P1005-$P$3)</f>
        <v/>
      </c>
    </row>
    <row r="1006">
      <c r="D1006" s="13" t="n">
        <v>1004</v>
      </c>
      <c r="E1006" s="14" t="n">
        <v>10.03716940671909</v>
      </c>
      <c r="F1006" s="15" t="n">
        <v>1.558164241331585</v>
      </c>
      <c r="G1006" s="16">
        <f>DEGREES(F1006)</f>
        <v/>
      </c>
      <c r="H1006" s="15" t="n">
        <v>11.10648885824059</v>
      </c>
      <c r="I1006" s="16">
        <f>DEGREES(H1006)</f>
        <v/>
      </c>
      <c r="J1006" s="17" t="n">
        <v>0.41145894804864</v>
      </c>
      <c r="K1006" s="17" t="n">
        <v>0.0631604273165558</v>
      </c>
      <c r="L1006" s="18">
        <f>$B$5*$B$3*$B$6*SIN(F1006)</f>
        <v/>
      </c>
      <c r="M1006" s="18">
        <f>$B$9*K1006*(SIN(F1006))^2 + $B$8*($B$10+K1006*COS(F1006))*COS(F1006)</f>
        <v/>
      </c>
      <c r="N1006" s="18">
        <f>0.5*$B$9*(J1006^2 + (K1006*SIN(F1006))^2) + 0.5*$B$8*($B$10 + K1006*COS(F1006))^2</f>
        <v/>
      </c>
      <c r="O1006" s="18">
        <f>$B$3*$B$6*$B$5*COS(F1006)</f>
        <v/>
      </c>
      <c r="P1006" s="18">
        <f>N1006+O1006</f>
        <v/>
      </c>
      <c r="Q1006" s="19">
        <f>ABS(P1006-$P$3)</f>
        <v/>
      </c>
    </row>
    <row r="1007">
      <c r="D1007" s="6" t="n">
        <v>1005</v>
      </c>
      <c r="E1007" s="7" t="n">
        <v>10.04717655468192</v>
      </c>
      <c r="F1007" s="8" t="n">
        <v>1.561954084385333</v>
      </c>
      <c r="G1007" s="9">
        <f>DEGREES(F1007)</f>
        <v/>
      </c>
      <c r="H1007" s="8" t="n">
        <v>11.10702335908535</v>
      </c>
      <c r="I1007" s="9">
        <f>DEGREES(H1007)</f>
        <v/>
      </c>
      <c r="J1007" s="10" t="n">
        <v>0.3457700221218093</v>
      </c>
      <c r="K1007" s="10" t="n">
        <v>0.04421121204782041</v>
      </c>
      <c r="L1007" s="11">
        <f>$B$5*$B$3*$B$6*SIN(F1007)</f>
        <v/>
      </c>
      <c r="M1007" s="11">
        <f>$B$9*K1007*(SIN(F1007))^2 + $B$8*($B$10+K1007*COS(F1007))*COS(F1007)</f>
        <v/>
      </c>
      <c r="N1007" s="11">
        <f>0.5*$B$9*(J1007^2 + (K1007*SIN(F1007))^2) + 0.5*$B$8*($B$10 + K1007*COS(F1007))^2</f>
        <v/>
      </c>
      <c r="O1007" s="11">
        <f>$B$3*$B$6*$B$5*COS(F1007)</f>
        <v/>
      </c>
      <c r="P1007" s="11">
        <f>N1007+O1007</f>
        <v/>
      </c>
      <c r="Q1007" s="12">
        <f>ABS(P1007-$P$3)</f>
        <v/>
      </c>
    </row>
    <row r="1008">
      <c r="D1008" s="13" t="n">
        <v>1006</v>
      </c>
      <c r="E1008" s="14" t="n">
        <v>10.05718370264475</v>
      </c>
      <c r="F1008" s="15" t="n">
        <v>1.565080963239661</v>
      </c>
      <c r="G1008" s="16">
        <f>DEGREES(F1008)</f>
        <v/>
      </c>
      <c r="H1008" s="15" t="n">
        <v>11.10738477298078</v>
      </c>
      <c r="I1008" s="16">
        <f>DEGREES(H1008)</f>
        <v/>
      </c>
      <c r="J1008" s="17" t="n">
        <v>0.2789954948488059</v>
      </c>
      <c r="K1008" s="17" t="n">
        <v>0.02857681777617649</v>
      </c>
      <c r="L1008" s="18">
        <f>$B$5*$B$3*$B$6*SIN(F1008)</f>
        <v/>
      </c>
      <c r="M1008" s="18">
        <f>$B$9*K1008*(SIN(F1008))^2 + $B$8*($B$10+K1008*COS(F1008))*COS(F1008)</f>
        <v/>
      </c>
      <c r="N1008" s="18">
        <f>0.5*$B$9*(J1008^2 + (K1008*SIN(F1008))^2) + 0.5*$B$8*($B$10 + K1008*COS(F1008))^2</f>
        <v/>
      </c>
      <c r="O1008" s="18">
        <f>$B$3*$B$6*$B$5*COS(F1008)</f>
        <v/>
      </c>
      <c r="P1008" s="18">
        <f>N1008+O1008</f>
        <v/>
      </c>
      <c r="Q1008" s="19">
        <f>ABS(P1008-$P$3)</f>
        <v/>
      </c>
    </row>
    <row r="1009">
      <c r="D1009" s="6" t="n">
        <v>1007</v>
      </c>
      <c r="E1009" s="7" t="n">
        <v>10.06719085060758</v>
      </c>
      <c r="F1009" s="8" t="n">
        <v>1.567535060548718</v>
      </c>
      <c r="G1009" s="9">
        <f>DEGREES(F1009)</f>
        <v/>
      </c>
      <c r="H1009" s="8" t="n">
        <v>11.1076065261885</v>
      </c>
      <c r="I1009" s="9">
        <f>DEGREES(H1009)</f>
        <v/>
      </c>
      <c r="J1009" s="10" t="n">
        <v>0.2113450157424628</v>
      </c>
      <c r="K1009" s="10" t="n">
        <v>0.01630633123089442</v>
      </c>
      <c r="L1009" s="11">
        <f>$B$5*$B$3*$B$6*SIN(F1009)</f>
        <v/>
      </c>
      <c r="M1009" s="11">
        <f>$B$9*K1009*(SIN(F1009))^2 + $B$8*($B$10+K1009*COS(F1009))*COS(F1009)</f>
        <v/>
      </c>
      <c r="N1009" s="11">
        <f>0.5*$B$9*(J1009^2 + (K1009*SIN(F1009))^2) + 0.5*$B$8*($B$10 + K1009*COS(F1009))^2</f>
        <v/>
      </c>
      <c r="O1009" s="11">
        <f>$B$3*$B$6*$B$5*COS(F1009)</f>
        <v/>
      </c>
      <c r="P1009" s="11">
        <f>N1009+O1009</f>
        <v/>
      </c>
      <c r="Q1009" s="12">
        <f>ABS(P1009-$P$3)</f>
        <v/>
      </c>
    </row>
    <row r="1010">
      <c r="D1010" s="13" t="n">
        <v>1008</v>
      </c>
      <c r="E1010" s="14" t="n">
        <v>10.07719799857041</v>
      </c>
      <c r="F1010" s="15" t="n">
        <v>1.569308671273973</v>
      </c>
      <c r="G1010" s="16">
        <f>DEGREES(F1010)</f>
        <v/>
      </c>
      <c r="H1010" s="15" t="n">
        <v>11.10772248345762</v>
      </c>
      <c r="I1010" s="16">
        <f>DEGREES(H1010)</f>
        <v/>
      </c>
      <c r="J1010" s="17" t="n">
        <v>0.1430309845092103</v>
      </c>
      <c r="K1010" s="17" t="n">
        <v>0.007438277604618015</v>
      </c>
      <c r="L1010" s="18">
        <f>$B$5*$B$3*$B$6*SIN(F1010)</f>
        <v/>
      </c>
      <c r="M1010" s="18">
        <f>$B$9*K1010*(SIN(F1010))^2 + $B$8*($B$10+K1010*COS(F1010))*COS(F1010)</f>
        <v/>
      </c>
      <c r="N1010" s="18">
        <f>0.5*$B$9*(J1010^2 + (K1010*SIN(F1010))^2) + 0.5*$B$8*($B$10 + K1010*COS(F1010))^2</f>
        <v/>
      </c>
      <c r="O1010" s="18">
        <f>$B$3*$B$6*$B$5*COS(F1010)</f>
        <v/>
      </c>
      <c r="P1010" s="18">
        <f>N1010+O1010</f>
        <v/>
      </c>
      <c r="Q1010" s="19">
        <f>ABS(P1010-$P$3)</f>
        <v/>
      </c>
    </row>
    <row r="1011">
      <c r="D1011" s="6" t="n">
        <v>1009</v>
      </c>
      <c r="E1011" s="7" t="n">
        <v>10.08720514653324</v>
      </c>
      <c r="F1011" s="8" t="n">
        <v>1.57039622687545</v>
      </c>
      <c r="G1011" s="9">
        <f>DEGREES(F1011)</f>
        <v/>
      </c>
      <c r="H1011" s="8" t="n">
        <v>11.10776684170084</v>
      </c>
      <c r="I1011" s="9">
        <f>DEGREES(H1011)</f>
        <v/>
      </c>
      <c r="J1011" s="10" t="n">
        <v>0.07426788418554296</v>
      </c>
      <c r="K1011" s="10" t="n">
        <v>0.002000499597232031</v>
      </c>
      <c r="L1011" s="11">
        <f>$B$5*$B$3*$B$6*SIN(F1011)</f>
        <v/>
      </c>
      <c r="M1011" s="11">
        <f>$B$9*K1011*(SIN(F1011))^2 + $B$8*($B$10+K1011*COS(F1011))*COS(F1011)</f>
        <v/>
      </c>
      <c r="N1011" s="11">
        <f>0.5*$B$9*(J1011^2 + (K1011*SIN(F1011))^2) + 0.5*$B$8*($B$10 + K1011*COS(F1011))^2</f>
        <v/>
      </c>
      <c r="O1011" s="11">
        <f>$B$3*$B$6*$B$5*COS(F1011)</f>
        <v/>
      </c>
      <c r="P1011" s="11">
        <f>N1011+O1011</f>
        <v/>
      </c>
      <c r="Q1011" s="12">
        <f>ABS(P1011-$P$3)</f>
        <v/>
      </c>
    </row>
    <row r="1012">
      <c r="D1012" s="13" t="n">
        <v>1010</v>
      </c>
      <c r="E1012" s="14" t="n">
        <v>10.09721229449607</v>
      </c>
      <c r="F1012" s="15" t="n">
        <v>1.570794312795063</v>
      </c>
      <c r="G1012" s="16">
        <f>DEGREES(F1012)</f>
        <v/>
      </c>
      <c r="H1012" s="15" t="n">
        <v>11.10777402262768</v>
      </c>
      <c r="I1012" s="16">
        <f>DEGREES(H1012)</f>
        <v/>
      </c>
      <c r="J1012" s="17" t="n">
        <v>0.005271607733529545</v>
      </c>
      <c r="K1012" s="17" t="n">
        <v>1.006999916608464e-05</v>
      </c>
      <c r="L1012" s="18">
        <f>$B$5*$B$3*$B$6*SIN(F1012)</f>
        <v/>
      </c>
      <c r="M1012" s="18">
        <f>$B$9*K1012*(SIN(F1012))^2 + $B$8*($B$10+K1012*COS(F1012))*COS(F1012)</f>
        <v/>
      </c>
      <c r="N1012" s="18">
        <f>0.5*$B$9*(J1012^2 + (K1012*SIN(F1012))^2) + 0.5*$B$8*($B$10 + K1012*COS(F1012))^2</f>
        <v/>
      </c>
      <c r="O1012" s="18">
        <f>$B$3*$B$6*$B$5*COS(F1012)</f>
        <v/>
      </c>
      <c r="P1012" s="18">
        <f>N1012+O1012</f>
        <v/>
      </c>
      <c r="Q1012" s="19">
        <f>ABS(P1012-$P$3)</f>
        <v/>
      </c>
    </row>
    <row r="1013">
      <c r="D1013" s="6" t="n">
        <v>1011</v>
      </c>
      <c r="E1013" s="7" t="n">
        <v>10.1072194424589</v>
      </c>
      <c r="F1013" s="8" t="n">
        <v>1.570501679177178</v>
      </c>
      <c r="G1013" s="9">
        <f>DEGREES(F1013)</f>
        <v/>
      </c>
      <c r="H1013" s="8" t="n">
        <v>11.10777856467191</v>
      </c>
      <c r="I1013" s="9">
        <f>DEGREES(H1013)</f>
        <v/>
      </c>
      <c r="J1013" s="10" t="n">
        <v>-0.06374121979024527</v>
      </c>
      <c r="K1013" s="10" t="n">
        <v>0.001473238088591566</v>
      </c>
      <c r="L1013" s="11">
        <f>$B$5*$B$3*$B$6*SIN(F1013)</f>
        <v/>
      </c>
      <c r="M1013" s="11">
        <f>$B$9*K1013*(SIN(F1013))^2 + $B$8*($B$10+K1013*COS(F1013))*COS(F1013)</f>
        <v/>
      </c>
      <c r="N1013" s="11">
        <f>0.5*$B$9*(J1013^2 + (K1013*SIN(F1013))^2) + 0.5*$B$8*($B$10 + K1013*COS(F1013))^2</f>
        <v/>
      </c>
      <c r="O1013" s="11">
        <f>$B$3*$B$6*$B$5*COS(F1013)</f>
        <v/>
      </c>
      <c r="P1013" s="11">
        <f>N1013+O1013</f>
        <v/>
      </c>
      <c r="Q1013" s="12">
        <f>ABS(P1013-$P$3)</f>
        <v/>
      </c>
    </row>
    <row r="1014">
      <c r="D1014" s="13" t="n">
        <v>1012</v>
      </c>
      <c r="E1014" s="14" t="n">
        <v>10.11722659042173</v>
      </c>
      <c r="F1014" s="15" t="n">
        <v>1.569519244792739</v>
      </c>
      <c r="G1014" s="16">
        <f>DEGREES(F1014)</f>
        <v/>
      </c>
      <c r="H1014" s="15" t="n">
        <v>11.10781501455248</v>
      </c>
      <c r="I1014" s="16">
        <f>DEGREES(H1014)</f>
        <v/>
      </c>
      <c r="J1014" s="17" t="n">
        <v>-0.1325539213644354</v>
      </c>
      <c r="K1014" s="17" t="n">
        <v>0.006385410010789183</v>
      </c>
      <c r="L1014" s="18">
        <f>$B$5*$B$3*$B$6*SIN(F1014)</f>
        <v/>
      </c>
      <c r="M1014" s="18">
        <f>$B$9*K1014*(SIN(F1014))^2 + $B$8*($B$10+K1014*COS(F1014))*COS(F1014)</f>
        <v/>
      </c>
      <c r="N1014" s="18">
        <f>0.5*$B$9*(J1014^2 + (K1014*SIN(F1014))^2) + 0.5*$B$8*($B$10 + K1014*COS(F1014))^2</f>
        <v/>
      </c>
      <c r="O1014" s="18">
        <f>$B$3*$B$6*$B$5*COS(F1014)</f>
        <v/>
      </c>
      <c r="P1014" s="18">
        <f>N1014+O1014</f>
        <v/>
      </c>
      <c r="Q1014" s="19">
        <f>ABS(P1014-$P$3)</f>
        <v/>
      </c>
    </row>
    <row r="1015">
      <c r="D1015" s="6" t="n">
        <v>1013</v>
      </c>
      <c r="E1015" s="7" t="n">
        <v>10.12723373838456</v>
      </c>
      <c r="F1015" s="8" t="n">
        <v>1.567850094154634</v>
      </c>
      <c r="G1015" s="9">
        <f>DEGREES(F1015)</f>
        <v/>
      </c>
      <c r="H1015" s="8" t="n">
        <v>11.10791781880851</v>
      </c>
      <c r="I1015" s="9">
        <f>DEGREES(H1015)</f>
        <v/>
      </c>
      <c r="J1015" s="10" t="n">
        <v>-0.2009504482957607</v>
      </c>
      <c r="K1015" s="10" t="n">
        <v>0.01473116320131007</v>
      </c>
      <c r="L1015" s="11">
        <f>$B$5*$B$3*$B$6*SIN(F1015)</f>
        <v/>
      </c>
      <c r="M1015" s="11">
        <f>$B$9*K1015*(SIN(F1015))^2 + $B$8*($B$10+K1015*COS(F1015))*COS(F1015)</f>
        <v/>
      </c>
      <c r="N1015" s="11">
        <f>0.5*$B$9*(J1015^2 + (K1015*SIN(F1015))^2) + 0.5*$B$8*($B$10 + K1015*COS(F1015))^2</f>
        <v/>
      </c>
      <c r="O1015" s="11">
        <f>$B$3*$B$6*$B$5*COS(F1015)</f>
        <v/>
      </c>
      <c r="P1015" s="11">
        <f>N1015+O1015</f>
        <v/>
      </c>
      <c r="Q1015" s="12">
        <f>ABS(P1015-$P$3)</f>
        <v/>
      </c>
    </row>
    <row r="1016">
      <c r="D1016" s="13" t="n">
        <v>1014</v>
      </c>
      <c r="E1016" s="14" t="n">
        <v>10.13724088634739</v>
      </c>
      <c r="F1016" s="15" t="n">
        <v>1.565499467833372</v>
      </c>
      <c r="G1016" s="16">
        <f>DEGREES(F1016)</f>
        <v/>
      </c>
      <c r="H1016" s="15" t="n">
        <v>11.10812121564874</v>
      </c>
      <c r="I1016" s="16">
        <f>DEGREES(H1016)</f>
        <v/>
      </c>
      <c r="J1016" s="17" t="n">
        <v>-0.2687160585390181</v>
      </c>
      <c r="K1016" s="17" t="n">
        <v>0.02648429480762293</v>
      </c>
      <c r="L1016" s="18">
        <f>$B$5*$B$3*$B$6*SIN(F1016)</f>
        <v/>
      </c>
      <c r="M1016" s="18">
        <f>$B$9*K1016*(SIN(F1016))^2 + $B$8*($B$10+K1016*COS(F1016))*COS(F1016)</f>
        <v/>
      </c>
      <c r="N1016" s="18">
        <f>0.5*$B$9*(J1016^2 + (K1016*SIN(F1016))^2) + 0.5*$B$8*($B$10 + K1016*COS(F1016))^2</f>
        <v/>
      </c>
      <c r="O1016" s="18">
        <f>$B$3*$B$6*$B$5*COS(F1016)</f>
        <v/>
      </c>
      <c r="P1016" s="18">
        <f>N1016+O1016</f>
        <v/>
      </c>
      <c r="Q1016" s="19">
        <f>ABS(P1016-$P$3)</f>
        <v/>
      </c>
    </row>
    <row r="1017">
      <c r="D1017" s="6" t="n">
        <v>1015</v>
      </c>
      <c r="E1017" s="7" t="n">
        <v>10.14724803431022</v>
      </c>
      <c r="F1017" s="8" t="n">
        <v>1.562474746003447</v>
      </c>
      <c r="G1017" s="9">
        <f>DEGREES(F1017)</f>
        <v/>
      </c>
      <c r="H1017" s="8" t="n">
        <v>11.10845912745508</v>
      </c>
      <c r="I1017" s="9">
        <f>DEGREES(H1017)</f>
        <v/>
      </c>
      <c r="J1017" s="10" t="n">
        <v>-0.3356379909148149</v>
      </c>
      <c r="K1017" s="10" t="n">
        <v>0.04160790395724634</v>
      </c>
      <c r="L1017" s="11">
        <f>$B$5*$B$3*$B$6*SIN(F1017)</f>
        <v/>
      </c>
      <c r="M1017" s="11">
        <f>$B$9*K1017*(SIN(F1017))^2 + $B$8*($B$10+K1017*COS(F1017))*COS(F1017)</f>
        <v/>
      </c>
      <c r="N1017" s="11">
        <f>0.5*$B$9*(J1017^2 + (K1017*SIN(F1017))^2) + 0.5*$B$8*($B$10 + K1017*COS(F1017))^2</f>
        <v/>
      </c>
      <c r="O1017" s="11">
        <f>$B$3*$B$6*$B$5*COS(F1017)</f>
        <v/>
      </c>
      <c r="P1017" s="11">
        <f>N1017+O1017</f>
        <v/>
      </c>
      <c r="Q1017" s="12">
        <f>ABS(P1017-$P$3)</f>
        <v/>
      </c>
    </row>
    <row r="1018">
      <c r="D1018" s="13" t="n">
        <v>1016</v>
      </c>
      <c r="E1018" s="14" t="n">
        <v>10.15725518227305</v>
      </c>
      <c r="F1018" s="15" t="n">
        <v>1.558785425272085</v>
      </c>
      <c r="G1018" s="16">
        <f>DEGREES(F1018)</f>
        <v/>
      </c>
      <c r="H1018" s="15" t="n">
        <v>11.10896505427779</v>
      </c>
      <c r="I1018" s="16">
        <f>DEGREES(H1018)</f>
        <v/>
      </c>
      <c r="J1018" s="17" t="n">
        <v>-0.4015061331079621</v>
      </c>
      <c r="K1018" s="17" t="n">
        <v>0.06005450761405684</v>
      </c>
      <c r="L1018" s="18">
        <f>$B$5*$B$3*$B$6*SIN(F1018)</f>
        <v/>
      </c>
      <c r="M1018" s="18">
        <f>$B$9*K1018*(SIN(F1018))^2 + $B$8*($B$10+K1018*COS(F1018))*COS(F1018)</f>
        <v/>
      </c>
      <c r="N1018" s="18">
        <f>0.5*$B$9*(J1018^2 + (K1018*SIN(F1018))^2) + 0.5*$B$8*($B$10 + K1018*COS(F1018))^2</f>
        <v/>
      </c>
      <c r="O1018" s="18">
        <f>$B$3*$B$6*$B$5*COS(F1018)</f>
        <v/>
      </c>
      <c r="P1018" s="18">
        <f>N1018+O1018</f>
        <v/>
      </c>
      <c r="Q1018" s="19">
        <f>ABS(P1018-$P$3)</f>
        <v/>
      </c>
    </row>
    <row r="1019">
      <c r="D1019" s="6" t="n">
        <v>1017</v>
      </c>
      <c r="E1019" s="7" t="n">
        <v>10.16726233023588</v>
      </c>
      <c r="F1019" s="8" t="n">
        <v>1.554443088863094</v>
      </c>
      <c r="G1019" s="9">
        <f>DEGREES(F1019)</f>
        <v/>
      </c>
      <c r="H1019" s="8" t="n">
        <v>11.10967196865659</v>
      </c>
      <c r="I1019" s="9">
        <f>DEGREES(H1019)</f>
        <v/>
      </c>
      <c r="J1019" s="10" t="n">
        <v>-0.4661136813493036</v>
      </c>
      <c r="K1019" s="10" t="n">
        <v>0.08176618965901339</v>
      </c>
      <c r="L1019" s="11">
        <f>$B$5*$B$3*$B$6*SIN(F1019)</f>
        <v/>
      </c>
      <c r="M1019" s="11">
        <f>$B$9*K1019*(SIN(F1019))^2 + $B$8*($B$10+K1019*COS(F1019))*COS(F1019)</f>
        <v/>
      </c>
      <c r="N1019" s="11">
        <f>0.5*$B$9*(J1019^2 + (K1019*SIN(F1019))^2) + 0.5*$B$8*($B$10 + K1019*COS(F1019))^2</f>
        <v/>
      </c>
      <c r="O1019" s="11">
        <f>$B$3*$B$6*$B$5*COS(F1019)</f>
        <v/>
      </c>
      <c r="P1019" s="11">
        <f>N1019+O1019</f>
        <v/>
      </c>
      <c r="Q1019" s="12">
        <f>ABS(P1019-$P$3)</f>
        <v/>
      </c>
    </row>
    <row r="1020">
      <c r="D1020" s="13" t="n">
        <v>1018</v>
      </c>
      <c r="E1020" s="14" t="n">
        <v>10.17726947819871</v>
      </c>
      <c r="F1020" s="15" t="n">
        <v>1.549461370249447</v>
      </c>
      <c r="G1020" s="16">
        <f>DEGREES(F1020)</f>
        <v/>
      </c>
      <c r="H1020" s="15" t="n">
        <v>11.11061221209801</v>
      </c>
      <c r="I1020" s="16">
        <f>DEGREES(H1020)</f>
        <v/>
      </c>
      <c r="J1020" s="17" t="n">
        <v>-0.5292577897098524</v>
      </c>
      <c r="K1020" s="17" t="n">
        <v>0.1066747827272464</v>
      </c>
      <c r="L1020" s="18">
        <f>$B$5*$B$3*$B$6*SIN(F1020)</f>
        <v/>
      </c>
      <c r="M1020" s="18">
        <f>$B$9*K1020*(SIN(F1020))^2 + $B$8*($B$10+K1020*COS(F1020))*COS(F1020)</f>
        <v/>
      </c>
      <c r="N1020" s="18">
        <f>0.5*$B$9*(J1020^2 + (K1020*SIN(F1020))^2) + 0.5*$B$8*($B$10 + K1020*COS(F1020))^2</f>
        <v/>
      </c>
      <c r="O1020" s="18">
        <f>$B$3*$B$6*$B$5*COS(F1020)</f>
        <v/>
      </c>
      <c r="P1020" s="18">
        <f>N1020+O1020</f>
        <v/>
      </c>
      <c r="Q1020" s="19">
        <f>ABS(P1020-$P$3)</f>
        <v/>
      </c>
    </row>
    <row r="1021">
      <c r="D1021" s="6" t="n">
        <v>1019</v>
      </c>
      <c r="E1021" s="7" t="n">
        <v>10.18727662616154</v>
      </c>
      <c r="F1021" s="8" t="n">
        <v>1.543855910348769</v>
      </c>
      <c r="G1021" s="9">
        <f>DEGREES(F1021)</f>
        <v/>
      </c>
      <c r="H1021" s="8" t="n">
        <v>11.11181739353396</v>
      </c>
      <c r="I1021" s="9">
        <f>DEGREES(H1021)</f>
        <v/>
      </c>
      <c r="J1021" s="10" t="n">
        <v>-0.5907402069687213</v>
      </c>
      <c r="K1021" s="10" t="n">
        <v>0.1347020822306378</v>
      </c>
      <c r="L1021" s="11">
        <f>$B$5*$B$3*$B$6*SIN(F1021)</f>
        <v/>
      </c>
      <c r="M1021" s="11">
        <f>$B$9*K1021*(SIN(F1021))^2 + $B$8*($B$10+K1021*COS(F1021))*COS(F1021)</f>
        <v/>
      </c>
      <c r="N1021" s="11">
        <f>0.5*$B$9*(J1021^2 + (K1021*SIN(F1021))^2) + 0.5*$B$8*($B$10 + K1021*COS(F1021))^2</f>
        <v/>
      </c>
      <c r="O1021" s="11">
        <f>$B$3*$B$6*$B$5*COS(F1021)</f>
        <v/>
      </c>
      <c r="P1021" s="11">
        <f>N1021+O1021</f>
        <v/>
      </c>
      <c r="Q1021" s="12">
        <f>ABS(P1021-$P$3)</f>
        <v/>
      </c>
    </row>
    <row r="1022">
      <c r="D1022" s="13" t="n">
        <v>1020</v>
      </c>
      <c r="E1022" s="14" t="n">
        <v>10.19728377412438</v>
      </c>
      <c r="F1022" s="15" t="n">
        <v>1.537644308416127</v>
      </c>
      <c r="G1022" s="16">
        <f>DEGREES(F1022)</f>
        <v/>
      </c>
      <c r="H1022" s="15" t="n">
        <v>11.11331829008033</v>
      </c>
      <c r="I1022" s="16">
        <f>DEGREES(H1022)</f>
        <v/>
      </c>
      <c r="J1022" s="17" t="n">
        <v>-0.6503678990550738</v>
      </c>
      <c r="K1022" s="17" t="n">
        <v>0.1657600918938489</v>
      </c>
      <c r="L1022" s="18">
        <f>$B$5*$B$3*$B$6*SIN(F1022)</f>
        <v/>
      </c>
      <c r="M1022" s="18">
        <f>$B$9*K1022*(SIN(F1022))^2 + $B$8*($B$10+K1022*COS(F1022))*COS(F1022)</f>
        <v/>
      </c>
      <c r="N1022" s="18">
        <f>0.5*$B$9*(J1022^2 + (K1022*SIN(F1022))^2) + 0.5*$B$8*($B$10 + K1022*COS(F1022))^2</f>
        <v/>
      </c>
      <c r="O1022" s="18">
        <f>$B$3*$B$6*$B$5*COS(F1022)</f>
        <v/>
      </c>
      <c r="P1022" s="18">
        <f>N1022+O1022</f>
        <v/>
      </c>
      <c r="Q1022" s="19">
        <f>ABS(P1022-$P$3)</f>
        <v/>
      </c>
    </row>
    <row r="1023">
      <c r="D1023" s="6" t="n">
        <v>1021</v>
      </c>
      <c r="E1023" s="7" t="n">
        <v>10.20729092208721</v>
      </c>
      <c r="F1023" s="8" t="n">
        <v>1.530846066788304</v>
      </c>
      <c r="G1023" s="9">
        <f>DEGREES(F1023)</f>
        <v/>
      </c>
      <c r="H1023" s="8" t="n">
        <v>11.11514475040721</v>
      </c>
      <c r="I1023" s="9">
        <f>DEGREES(H1023)</f>
        <v/>
      </c>
      <c r="J1023" s="10" t="n">
        <v>-0.7079536551100577</v>
      </c>
      <c r="K1023" s="10" t="n">
        <v>0.1997513000329639</v>
      </c>
      <c r="L1023" s="11">
        <f>$B$5*$B$3*$B$6*SIN(F1023)</f>
        <v/>
      </c>
      <c r="M1023" s="11">
        <f>$B$9*K1023*(SIN(F1023))^2 + $B$8*($B$10+K1023*COS(F1023))*COS(F1023)</f>
        <v/>
      </c>
      <c r="N1023" s="11">
        <f>0.5*$B$9*(J1023^2 + (K1023*SIN(F1023))^2) + 0.5*$B$8*($B$10 + K1023*COS(F1023))^2</f>
        <v/>
      </c>
      <c r="O1023" s="11">
        <f>$B$3*$B$6*$B$5*COS(F1023)</f>
        <v/>
      </c>
      <c r="P1023" s="11">
        <f>N1023+O1023</f>
        <v/>
      </c>
      <c r="Q1023" s="12">
        <f>ABS(P1023-$P$3)</f>
        <v/>
      </c>
    </row>
    <row r="1024">
      <c r="D1024" s="13" t="n">
        <v>1022</v>
      </c>
      <c r="E1024" s="14" t="n">
        <v>10.21729807005004</v>
      </c>
      <c r="F1024" s="15" t="n">
        <v>1.523482529653025</v>
      </c>
      <c r="G1024" s="16">
        <f>DEGREES(F1024)</f>
        <v/>
      </c>
      <c r="H1024" s="15" t="n">
        <v>11.11732560102413</v>
      </c>
      <c r="I1024" s="16">
        <f>DEGREES(H1024)</f>
        <v/>
      </c>
      <c r="J1024" s="17" t="n">
        <v>-0.7633166752658785</v>
      </c>
      <c r="K1024" s="17" t="n">
        <v>0.2365689857093555</v>
      </c>
      <c r="L1024" s="18">
        <f>$B$5*$B$3*$B$6*SIN(F1024)</f>
        <v/>
      </c>
      <c r="M1024" s="18">
        <f>$B$9*K1024*(SIN(F1024))^2 + $B$8*($B$10+K1024*COS(F1024))*COS(F1024)</f>
        <v/>
      </c>
      <c r="N1024" s="18">
        <f>0.5*$B$9*(J1024^2 + (K1024*SIN(F1024))^2) + 0.5*$B$8*($B$10 + K1024*COS(F1024))^2</f>
        <v/>
      </c>
      <c r="O1024" s="18">
        <f>$B$3*$B$6*$B$5*COS(F1024)</f>
        <v/>
      </c>
      <c r="P1024" s="18">
        <f>N1024+O1024</f>
        <v/>
      </c>
      <c r="Q1024" s="19">
        <f>ABS(P1024-$P$3)</f>
        <v/>
      </c>
    </row>
    <row r="1025">
      <c r="D1025" s="6" t="n">
        <v>1023</v>
      </c>
      <c r="E1025" s="7" t="n">
        <v>10.22730521801287</v>
      </c>
      <c r="F1025" s="8" t="n">
        <v>1.515576816035412</v>
      </c>
      <c r="G1025" s="9">
        <f>DEGREES(F1025)</f>
        <v/>
      </c>
      <c r="H1025" s="8" t="n">
        <v>11.11988855577455</v>
      </c>
      <c r="I1025" s="9">
        <f>DEGREES(H1025)</f>
        <v/>
      </c>
      <c r="J1025" s="10" t="n">
        <v>-0.8162831382963811</v>
      </c>
      <c r="K1025" s="10" t="n">
        <v>0.2760975537974252</v>
      </c>
      <c r="L1025" s="11">
        <f>$B$5*$B$3*$B$6*SIN(F1025)</f>
        <v/>
      </c>
      <c r="M1025" s="11">
        <f>$B$9*K1025*(SIN(F1025))^2 + $B$8*($B$10+K1025*COS(F1025))*COS(F1025)</f>
        <v/>
      </c>
      <c r="N1025" s="11">
        <f>0.5*$B$9*(J1025^2 + (K1025*SIN(F1025))^2) + 0.5*$B$8*($B$10 + K1025*COS(F1025))^2</f>
        <v/>
      </c>
      <c r="O1025" s="11">
        <f>$B$3*$B$6*$B$5*COS(F1025)</f>
        <v/>
      </c>
      <c r="P1025" s="11">
        <f>N1025+O1025</f>
        <v/>
      </c>
      <c r="Q1025" s="12">
        <f>ABS(P1025-$P$3)</f>
        <v/>
      </c>
    </row>
    <row r="1026">
      <c r="D1026" s="13" t="n">
        <v>1024</v>
      </c>
      <c r="E1026" s="14" t="n">
        <v>10.2373123659757</v>
      </c>
      <c r="F1026" s="15" t="n">
        <v>1.507153747212025</v>
      </c>
      <c r="G1026" s="16">
        <f>DEGREES(F1026)</f>
        <v/>
      </c>
      <c r="H1026" s="15" t="n">
        <v>11.12286012882372</v>
      </c>
      <c r="I1026" s="16">
        <f>DEGREES(H1026)</f>
        <v/>
      </c>
      <c r="J1026" s="17" t="n">
        <v>-0.8666867473571541</v>
      </c>
      <c r="K1026" s="17" t="n">
        <v>0.3182128979143584</v>
      </c>
      <c r="L1026" s="18">
        <f>$B$5*$B$3*$B$6*SIN(F1026)</f>
        <v/>
      </c>
      <c r="M1026" s="18">
        <f>$B$9*K1026*(SIN(F1026))^2 + $B$8*($B$10+K1026*COS(F1026))*COS(F1026)</f>
        <v/>
      </c>
      <c r="N1026" s="18">
        <f>0.5*$B$9*(J1026^2 + (K1026*SIN(F1026))^2) + 0.5*$B$8*($B$10 + K1026*COS(F1026))^2</f>
        <v/>
      </c>
      <c r="O1026" s="18">
        <f>$B$3*$B$6*$B$5*COS(F1026)</f>
        <v/>
      </c>
      <c r="P1026" s="18">
        <f>N1026+O1026</f>
        <v/>
      </c>
      <c r="Q1026" s="19">
        <f>ABS(P1026-$P$3)</f>
        <v/>
      </c>
    </row>
    <row r="1027">
      <c r="D1027" s="6" t="n">
        <v>1025</v>
      </c>
      <c r="E1027" s="7" t="n">
        <v>10.24731951393853</v>
      </c>
      <c r="F1027" s="8" t="n">
        <v>1.498239768780423</v>
      </c>
      <c r="G1027" s="9">
        <f>DEGREES(F1027)</f>
        <v/>
      </c>
      <c r="H1027" s="8" t="n">
        <v>11.12626555141312</v>
      </c>
      <c r="I1027" s="9">
        <f>DEGREES(H1027)</f>
        <v/>
      </c>
      <c r="J1027" s="10" t="n">
        <v>-0.9143692521016029</v>
      </c>
      <c r="K1027" s="10" t="n">
        <v>0.3627827900723664</v>
      </c>
      <c r="L1027" s="11">
        <f>$B$5*$B$3*$B$6*SIN(F1027)</f>
        <v/>
      </c>
      <c r="M1027" s="11">
        <f>$B$9*K1027*(SIN(F1027))^2 + $B$8*($B$10+K1027*COS(F1027))*COS(F1027)</f>
        <v/>
      </c>
      <c r="N1027" s="11">
        <f>0.5*$B$9*(J1027^2 + (K1027*SIN(F1027))^2) + 0.5*$B$8*($B$10 + K1027*COS(F1027))^2</f>
        <v/>
      </c>
      <c r="O1027" s="11">
        <f>$B$3*$B$6*$B$5*COS(F1027)</f>
        <v/>
      </c>
      <c r="P1027" s="11">
        <f>N1027+O1027</f>
        <v/>
      </c>
      <c r="Q1027" s="12">
        <f>ABS(P1027-$P$3)</f>
        <v/>
      </c>
    </row>
    <row r="1028">
      <c r="D1028" s="13" t="n">
        <v>1026</v>
      </c>
      <c r="E1028" s="14" t="n">
        <v>10.25732666190136</v>
      </c>
      <c r="F1028" s="15" t="n">
        <v>1.488862867628906</v>
      </c>
      <c r="G1028" s="16">
        <f>DEGREES(F1028)</f>
        <v/>
      </c>
      <c r="H1028" s="15" t="n">
        <v>11.13012869264289</v>
      </c>
      <c r="I1028" s="16">
        <f>DEGREES(H1028)</f>
        <v/>
      </c>
      <c r="J1028" s="17" t="n">
        <v>-0.9591809455336469</v>
      </c>
      <c r="K1028" s="17" t="n">
        <v>0.4096672958299522</v>
      </c>
      <c r="L1028" s="18">
        <f>$B$5*$B$3*$B$6*SIN(F1028)</f>
        <v/>
      </c>
      <c r="M1028" s="18">
        <f>$B$9*K1028*(SIN(F1028))^2 + $B$8*($B$10+K1028*COS(F1028))*COS(F1028)</f>
        <v/>
      </c>
      <c r="N1028" s="18">
        <f>0.5*$B$9*(J1028^2 + (K1028*SIN(F1028))^2) + 0.5*$B$8*($B$10 + K1028*COS(F1028))^2</f>
        <v/>
      </c>
      <c r="O1028" s="18">
        <f>$B$3*$B$6*$B$5*COS(F1028)</f>
        <v/>
      </c>
      <c r="P1028" s="18">
        <f>N1028+O1028</f>
        <v/>
      </c>
      <c r="Q1028" s="19">
        <f>ABS(P1028-$P$3)</f>
        <v/>
      </c>
    </row>
    <row r="1029">
      <c r="D1029" s="6" t="n">
        <v>1027</v>
      </c>
      <c r="E1029" s="7" t="n">
        <v>10.26733380986419</v>
      </c>
      <c r="F1029" s="8" t="n">
        <v>1.479052484067107</v>
      </c>
      <c r="G1029" s="9">
        <f>DEGREES(F1029)</f>
        <v/>
      </c>
      <c r="H1029" s="8" t="n">
        <v>11.13447198453089</v>
      </c>
      <c r="I1029" s="9">
        <f>DEGREES(H1029)</f>
        <v/>
      </c>
      <c r="J1029" s="10" t="n">
        <v>-1.000981134037292</v>
      </c>
      <c r="K1029" s="10" t="n">
        <v>0.4587192136389489</v>
      </c>
      <c r="L1029" s="11">
        <f>$B$5*$B$3*$B$6*SIN(F1029)</f>
        <v/>
      </c>
      <c r="M1029" s="11">
        <f>$B$9*K1029*(SIN(F1029))^2 + $B$8*($B$10+K1029*COS(F1029))*COS(F1029)</f>
        <v/>
      </c>
      <c r="N1029" s="11">
        <f>0.5*$B$9*(J1029^2 + (K1029*SIN(F1029))^2) + 0.5*$B$8*($B$10 + K1029*COS(F1029))^2</f>
        <v/>
      </c>
      <c r="O1029" s="11">
        <f>$B$3*$B$6*$B$5*COS(F1029)</f>
        <v/>
      </c>
      <c r="P1029" s="11">
        <f>N1029+O1029</f>
        <v/>
      </c>
      <c r="Q1029" s="12">
        <f>ABS(P1029-$P$3)</f>
        <v/>
      </c>
    </row>
    <row r="1030">
      <c r="D1030" s="13" t="n">
        <v>1028</v>
      </c>
      <c r="E1030" s="14" t="n">
        <v>10.27734095782702</v>
      </c>
      <c r="F1030" s="15" t="n">
        <v>1.468839419393341</v>
      </c>
      <c r="G1030" s="16">
        <f>DEGREES(F1030)</f>
        <v/>
      </c>
      <c r="H1030" s="15" t="n">
        <v>11.13931635158371</v>
      </c>
      <c r="I1030" s="16">
        <f>DEGREES(H1030)</f>
        <v/>
      </c>
      <c r="J1030" s="17" t="n">
        <v>-1.039638579107169</v>
      </c>
      <c r="K1030" s="17" t="n">
        <v>0.5097845370077775</v>
      </c>
      <c r="L1030" s="18">
        <f>$B$5*$B$3*$B$6*SIN(F1030)</f>
        <v/>
      </c>
      <c r="M1030" s="18">
        <f>$B$9*K1030*(SIN(F1030))^2 + $B$8*($B$10+K1030*COS(F1030))*COS(F1030)</f>
        <v/>
      </c>
      <c r="N1030" s="18">
        <f>0.5*$B$9*(J1030^2 + (K1030*SIN(F1030))^2) + 0.5*$B$8*($B$10 + K1030*COS(F1030))^2</f>
        <v/>
      </c>
      <c r="O1030" s="18">
        <f>$B$3*$B$6*$B$5*COS(F1030)</f>
        <v/>
      </c>
      <c r="P1030" s="18">
        <f>N1030+O1030</f>
        <v/>
      </c>
      <c r="Q1030" s="19">
        <f>ABS(P1030-$P$3)</f>
        <v/>
      </c>
    </row>
    <row r="1031">
      <c r="D1031" s="6" t="n">
        <v>1029</v>
      </c>
      <c r="E1031" s="7" t="n">
        <v>10.28734810578985</v>
      </c>
      <c r="F1031" s="8" t="n">
        <v>1.458255739188922</v>
      </c>
      <c r="G1031" s="9">
        <f>DEGREES(F1031)</f>
        <v/>
      </c>
      <c r="H1031" s="8" t="n">
        <v>11.14468114510079</v>
      </c>
      <c r="I1031" s="9">
        <f>DEGREES(H1031)</f>
        <v/>
      </c>
      <c r="J1031" s="10" t="n">
        <v>-1.075031909393164</v>
      </c>
      <c r="K1031" s="10" t="n">
        <v>0.5627029380298743</v>
      </c>
      <c r="L1031" s="11">
        <f>$B$5*$B$3*$B$6*SIN(F1031)</f>
        <v/>
      </c>
      <c r="M1031" s="11">
        <f>$B$9*K1031*(SIN(F1031))^2 + $B$8*($B$10+K1031*COS(F1031))*COS(F1031)</f>
        <v/>
      </c>
      <c r="N1031" s="11">
        <f>0.5*$B$9*(J1031^2 + (K1031*SIN(F1031))^2) + 0.5*$B$8*($B$10 + K1031*COS(F1031))^2</f>
        <v/>
      </c>
      <c r="O1031" s="11">
        <f>$B$3*$B$6*$B$5*COS(F1031)</f>
        <v/>
      </c>
      <c r="P1031" s="11">
        <f>N1031+O1031</f>
        <v/>
      </c>
      <c r="Q1031" s="12">
        <f>ABS(P1031-$P$3)</f>
        <v/>
      </c>
    </row>
    <row r="1032">
      <c r="D1032" s="13" t="n">
        <v>1030</v>
      </c>
      <c r="E1032" s="14" t="n">
        <v>10.29735525375268</v>
      </c>
      <c r="F1032" s="15" t="n">
        <v>1.447334672643028</v>
      </c>
      <c r="G1032" s="16">
        <f>DEGREES(F1032)</f>
        <v/>
      </c>
      <c r="H1032" s="15" t="n">
        <v>11.15058408241787</v>
      </c>
      <c r="I1032" s="16">
        <f>DEGREES(H1032)</f>
        <v/>
      </c>
      <c r="J1032" s="17" t="n">
        <v>-1.107050001765607</v>
      </c>
      <c r="K1032" s="17" t="n">
        <v>0.6173082707593428</v>
      </c>
      <c r="L1032" s="18">
        <f>$B$5*$B$3*$B$6*SIN(F1032)</f>
        <v/>
      </c>
      <c r="M1032" s="18">
        <f>$B$9*K1032*(SIN(F1032))^2 + $B$8*($B$10+K1032*COS(F1032))*COS(F1032)</f>
        <v/>
      </c>
      <c r="N1032" s="18">
        <f>0.5*$B$9*(J1032^2 + (K1032*SIN(F1032))^2) + 0.5*$B$8*($B$10 + K1032*COS(F1032))^2</f>
        <v/>
      </c>
      <c r="O1032" s="18">
        <f>$B$3*$B$6*$B$5*COS(F1032)</f>
        <v/>
      </c>
      <c r="P1032" s="18">
        <f>N1032+O1032</f>
        <v/>
      </c>
      <c r="Q1032" s="19">
        <f>ABS(P1032-$P$3)</f>
        <v/>
      </c>
    </row>
    <row r="1033">
      <c r="D1033" s="6" t="n">
        <v>1031</v>
      </c>
      <c r="E1033" s="7" t="n">
        <v>10.30736240171551</v>
      </c>
      <c r="F1033" s="8" t="n">
        <v>1.43611050822425</v>
      </c>
      <c r="G1033" s="9">
        <f>DEGREES(F1033)</f>
        <v/>
      </c>
      <c r="H1033" s="8" t="n">
        <v>11.15704119128049</v>
      </c>
      <c r="I1033" s="9">
        <f>DEGREES(H1033)</f>
        <v/>
      </c>
      <c r="J1033" s="10" t="n">
        <v>-1.135592330204441</v>
      </c>
      <c r="K1033" s="10" t="n">
        <v>0.6734290928532303</v>
      </c>
      <c r="L1033" s="11">
        <f>$B$5*$B$3*$B$6*SIN(F1033)</f>
        <v/>
      </c>
      <c r="M1033" s="11">
        <f>$B$9*K1033*(SIN(F1033))^2 + $B$8*($B$10+K1033*COS(F1033))*COS(F1033)</f>
        <v/>
      </c>
      <c r="N1033" s="11">
        <f>0.5*$B$9*(J1033^2 + (K1033*SIN(F1033))^2) + 0.5*$B$8*($B$10 + K1033*COS(F1033))^2</f>
        <v/>
      </c>
      <c r="O1033" s="11">
        <f>$B$3*$B$6*$B$5*COS(F1033)</f>
        <v/>
      </c>
      <c r="P1033" s="11">
        <f>N1033+O1033</f>
        <v/>
      </c>
      <c r="Q1033" s="12">
        <f>ABS(P1033-$P$3)</f>
        <v/>
      </c>
    </row>
    <row r="1034">
      <c r="D1034" s="13" t="n">
        <v>1032</v>
      </c>
      <c r="E1034" s="14" t="n">
        <v>10.31736954967834</v>
      </c>
      <c r="F1034" s="15" t="n">
        <v>1.42461848602636</v>
      </c>
      <c r="G1034" s="16">
        <f>DEGREES(F1034)</f>
        <v/>
      </c>
      <c r="H1034" s="15" t="n">
        <v>11.16406675952229</v>
      </c>
      <c r="I1034" s="16">
        <f>DEGREES(H1034)</f>
        <v/>
      </c>
      <c r="J1034" s="17" t="n">
        <v>-1.16056928141703</v>
      </c>
      <c r="K1034" s="17" t="n">
        <v>0.7308892038426806</v>
      </c>
      <c r="L1034" s="18">
        <f>$B$5*$B$3*$B$6*SIN(F1034)</f>
        <v/>
      </c>
      <c r="M1034" s="18">
        <f>$B$9*K1034*(SIN(F1034))^2 + $B$8*($B$10+K1034*COS(F1034))*COS(F1034)</f>
        <v/>
      </c>
      <c r="N1034" s="18">
        <f>0.5*$B$9*(J1034^2 + (K1034*SIN(F1034))^2) + 0.5*$B$8*($B$10 + K1034*COS(F1034))^2</f>
        <v/>
      </c>
      <c r="O1034" s="18">
        <f>$B$3*$B$6*$B$5*COS(F1034)</f>
        <v/>
      </c>
      <c r="P1034" s="18">
        <f>N1034+O1034</f>
        <v/>
      </c>
      <c r="Q1034" s="19">
        <f>ABS(P1034-$P$3)</f>
        <v/>
      </c>
    </row>
    <row r="1035">
      <c r="D1035" s="6" t="n">
        <v>1033</v>
      </c>
      <c r="E1035" s="7" t="n">
        <v>10.32737669764117</v>
      </c>
      <c r="F1035" s="8" t="n">
        <v>1.412894687126293</v>
      </c>
      <c r="G1035" s="9">
        <f>DEGREES(F1035)</f>
        <v/>
      </c>
      <c r="H1035" s="8" t="n">
        <v>11.17167329020604</v>
      </c>
      <c r="I1035" s="9">
        <f>DEGREES(H1035)</f>
        <v/>
      </c>
      <c r="J1035" s="10" t="n">
        <v>-1.181902436193703</v>
      </c>
      <c r="K1035" s="10" t="n">
        <v>0.789508198343019</v>
      </c>
      <c r="L1035" s="11">
        <f>$B$5*$B$3*$B$6*SIN(F1035)</f>
        <v/>
      </c>
      <c r="M1035" s="11">
        <f>$B$9*K1035*(SIN(F1035))^2 + $B$8*($B$10+K1035*COS(F1035))*COS(F1035)</f>
        <v/>
      </c>
      <c r="N1035" s="11">
        <f>0.5*$B$9*(J1035^2 + (K1035*SIN(F1035))^2) + 0.5*$B$8*($B$10 + K1035*COS(F1035))^2</f>
        <v/>
      </c>
      <c r="O1035" s="11">
        <f>$B$3*$B$6*$B$5*COS(F1035)</f>
        <v/>
      </c>
      <c r="P1035" s="11">
        <f>N1035+O1035</f>
        <v/>
      </c>
      <c r="Q1035" s="12">
        <f>ABS(P1035-$P$3)</f>
        <v/>
      </c>
    </row>
    <row r="1036">
      <c r="D1036" s="13" t="n">
        <v>1034</v>
      </c>
      <c r="E1036" s="14" t="n">
        <v>10.337383845604</v>
      </c>
      <c r="F1036" s="15" t="n">
        <v>1.40097592030171</v>
      </c>
      <c r="G1036" s="16">
        <f>DEGREES(F1036)</f>
        <v/>
      </c>
      <c r="H1036" s="15" t="n">
        <v>11.17987146236822</v>
      </c>
      <c r="I1036" s="16">
        <f>DEGREES(H1036)</f>
        <v/>
      </c>
      <c r="J1036" s="17" t="n">
        <v>-1.199524815617666</v>
      </c>
      <c r="K1036" s="17" t="n">
        <v>0.84910203246593</v>
      </c>
      <c r="L1036" s="18">
        <f>$B$5*$B$3*$B$6*SIN(F1036)</f>
        <v/>
      </c>
      <c r="M1036" s="18">
        <f>$B$9*K1036*(SIN(F1036))^2 + $B$8*($B$10+K1036*COS(F1036))*COS(F1036)</f>
        <v/>
      </c>
      <c r="N1036" s="18">
        <f>0.5*$B$9*(J1036^2 + (K1036*SIN(F1036))^2) + 0.5*$B$8*($B$10 + K1036*COS(F1036))^2</f>
        <v/>
      </c>
      <c r="O1036" s="18">
        <f>$B$3*$B$6*$B$5*COS(F1036)</f>
        <v/>
      </c>
      <c r="P1036" s="18">
        <f>N1036+O1036</f>
        <v/>
      </c>
      <c r="Q1036" s="19">
        <f>ABS(P1036-$P$3)</f>
        <v/>
      </c>
    </row>
    <row r="1037">
      <c r="D1037" s="6" t="n">
        <v>1035</v>
      </c>
      <c r="E1037" s="7" t="n">
        <v>10.34739099356683</v>
      </c>
      <c r="F1037" s="8" t="n">
        <v>1.388899606463861</v>
      </c>
      <c r="G1037" s="9">
        <f>DEGREES(F1037)</f>
        <v/>
      </c>
      <c r="H1037" s="8" t="n">
        <v>11.18867009749045</v>
      </c>
      <c r="I1037" s="9">
        <f>DEGREES(H1037)</f>
        <v/>
      </c>
      <c r="J1037" s="10" t="n">
        <v>-1.213381091356206</v>
      </c>
      <c r="K1037" s="10" t="n">
        <v>0.9094836016551789</v>
      </c>
      <c r="L1037" s="11">
        <f>$B$5*$B$3*$B$6*SIN(F1037)</f>
        <v/>
      </c>
      <c r="M1037" s="11">
        <f>$B$9*K1037*(SIN(F1037))^2 + $B$8*($B$10+K1037*COS(F1037))*COS(F1037)</f>
        <v/>
      </c>
      <c r="N1037" s="11">
        <f>0.5*$B$9*(J1037^2 + (K1037*SIN(F1037))^2) + 0.5*$B$8*($B$10 + K1037*COS(F1037))^2</f>
        <v/>
      </c>
      <c r="O1037" s="11">
        <f>$B$3*$B$6*$B$5*COS(F1037)</f>
        <v/>
      </c>
      <c r="P1037" s="11">
        <f>N1037+O1037</f>
        <v/>
      </c>
      <c r="Q1037" s="12">
        <f>ABS(P1037-$P$3)</f>
        <v/>
      </c>
    </row>
    <row r="1038">
      <c r="D1038" s="13" t="n">
        <v>1036</v>
      </c>
      <c r="E1038" s="14" t="n">
        <v>10.35739814152966</v>
      </c>
      <c r="F1038" s="15" t="n">
        <v>1.376703661168524</v>
      </c>
      <c r="G1038" s="16">
        <f>DEGREES(F1038)</f>
        <v/>
      </c>
      <c r="H1038" s="15" t="n">
        <v>11.198076131803</v>
      </c>
      <c r="I1038" s="16">
        <f>DEGREES(H1038)</f>
        <v/>
      </c>
      <c r="J1038" s="17" t="n">
        <v>-1.223427759373017</v>
      </c>
      <c r="K1038" s="17" t="n">
        <v>0.9704633281318635</v>
      </c>
      <c r="L1038" s="18">
        <f>$B$5*$B$3*$B$6*SIN(F1038)</f>
        <v/>
      </c>
      <c r="M1038" s="18">
        <f>$B$9*K1038*(SIN(F1038))^2 + $B$8*($B$10+K1038*COS(F1038))*COS(F1038)</f>
        <v/>
      </c>
      <c r="N1038" s="18">
        <f>0.5*$B$9*(J1038^2 + (K1038*SIN(F1038))^2) + 0.5*$B$8*($B$10 + K1038*COS(F1038))^2</f>
        <v/>
      </c>
      <c r="O1038" s="18">
        <f>$B$3*$B$6*$B$5*COS(F1038)</f>
        <v/>
      </c>
      <c r="P1038" s="18">
        <f>N1038+O1038</f>
        <v/>
      </c>
      <c r="Q1038" s="19">
        <f>ABS(P1038-$P$3)</f>
        <v/>
      </c>
    </row>
    <row r="1039">
      <c r="D1039" s="6" t="n">
        <v>1037</v>
      </c>
      <c r="E1039" s="7" t="n">
        <v>10.3674052894925</v>
      </c>
      <c r="F1039" s="8" t="n">
        <v>1.364426375573932</v>
      </c>
      <c r="G1039" s="9">
        <f>DEGREES(F1039)</f>
        <v/>
      </c>
      <c r="H1039" s="8" t="n">
        <v>11.2080945945074</v>
      </c>
      <c r="I1039" s="9">
        <f>DEGREES(H1039)</f>
        <v/>
      </c>
      <c r="J1039" s="10" t="n">
        <v>-1.22963327651622</v>
      </c>
      <c r="K1039" s="10" t="n">
        <v>1.031849756104822</v>
      </c>
      <c r="L1039" s="11">
        <f>$B$5*$B$3*$B$6*SIN(F1039)</f>
        <v/>
      </c>
      <c r="M1039" s="11">
        <f>$B$9*K1039*(SIN(F1039))^2 + $B$8*($B$10+K1039*COS(F1039))*COS(F1039)</f>
        <v/>
      </c>
      <c r="N1039" s="11">
        <f>0.5*$B$9*(J1039^2 + (K1039*SIN(F1039))^2) + 0.5*$B$8*($B$10 + K1039*COS(F1039))^2</f>
        <v/>
      </c>
      <c r="O1039" s="11">
        <f>$B$3*$B$6*$B$5*COS(F1039)</f>
        <v/>
      </c>
      <c r="P1039" s="11">
        <f>N1039+O1039</f>
        <v/>
      </c>
      <c r="Q1039" s="12">
        <f>ABS(P1039-$P$3)</f>
        <v/>
      </c>
    </row>
    <row r="1040">
      <c r="D1040" s="13" t="n">
        <v>1038</v>
      </c>
      <c r="E1040" s="14" t="n">
        <v>10.37741243745533</v>
      </c>
      <c r="F1040" s="15" t="n">
        <v>1.352106296219453</v>
      </c>
      <c r="G1040" s="16">
        <f>DEGREES(F1040)</f>
        <v/>
      </c>
      <c r="H1040" s="15" t="n">
        <v>11.21872859198638</v>
      </c>
      <c r="I1040" s="16">
        <f>DEGREES(H1040)</f>
        <v/>
      </c>
      <c r="J1040" s="17" t="n">
        <v>-1.231978159553223</v>
      </c>
      <c r="K1040" s="17" t="n">
        <v>1.093450152877221</v>
      </c>
      <c r="L1040" s="18">
        <f>$B$5*$B$3*$B$6*SIN(F1040)</f>
        <v/>
      </c>
      <c r="M1040" s="18">
        <f>$B$9*K1040*(SIN(F1040))^2 + $B$8*($B$10+K1040*COS(F1040))*COS(F1040)</f>
        <v/>
      </c>
      <c r="N1040" s="18">
        <f>0.5*$B$9*(J1040^2 + (K1040*SIN(F1040))^2) + 0.5*$B$8*($B$10 + K1040*COS(F1040))^2</f>
        <v/>
      </c>
      <c r="O1040" s="18">
        <f>$B$3*$B$6*$B$5*COS(F1040)</f>
        <v/>
      </c>
      <c r="P1040" s="18">
        <f>N1040+O1040</f>
        <v/>
      </c>
      <c r="Q1040" s="19">
        <f>ABS(P1040-$P$3)</f>
        <v/>
      </c>
    </row>
    <row r="1041">
      <c r="D1041" s="6" t="n">
        <v>1039</v>
      </c>
      <c r="E1041" s="7" t="n">
        <v>10.38741958541816</v>
      </c>
      <c r="F1041" s="8" t="n">
        <v>1.339782104002436</v>
      </c>
      <c r="G1041" s="9">
        <f>DEGREES(F1041)</f>
        <v/>
      </c>
      <c r="H1041" s="8" t="n">
        <v>11.22997929805093</v>
      </c>
      <c r="I1041" s="9">
        <f>DEGREES(H1041)</f>
        <v/>
      </c>
      <c r="J1041" s="10" t="n">
        <v>-1.230455046341507</v>
      </c>
      <c r="K1041" s="10" t="n">
        <v>1.155071113962302</v>
      </c>
      <c r="L1041" s="11">
        <f>$B$5*$B$3*$B$6*SIN(F1041)</f>
        <v/>
      </c>
      <c r="M1041" s="11">
        <f>$B$9*K1041*(SIN(F1041))^2 + $B$8*($B$10+K1041*COS(F1041))*COS(F1041)</f>
        <v/>
      </c>
      <c r="N1041" s="11">
        <f>0.5*$B$9*(J1041^2 + (K1041*SIN(F1041))^2) + 0.5*$B$8*($B$10 + K1041*COS(F1041))^2</f>
        <v/>
      </c>
      <c r="O1041" s="11">
        <f>$B$3*$B$6*$B$5*COS(F1041)</f>
        <v/>
      </c>
      <c r="P1041" s="11">
        <f>N1041+O1041</f>
        <v/>
      </c>
      <c r="Q1041" s="12">
        <f>ABS(P1041-$P$3)</f>
        <v/>
      </c>
    </row>
    <row r="1042">
      <c r="D1042" s="13" t="n">
        <v>1040</v>
      </c>
      <c r="E1042" s="14" t="n">
        <v>10.39742673338099</v>
      </c>
      <c r="F1042" s="15" t="n">
        <v>1.327492492733231</v>
      </c>
      <c r="G1042" s="16">
        <f>DEGREES(F1042)</f>
        <v/>
      </c>
      <c r="H1042" s="15" t="n">
        <v>11.24184595025492</v>
      </c>
      <c r="I1042" s="16">
        <f>DEGREES(H1042)</f>
        <v/>
      </c>
      <c r="J1042" s="17" t="n">
        <v>-1.225068718943271</v>
      </c>
      <c r="K1042" s="17" t="n">
        <v>1.216519170308327</v>
      </c>
      <c r="L1042" s="18">
        <f>$B$5*$B$3*$B$6*SIN(F1042)</f>
        <v/>
      </c>
      <c r="M1042" s="18">
        <f>$B$9*K1042*(SIN(F1042))^2 + $B$8*($B$10+K1042*COS(F1042))*COS(F1042)</f>
        <v/>
      </c>
      <c r="N1042" s="18">
        <f>0.5*$B$9*(J1042^2 + (K1042*SIN(F1042))^2) + 0.5*$B$8*($B$10 + K1042*COS(F1042))^2</f>
        <v/>
      </c>
      <c r="O1042" s="18">
        <f>$B$3*$B$6*$B$5*COS(F1042)</f>
        <v/>
      </c>
      <c r="P1042" s="18">
        <f>N1042+O1042</f>
        <v/>
      </c>
      <c r="Q1042" s="19">
        <f>ABS(P1042-$P$3)</f>
        <v/>
      </c>
    </row>
    <row r="1043">
      <c r="D1043" s="6" t="n">
        <v>1041</v>
      </c>
      <c r="E1043" s="7" t="n">
        <v>10.40743388134382</v>
      </c>
      <c r="F1043" s="8" t="n">
        <v>1.315276047649672</v>
      </c>
      <c r="G1043" s="9">
        <f>DEGREES(F1043)</f>
        <v/>
      </c>
      <c r="H1043" s="8" t="n">
        <v>11.25432585228889</v>
      </c>
      <c r="I1043" s="9">
        <f>DEGREES(H1043)</f>
        <v/>
      </c>
      <c r="J1043" s="10" t="n">
        <v>-1.215836088611374</v>
      </c>
      <c r="K1043" s="10" t="n">
        <v>1.277601395726124</v>
      </c>
      <c r="L1043" s="11">
        <f>$B$5*$B$3*$B$6*SIN(F1043)</f>
        <v/>
      </c>
      <c r="M1043" s="11">
        <f>$B$9*K1043*(SIN(F1043))^2 + $B$8*($B$10+K1043*COS(F1043))*COS(F1043)</f>
        <v/>
      </c>
      <c r="N1043" s="11">
        <f>0.5*$B$9*(J1043^2 + (K1043*SIN(F1043))^2) + 0.5*$B$8*($B$10 + K1043*COS(F1043))^2</f>
        <v/>
      </c>
      <c r="O1043" s="11">
        <f>$B$3*$B$6*$B$5*COS(F1043)</f>
        <v/>
      </c>
      <c r="P1043" s="11">
        <f>N1043+O1043</f>
        <v/>
      </c>
      <c r="Q1043" s="12">
        <f>ABS(P1043-$P$3)</f>
        <v/>
      </c>
    </row>
    <row r="1044">
      <c r="D1044" s="13" t="n">
        <v>1042</v>
      </c>
      <c r="E1044" s="14" t="n">
        <v>10.41744102930665</v>
      </c>
      <c r="F1044" s="15" t="n">
        <v>1.303171124272422</v>
      </c>
      <c r="G1044" s="16">
        <f>DEGREES(F1044)</f>
        <v/>
      </c>
      <c r="H1044" s="15" t="n">
        <v>11.26741438244559</v>
      </c>
      <c r="I1044" s="16">
        <f>DEGREES(H1044)</f>
        <v/>
      </c>
      <c r="J1044" s="17" t="n">
        <v>-1.202786142693696</v>
      </c>
      <c r="K1044" s="17" t="n">
        <v>1.338126012612375</v>
      </c>
      <c r="L1044" s="18">
        <f>$B$5*$B$3*$B$6*SIN(F1044)</f>
        <v/>
      </c>
      <c r="M1044" s="18">
        <f>$B$9*K1044*(SIN(F1044))^2 + $B$8*($B$10+K1044*COS(F1044))*COS(F1044)</f>
        <v/>
      </c>
      <c r="N1044" s="18">
        <f>0.5*$B$9*(J1044^2 + (K1044*SIN(F1044))^2) + 0.5*$B$8*($B$10 + K1044*COS(F1044))^2</f>
        <v/>
      </c>
      <c r="O1044" s="18">
        <f>$B$3*$B$6*$B$5*COS(F1044)</f>
        <v/>
      </c>
      <c r="P1044" s="18">
        <f>N1044+O1044</f>
        <v/>
      </c>
      <c r="Q1044" s="19">
        <f>ABS(P1044-$P$3)</f>
        <v/>
      </c>
    </row>
    <row r="1045">
      <c r="D1045" s="6" t="n">
        <v>1043</v>
      </c>
      <c r="E1045" s="7" t="n">
        <v>10.42744817726948</v>
      </c>
      <c r="F1045" s="8" t="n">
        <v>1.291215727981564</v>
      </c>
      <c r="G1045" s="9">
        <f>DEGREES(F1045)</f>
        <v/>
      </c>
      <c r="H1045" s="8" t="n">
        <v>11.28110500813058</v>
      </c>
      <c r="I1045" s="9">
        <f>DEGREES(H1045)</f>
        <v/>
      </c>
      <c r="J1045" s="10" t="n">
        <v>-1.185959853622627</v>
      </c>
      <c r="K1045" s="10" t="n">
        <v>1.397902994066662</v>
      </c>
      <c r="L1045" s="11">
        <f>$B$5*$B$3*$B$6*SIN(F1045)</f>
        <v/>
      </c>
      <c r="M1045" s="11">
        <f>$B$9*K1045*(SIN(F1045))^2 + $B$8*($B$10+K1045*COS(F1045))*COS(F1045)</f>
        <v/>
      </c>
      <c r="N1045" s="11">
        <f>0.5*$B$9*(J1045^2 + (K1045*SIN(F1045))^2) + 0.5*$B$8*($B$10 + K1045*COS(F1045))^2</f>
        <v/>
      </c>
      <c r="O1045" s="11">
        <f>$B$3*$B$6*$B$5*COS(F1045)</f>
        <v/>
      </c>
      <c r="P1045" s="11">
        <f>N1045+O1045</f>
        <v/>
      </c>
      <c r="Q1045" s="12">
        <f>ABS(P1045-$P$3)</f>
        <v/>
      </c>
    </row>
    <row r="1046">
      <c r="D1046" s="13" t="n">
        <v>1044</v>
      </c>
      <c r="E1046" s="14" t="n">
        <v>10.43745532523231</v>
      </c>
      <c r="F1046" s="15" t="n">
        <v>1.279447394692532</v>
      </c>
      <c r="G1046" s="16">
        <f>DEGREES(F1046)</f>
        <v/>
      </c>
      <c r="H1046" s="15" t="n">
        <v>11.29538930637234</v>
      </c>
      <c r="I1046" s="16">
        <f>DEGREES(H1046)</f>
        <v/>
      </c>
      <c r="J1046" s="17" t="n">
        <v>-1.165410050275456</v>
      </c>
      <c r="K1046" s="17" t="n">
        <v>1.456744660511825</v>
      </c>
      <c r="L1046" s="18">
        <f>$B$5*$B$3*$B$6*SIN(F1046)</f>
        <v/>
      </c>
      <c r="M1046" s="18">
        <f>$B$9*K1046*(SIN(F1046))^2 + $B$8*($B$10+K1046*COS(F1046))*COS(F1046)</f>
        <v/>
      </c>
      <c r="N1046" s="18">
        <f>0.5*$B$9*(J1046^2 + (K1046*SIN(F1046))^2) + 0.5*$B$8*($B$10 + K1046*COS(F1046))^2</f>
        <v/>
      </c>
      <c r="O1046" s="18">
        <f>$B$3*$B$6*$B$5*COS(F1046)</f>
        <v/>
      </c>
      <c r="P1046" s="18">
        <f>N1046+O1046</f>
        <v/>
      </c>
      <c r="Q1046" s="19">
        <f>ABS(P1046-$P$3)</f>
        <v/>
      </c>
    </row>
    <row r="1047">
      <c r="D1047" s="6" t="n">
        <v>1045</v>
      </c>
      <c r="E1047" s="7" t="n">
        <v>10.44746247319514</v>
      </c>
      <c r="F1047" s="8" t="n">
        <v>1.267903073005964</v>
      </c>
      <c r="G1047" s="9">
        <f>DEGREES(F1047)</f>
        <v/>
      </c>
      <c r="H1047" s="8" t="n">
        <v>11.31025699026761</v>
      </c>
      <c r="I1047" s="9">
        <f>DEGREES(H1047)</f>
        <v/>
      </c>
      <c r="J1047" s="10" t="n">
        <v>-1.141201252109485</v>
      </c>
      <c r="K1047" s="10" t="n">
        <v>1.514466268944662</v>
      </c>
      <c r="L1047" s="11">
        <f>$B$5*$B$3*$B$6*SIN(F1047)</f>
        <v/>
      </c>
      <c r="M1047" s="11">
        <f>$B$9*K1047*(SIN(F1047))^2 + $B$8*($B$10+K1047*COS(F1047))*COS(F1047)</f>
        <v/>
      </c>
      <c r="N1047" s="11">
        <f>0.5*$B$9*(J1047^2 + (K1047*SIN(F1047))^2) + 0.5*$B$8*($B$10 + K1047*COS(F1047))^2</f>
        <v/>
      </c>
      <c r="O1047" s="11">
        <f>$B$3*$B$6*$B$5*COS(F1047)</f>
        <v/>
      </c>
      <c r="P1047" s="11">
        <f>N1047+O1047</f>
        <v/>
      </c>
      <c r="Q1047" s="12">
        <f>ABS(P1047-$P$3)</f>
        <v/>
      </c>
    </row>
    <row r="1048">
      <c r="D1048" s="13" t="n">
        <v>1046</v>
      </c>
      <c r="E1048" s="14" t="n">
        <v>10.45746962115797</v>
      </c>
      <c r="F1048" s="15" t="n">
        <v>1.25661900820156</v>
      </c>
      <c r="G1048" s="16">
        <f>DEGREES(F1048)</f>
        <v/>
      </c>
      <c r="H1048" s="15" t="n">
        <v>11.32569594127876</v>
      </c>
      <c r="I1048" s="16">
        <f>DEGREES(H1048)</f>
        <v/>
      </c>
      <c r="J1048" s="17" t="n">
        <v>-1.113409466592667</v>
      </c>
      <c r="K1048" s="17" t="n">
        <v>1.570886592966685</v>
      </c>
      <c r="L1048" s="18">
        <f>$B$5*$B$3*$B$6*SIN(F1048)</f>
        <v/>
      </c>
      <c r="M1048" s="18">
        <f>$B$9*K1048*(SIN(F1048))^2 + $B$8*($B$10+K1048*COS(F1048))*COS(F1048)</f>
        <v/>
      </c>
      <c r="N1048" s="18">
        <f>0.5*$B$9*(J1048^2 + (K1048*SIN(F1048))^2) + 0.5*$B$8*($B$10 + K1048*COS(F1048))^2</f>
        <v/>
      </c>
      <c r="O1048" s="18">
        <f>$B$3*$B$6*$B$5*COS(F1048)</f>
        <v/>
      </c>
      <c r="P1048" s="18">
        <f>N1048+O1048</f>
        <v/>
      </c>
      <c r="Q1048" s="19">
        <f>ABS(P1048-$P$3)</f>
        <v/>
      </c>
    </row>
    <row r="1049">
      <c r="D1049" s="6" t="n">
        <v>1047</v>
      </c>
      <c r="E1049" s="7" t="n">
        <v>10.4674767691208</v>
      </c>
      <c r="F1049" s="8" t="n">
        <v>1.245630628440114</v>
      </c>
      <c r="G1049" s="9">
        <f>DEGREES(F1049)</f>
        <v/>
      </c>
      <c r="H1049" s="8" t="n">
        <v>11.34169224728196</v>
      </c>
      <c r="I1049" s="9">
        <f>DEGREES(H1049)</f>
        <v/>
      </c>
      <c r="J1049" s="10" t="n">
        <v>-1.082121950565792</v>
      </c>
      <c r="K1049" s="10" t="n">
        <v>1.625828491773914</v>
      </c>
      <c r="L1049" s="11">
        <f>$B$5*$B$3*$B$6*SIN(F1049)</f>
        <v/>
      </c>
      <c r="M1049" s="11">
        <f>$B$9*K1049*(SIN(F1049))^2 + $B$8*($B$10+K1049*COS(F1049))*COS(F1049)</f>
        <v/>
      </c>
      <c r="N1049" s="11">
        <f>0.5*$B$9*(J1049^2 + (K1049*SIN(F1049))^2) + 0.5*$B$8*($B$10 + K1049*COS(F1049))^2</f>
        <v/>
      </c>
      <c r="O1049" s="11">
        <f>$B$3*$B$6*$B$5*COS(F1049)</f>
        <v/>
      </c>
      <c r="P1049" s="11">
        <f>N1049+O1049</f>
        <v/>
      </c>
      <c r="Q1049" s="12">
        <f>ABS(P1049-$P$3)</f>
        <v/>
      </c>
    </row>
    <row r="1050">
      <c r="D1050" s="13" t="n">
        <v>1048</v>
      </c>
      <c r="E1050" s="14" t="n">
        <v>10.47748391708363</v>
      </c>
      <c r="F1050" s="15" t="n">
        <v>1.234972433531037</v>
      </c>
      <c r="G1050" s="16">
        <f>DEGREES(F1050)</f>
        <v/>
      </c>
      <c r="H1050" s="15" t="n">
        <v>11.35823024624649</v>
      </c>
      <c r="I1050" s="16">
        <f>DEGREES(H1050)</f>
        <v/>
      </c>
      <c r="J1050" s="17" t="n">
        <v>-1.047436936285415</v>
      </c>
      <c r="K1050" s="17" t="n">
        <v>1.679119466319299</v>
      </c>
      <c r="L1050" s="18">
        <f>$B$5*$B$3*$B$6*SIN(F1050)</f>
        <v/>
      </c>
      <c r="M1050" s="18">
        <f>$B$9*K1050*(SIN(F1050))^2 + $B$8*($B$10+K1050*COS(F1050))*COS(F1050)</f>
        <v/>
      </c>
      <c r="N1050" s="18">
        <f>0.5*$B$9*(J1050^2 + (K1050*SIN(F1050))^2) + 0.5*$B$8*($B$10 + K1050*COS(F1050))^2</f>
        <v/>
      </c>
      <c r="O1050" s="18">
        <f>$B$3*$B$6*$B$5*COS(F1050)</f>
        <v/>
      </c>
      <c r="P1050" s="18">
        <f>N1050+O1050</f>
        <v/>
      </c>
      <c r="Q1050" s="19">
        <f>ABS(P1050-$P$3)</f>
        <v/>
      </c>
    </row>
    <row r="1051">
      <c r="D1051" s="6" t="n">
        <v>1049</v>
      </c>
      <c r="E1051" s="7" t="n">
        <v>10.48749106504646</v>
      </c>
      <c r="F1051" s="8" t="n">
        <v>1.224677886614565</v>
      </c>
      <c r="G1051" s="9">
        <f>DEGREES(F1051)</f>
        <v/>
      </c>
      <c r="H1051" s="8" t="n">
        <v>11.37529257540831</v>
      </c>
      <c r="I1051" s="9">
        <f>DEGREES(H1051)</f>
        <v/>
      </c>
      <c r="J1051" s="10" t="n">
        <v>-1.009463323007635</v>
      </c>
      <c r="K1051" s="10" t="n">
        <v>1.730592200901658</v>
      </c>
      <c r="L1051" s="11">
        <f>$B$5*$B$3*$B$6*SIN(F1051)</f>
        <v/>
      </c>
      <c r="M1051" s="11">
        <f>$B$9*K1051*(SIN(F1051))^2 + $B$8*($B$10+K1051*COS(F1051))*COS(F1051)</f>
        <v/>
      </c>
      <c r="N1051" s="11">
        <f>0.5*$B$9*(J1051^2 + (K1051*SIN(F1051))^2) + 0.5*$B$8*($B$10 + K1051*COS(F1051))^2</f>
        <v/>
      </c>
      <c r="O1051" s="11">
        <f>$B$3*$B$6*$B$5*COS(F1051)</f>
        <v/>
      </c>
      <c r="P1051" s="11">
        <f>N1051+O1051</f>
        <v/>
      </c>
      <c r="Q1051" s="12">
        <f>ABS(P1051-$P$3)</f>
        <v/>
      </c>
    </row>
    <row r="1052">
      <c r="D1052" s="13" t="n">
        <v>1050</v>
      </c>
      <c r="E1052" s="14" t="n">
        <v>10.49749821300929</v>
      </c>
      <c r="F1052" s="15" t="n">
        <v>1.214779309098791</v>
      </c>
      <c r="G1052" s="16">
        <f>DEGREES(F1052)</f>
        <v/>
      </c>
      <c r="H1052" s="15" t="n">
        <v>11.39286022578325</v>
      </c>
      <c r="I1052" s="16">
        <f>DEGREES(H1052)</f>
        <v/>
      </c>
      <c r="J1052" s="17" t="n">
        <v>-0.9683203350811722</v>
      </c>
      <c r="K1052" s="17" t="n">
        <v>1.78008508848053</v>
      </c>
      <c r="L1052" s="18">
        <f>$B$5*$B$3*$B$6*SIN(F1052)</f>
        <v/>
      </c>
      <c r="M1052" s="18">
        <f>$B$9*K1052*(SIN(F1052))^2 + $B$8*($B$10+K1052*COS(F1052))*COS(F1052)</f>
        <v/>
      </c>
      <c r="N1052" s="18">
        <f>0.5*$B$9*(J1052^2 + (K1052*SIN(F1052))^2) + 0.5*$B$8*($B$10 + K1052*COS(F1052))^2</f>
        <v/>
      </c>
      <c r="O1052" s="18">
        <f>$B$3*$B$6*$B$5*COS(F1052)</f>
        <v/>
      </c>
      <c r="P1052" s="18">
        <f>N1052+O1052</f>
        <v/>
      </c>
      <c r="Q1052" s="19">
        <f>ABS(P1052-$P$3)</f>
        <v/>
      </c>
    </row>
    <row r="1053">
      <c r="D1053" s="6" t="n">
        <v>1051</v>
      </c>
      <c r="E1053" s="7" t="n">
        <v>10.50750536097212</v>
      </c>
      <c r="F1053" s="8" t="n">
        <v>1.205307779181331</v>
      </c>
      <c r="G1053" s="9">
        <f>DEGREES(F1053)</f>
        <v/>
      </c>
      <c r="H1053" s="8" t="n">
        <v>11.41091260184882</v>
      </c>
      <c r="I1053" s="9">
        <f>DEGREES(H1053)</f>
        <v/>
      </c>
      <c r="J1053" s="10" t="n">
        <v>-0.9241371476230892</v>
      </c>
      <c r="K1053" s="10" t="n">
        <v>1.827442738067828</v>
      </c>
      <c r="L1053" s="11">
        <f>$B$5*$B$3*$B$6*SIN(F1053)</f>
        <v/>
      </c>
      <c r="M1053" s="11">
        <f>$B$9*K1053*(SIN(F1053))^2 + $B$8*($B$10+K1053*COS(F1053))*COS(F1053)</f>
        <v/>
      </c>
      <c r="N1053" s="11">
        <f>0.5*$B$9*(J1053^2 + (K1053*SIN(F1053))^2) + 0.5*$B$8*($B$10 + K1053*COS(F1053))^2</f>
        <v/>
      </c>
      <c r="O1053" s="11">
        <f>$B$3*$B$6*$B$5*COS(F1053)</f>
        <v/>
      </c>
      <c r="P1053" s="11">
        <f>N1053+O1053</f>
        <v/>
      </c>
      <c r="Q1053" s="12">
        <f>ABS(P1053-$P$3)</f>
        <v/>
      </c>
    </row>
    <row r="1054">
      <c r="D1054" s="13" t="n">
        <v>1052</v>
      </c>
      <c r="E1054" s="14" t="n">
        <v>10.51751250893495</v>
      </c>
      <c r="F1054" s="15" t="n">
        <v>1.196293034274251</v>
      </c>
      <c r="G1054" s="16">
        <f>DEGREES(F1054)</f>
        <v/>
      </c>
      <c r="H1054" s="15" t="n">
        <v>11.42942758620721</v>
      </c>
      <c r="I1054" s="16">
        <f>DEGREES(H1054)</f>
        <v/>
      </c>
      <c r="J1054" s="17" t="n">
        <v>-0.8770524809524107</v>
      </c>
      <c r="K1054" s="17" t="n">
        <v>1.872516462603226</v>
      </c>
      <c r="L1054" s="18">
        <f>$B$5*$B$3*$B$6*SIN(F1054)</f>
        <v/>
      </c>
      <c r="M1054" s="18">
        <f>$B$9*K1054*(SIN(F1054))^2 + $B$8*($B$10+K1054*COS(F1054))*COS(F1054)</f>
        <v/>
      </c>
      <c r="N1054" s="18">
        <f>0.5*$B$9*(J1054^2 + (K1054*SIN(F1054))^2) + 0.5*$B$8*($B$10 + K1054*COS(F1054))^2</f>
        <v/>
      </c>
      <c r="O1054" s="18">
        <f>$B$3*$B$6*$B$5*COS(F1054)</f>
        <v/>
      </c>
      <c r="P1054" s="18">
        <f>N1054+O1054</f>
        <v/>
      </c>
      <c r="Q1054" s="19">
        <f>ABS(P1054-$P$3)</f>
        <v/>
      </c>
    </row>
    <row r="1055">
      <c r="D1055" s="6" t="n">
        <v>1053</v>
      </c>
      <c r="E1055" s="7" t="n">
        <v>10.52751965689778</v>
      </c>
      <c r="F1055" s="8" t="n">
        <v>1.187763377638625</v>
      </c>
      <c r="G1055" s="9">
        <f>DEGREES(F1055)</f>
        <v/>
      </c>
      <c r="H1055" s="8" t="n">
        <v>11.44838160902648</v>
      </c>
      <c r="I1055" s="9">
        <f>DEGREES(H1055)</f>
        <v/>
      </c>
      <c r="J1055" s="10" t="n">
        <v>-0.8272141650551287</v>
      </c>
      <c r="K1055" s="10" t="n">
        <v>1.915164745781357</v>
      </c>
      <c r="L1055" s="11">
        <f>$B$5*$B$3*$B$6*SIN(F1055)</f>
        <v/>
      </c>
      <c r="M1055" s="11">
        <f>$B$9*K1055*(SIN(F1055))^2 + $B$8*($B$10+K1055*COS(F1055))*COS(F1055)</f>
        <v/>
      </c>
      <c r="N1055" s="11">
        <f>0.5*$B$9*(J1055^2 + (K1055*SIN(F1055))^2) + 0.5*$B$8*($B$10 + K1055*COS(F1055))^2</f>
        <v/>
      </c>
      <c r="O1055" s="11">
        <f>$B$3*$B$6*$B$5*COS(F1055)</f>
        <v/>
      </c>
      <c r="P1055" s="11">
        <f>N1055+O1055</f>
        <v/>
      </c>
      <c r="Q1055" s="12">
        <f>ABS(P1055-$P$3)</f>
        <v/>
      </c>
    </row>
    <row r="1056">
      <c r="D1056" s="13" t="n">
        <v>1054</v>
      </c>
      <c r="E1056" s="14" t="n">
        <v>10.53752680486062</v>
      </c>
      <c r="F1056" s="15" t="n">
        <v>1.179745589521822</v>
      </c>
      <c r="G1056" s="16">
        <f>DEGREES(F1056)</f>
        <v/>
      </c>
      <c r="H1056" s="15" t="n">
        <v>11.46774972204186</v>
      </c>
      <c r="I1056" s="16">
        <f>DEGREES(H1056)</f>
        <v/>
      </c>
      <c r="J1056" s="17" t="n">
        <v>-0.774778675447812</v>
      </c>
      <c r="K1056" s="17" t="n">
        <v>1.955253686365374</v>
      </c>
      <c r="L1056" s="18">
        <f>$B$5*$B$3*$B$6*SIN(F1056)</f>
        <v/>
      </c>
      <c r="M1056" s="18">
        <f>$B$9*K1056*(SIN(F1056))^2 + $B$8*($B$10+K1056*COS(F1056))*COS(F1056)</f>
        <v/>
      </c>
      <c r="N1056" s="18">
        <f>0.5*$B$9*(J1056^2 + (K1056*SIN(F1056))^2) + 0.5*$B$8*($B$10 + K1056*COS(F1056))^2</f>
        <v/>
      </c>
      <c r="O1056" s="18">
        <f>$B$3*$B$6*$B$5*COS(F1056)</f>
        <v/>
      </c>
      <c r="P1056" s="18">
        <f>N1056+O1056</f>
        <v/>
      </c>
      <c r="Q1056" s="19">
        <f>ABS(P1056-$P$3)</f>
        <v/>
      </c>
    </row>
    <row r="1057">
      <c r="D1057" s="6" t="n">
        <v>1055</v>
      </c>
      <c r="E1057" s="7" t="n">
        <v>10.54753395282345</v>
      </c>
      <c r="F1057" s="8" t="n">
        <v>1.172264843076562</v>
      </c>
      <c r="G1057" s="9">
        <f>DEGREES(F1057)</f>
        <v/>
      </c>
      <c r="H1057" s="8" t="n">
        <v>11.48750567688493</v>
      </c>
      <c r="I1057" s="9">
        <f>DEGREES(H1057)</f>
        <v/>
      </c>
      <c r="J1057" s="10" t="n">
        <v>-0.7199106418972522</v>
      </c>
      <c r="K1057" s="10" t="n">
        <v>1.992657418591671</v>
      </c>
      <c r="L1057" s="11">
        <f>$B$5*$B$3*$B$6*SIN(F1057)</f>
        <v/>
      </c>
      <c r="M1057" s="11">
        <f>$B$9*K1057*(SIN(F1057))^2 + $B$8*($B$10+K1057*COS(F1057))*COS(F1057)</f>
        <v/>
      </c>
      <c r="N1057" s="11">
        <f>0.5*$B$9*(J1057^2 + (K1057*SIN(F1057))^2) + 0.5*$B$8*($B$10 + K1057*COS(F1057))^2</f>
        <v/>
      </c>
      <c r="O1057" s="11">
        <f>$B$3*$B$6*$B$5*COS(F1057)</f>
        <v/>
      </c>
      <c r="P1057" s="11">
        <f>N1057+O1057</f>
        <v/>
      </c>
      <c r="Q1057" s="12">
        <f>ABS(P1057-$P$3)</f>
        <v/>
      </c>
    </row>
    <row r="1058">
      <c r="D1058" s="13" t="n">
        <v>1056</v>
      </c>
      <c r="E1058" s="14" t="n">
        <v>10.55754110078628</v>
      </c>
      <c r="F1058" s="15" t="n">
        <v>1.165344625325702</v>
      </c>
      <c r="G1058" s="16">
        <f>DEGREES(F1058)</f>
        <v/>
      </c>
      <c r="H1058" s="15" t="n">
        <v>11.50762200749461</v>
      </c>
      <c r="I1058" s="16">
        <f>DEGREES(H1058)</f>
        <v/>
      </c>
      <c r="J1058" s="17" t="n">
        <v>-0.6627823315384865</v>
      </c>
      <c r="K1058" s="17" t="n">
        <v>2.027258507345971</v>
      </c>
      <c r="L1058" s="18">
        <f>$B$5*$B$3*$B$6*SIN(F1058)</f>
        <v/>
      </c>
      <c r="M1058" s="18">
        <f>$B$9*K1058*(SIN(F1058))^2 + $B$8*($B$10+K1058*COS(F1058))*COS(F1058)</f>
        <v/>
      </c>
      <c r="N1058" s="18">
        <f>0.5*$B$9*(J1058^2 + (K1058*SIN(F1058))^2) + 0.5*$B$8*($B$10 + K1058*COS(F1058))^2</f>
        <v/>
      </c>
      <c r="O1058" s="18">
        <f>$B$3*$B$6*$B$5*COS(F1058)</f>
        <v/>
      </c>
      <c r="P1058" s="18">
        <f>N1058+O1058</f>
        <v/>
      </c>
      <c r="Q1058" s="19">
        <f>ABS(P1058-$P$3)</f>
        <v/>
      </c>
    </row>
    <row r="1059">
      <c r="D1059" s="6" t="n">
        <v>1057</v>
      </c>
      <c r="E1059" s="7" t="n">
        <v>10.56754824874911</v>
      </c>
      <c r="F1059" s="8" t="n">
        <v>1.159006663420888</v>
      </c>
      <c r="G1059" s="9">
        <f>DEGREES(F1059)</f>
        <v/>
      </c>
      <c r="H1059" s="8" t="n">
        <v>11.52807011635138</v>
      </c>
      <c r="I1059" s="9">
        <f>DEGREES(H1059)</f>
        <v/>
      </c>
      <c r="J1059" s="10" t="n">
        <v>-0.6035731080139818</v>
      </c>
      <c r="K1059" s="10" t="n">
        <v>2.058948316870043</v>
      </c>
      <c r="L1059" s="11">
        <f>$B$5*$B$3*$B$6*SIN(F1059)</f>
        <v/>
      </c>
      <c r="M1059" s="11">
        <f>$B$9*K1059*(SIN(F1059))^2 + $B$8*($B$10+K1059*COS(F1059))*COS(F1059)</f>
        <v/>
      </c>
      <c r="N1059" s="11">
        <f>0.5*$B$9*(J1059^2 + (K1059*SIN(F1059))^2) + 0.5*$B$8*($B$10 + K1059*COS(F1059))^2</f>
        <v/>
      </c>
      <c r="O1059" s="11">
        <f>$B$3*$B$6*$B$5*COS(F1059)</f>
        <v/>
      </c>
      <c r="P1059" s="11">
        <f>N1059+O1059</f>
        <v/>
      </c>
      <c r="Q1059" s="12">
        <f>ABS(P1059-$P$3)</f>
        <v/>
      </c>
    </row>
    <row r="1060">
      <c r="D1060" s="13" t="n">
        <v>1058</v>
      </c>
      <c r="E1060" s="14" t="n">
        <v>10.57755539671194</v>
      </c>
      <c r="F1060" s="15" t="n">
        <v>1.15327085642663</v>
      </c>
      <c r="G1060" s="16">
        <f>DEGREES(F1060)</f>
        <v/>
      </c>
      <c r="H1060" s="15" t="n">
        <v>11.54882036426382</v>
      </c>
      <c r="I1060" s="16">
        <f>DEGREES(H1060)</f>
        <v/>
      </c>
      <c r="J1060" s="17" t="n">
        <v>-0.5424688683323053</v>
      </c>
      <c r="K1060" s="17" t="n">
        <v>2.087627351841333</v>
      </c>
      <c r="L1060" s="18">
        <f>$B$5*$B$3*$B$6*SIN(F1060)</f>
        <v/>
      </c>
      <c r="M1060" s="18">
        <f>$B$9*K1060*(SIN(F1060))^2 + $B$8*($B$10+K1060*COS(F1060))*COS(F1060)</f>
        <v/>
      </c>
      <c r="N1060" s="18">
        <f>0.5*$B$9*(J1060^2 + (K1060*SIN(F1060))^2) + 0.5*$B$8*($B$10 + K1060*COS(F1060))^2</f>
        <v/>
      </c>
      <c r="O1060" s="18">
        <f>$B$3*$B$6*$B$5*COS(F1060)</f>
        <v/>
      </c>
      <c r="P1060" s="18">
        <f>N1060+O1060</f>
        <v/>
      </c>
      <c r="Q1060" s="19">
        <f>ABS(P1060-$P$3)</f>
        <v/>
      </c>
    </row>
    <row r="1061">
      <c r="D1061" s="6" t="n">
        <v>1059</v>
      </c>
      <c r="E1061" s="7" t="n">
        <v>10.58756254467477</v>
      </c>
      <c r="F1061" s="8" t="n">
        <v>1.148155212843946</v>
      </c>
      <c r="G1061" s="9">
        <f>DEGREES(F1061)</f>
        <v/>
      </c>
      <c r="H1061" s="8" t="n">
        <v>11.5698421634257</v>
      </c>
      <c r="I1061" s="9">
        <f>DEGREES(H1061)</f>
        <v/>
      </c>
      <c r="J1061" s="10" t="n">
        <v>-0.4796614592141691</v>
      </c>
      <c r="K1061" s="10" t="n">
        <v>2.113205569754755</v>
      </c>
      <c r="L1061" s="11">
        <f>$B$5*$B$3*$B$6*SIN(F1061)</f>
        <v/>
      </c>
      <c r="M1061" s="11">
        <f>$B$9*K1061*(SIN(F1061))^2 + $B$8*($B$10+K1061*COS(F1061))*COS(F1061)</f>
        <v/>
      </c>
      <c r="N1061" s="11">
        <f>0.5*$B$9*(J1061^2 + (K1061*SIN(F1061))^2) + 0.5*$B$8*($B$10 + K1061*COS(F1061))^2</f>
        <v/>
      </c>
      <c r="O1061" s="11">
        <f>$B$3*$B$6*$B$5*COS(F1061)</f>
        <v/>
      </c>
      <c r="P1061" s="11">
        <f>N1061+O1061</f>
        <v/>
      </c>
      <c r="Q1061" s="12">
        <f>ABS(P1061-$P$3)</f>
        <v/>
      </c>
    </row>
    <row r="1062">
      <c r="D1062" s="13" t="n">
        <v>1060</v>
      </c>
      <c r="E1062" s="14" t="n">
        <v>10.5975696926376</v>
      </c>
      <c r="F1062" s="15" t="n">
        <v>1.143675794069729</v>
      </c>
      <c r="G1062" s="16">
        <f>DEGREES(F1062)</f>
        <v/>
      </c>
      <c r="H1062" s="15" t="n">
        <v>11.59110407345137</v>
      </c>
      <c r="I1062" s="16">
        <f>DEGREES(H1062)</f>
        <v/>
      </c>
      <c r="J1062" s="17" t="n">
        <v>-0.4153480747583058</v>
      </c>
      <c r="K1062" s="17" t="n">
        <v>2.135602663625841</v>
      </c>
      <c r="L1062" s="18">
        <f>$B$5*$B$3*$B$6*SIN(F1062)</f>
        <v/>
      </c>
      <c r="M1062" s="18">
        <f>$B$9*K1062*(SIN(F1062))^2 + $B$8*($B$10+K1062*COS(F1062))*COS(F1062)</f>
        <v/>
      </c>
      <c r="N1062" s="18">
        <f>0.5*$B$9*(J1062^2 + (K1062*SIN(F1062))^2) + 0.5*$B$8*($B$10 + K1062*COS(F1062))^2</f>
        <v/>
      </c>
      <c r="O1062" s="18">
        <f>$B$3*$B$6*$B$5*COS(F1062)</f>
        <v/>
      </c>
      <c r="P1062" s="18">
        <f>N1062+O1062</f>
        <v/>
      </c>
      <c r="Q1062" s="19">
        <f>ABS(P1062-$P$3)</f>
        <v/>
      </c>
    </row>
    <row r="1063">
      <c r="D1063" s="6" t="n">
        <v>1061</v>
      </c>
      <c r="E1063" s="7" t="n">
        <v>10.60757684060043</v>
      </c>
      <c r="F1063" s="8" t="n">
        <v>1.139846663969382</v>
      </c>
      <c r="G1063" s="9">
        <f>DEGREES(F1063)</f>
        <v/>
      </c>
      <c r="H1063" s="8" t="n">
        <v>11.61257390008801</v>
      </c>
      <c r="I1063" s="9">
        <f>DEGREES(H1063)</f>
        <v/>
      </c>
      <c r="J1063" s="10" t="n">
        <v>-0.3497306373185319</v>
      </c>
      <c r="K1063" s="10" t="n">
        <v>2.154748314127572</v>
      </c>
      <c r="L1063" s="11">
        <f>$B$5*$B$3*$B$6*SIN(F1063)</f>
        <v/>
      </c>
      <c r="M1063" s="11">
        <f>$B$9*K1063*(SIN(F1063))^2 + $B$8*($B$10+K1063*COS(F1063))*COS(F1063)</f>
        <v/>
      </c>
      <c r="N1063" s="11">
        <f>0.5*$B$9*(J1063^2 + (K1063*SIN(F1063))^2) + 0.5*$B$8*($B$10 + K1063*COS(F1063))^2</f>
        <v/>
      </c>
      <c r="O1063" s="11">
        <f>$B$3*$B$6*$B$5*COS(F1063)</f>
        <v/>
      </c>
      <c r="P1063" s="11">
        <f>N1063+O1063</f>
        <v/>
      </c>
      <c r="Q1063" s="12">
        <f>ABS(P1063-$P$3)</f>
        <v/>
      </c>
    </row>
    <row r="1064">
      <c r="D1064" s="13" t="n">
        <v>1062</v>
      </c>
      <c r="E1064" s="14" t="n">
        <v>10.61758398856326</v>
      </c>
      <c r="F1064" s="15" t="n">
        <v>1.136679844721019</v>
      </c>
      <c r="G1064" s="16">
        <f>DEGREES(F1064)</f>
        <v/>
      </c>
      <c r="H1064" s="15" t="n">
        <v>11.63421879629465</v>
      </c>
      <c r="I1064" s="16">
        <f>DEGREES(H1064)</f>
        <v/>
      </c>
      <c r="J1064" s="17" t="n">
        <v>-0.2830151635355727</v>
      </c>
      <c r="K1064" s="17" t="n">
        <v>2.170582410369387</v>
      </c>
      <c r="L1064" s="18">
        <f>$B$5*$B$3*$B$6*SIN(F1064)</f>
        <v/>
      </c>
      <c r="M1064" s="18">
        <f>$B$9*K1064*(SIN(F1064))^2 + $B$8*($B$10+K1064*COS(F1064))*COS(F1064)</f>
        <v/>
      </c>
      <c r="N1064" s="18">
        <f>0.5*$B$9*(J1064^2 + (K1064*SIN(F1064))^2) + 0.5*$B$8*($B$10 + K1064*COS(F1064))^2</f>
        <v/>
      </c>
      <c r="O1064" s="18">
        <f>$B$3*$B$6*$B$5*COS(F1064)</f>
        <v/>
      </c>
      <c r="P1064" s="18">
        <f>N1064+O1064</f>
        <v/>
      </c>
      <c r="Q1064" s="19">
        <f>ABS(P1064-$P$3)</f>
        <v/>
      </c>
    </row>
    <row r="1065">
      <c r="D1065" s="6" t="n">
        <v>1063</v>
      </c>
      <c r="E1065" s="7" t="n">
        <v>10.62759113652609</v>
      </c>
      <c r="F1065" s="8" t="n">
        <v>1.134185279069871</v>
      </c>
      <c r="G1065" s="9">
        <f>DEGREES(F1065)</f>
        <v/>
      </c>
      <c r="H1065" s="8" t="n">
        <v>11.65600536537095</v>
      </c>
      <c r="I1065" s="9">
        <f>DEGREES(H1065)</f>
        <v/>
      </c>
      <c r="J1065" s="10" t="n">
        <v>-0.2154111175142028</v>
      </c>
      <c r="K1065" s="10" t="n">
        <v>2.183055238625127</v>
      </c>
      <c r="L1065" s="11">
        <f>$B$5*$B$3*$B$6*SIN(F1065)</f>
        <v/>
      </c>
      <c r="M1065" s="11">
        <f>$B$9*K1065*(SIN(F1065))^2 + $B$8*($B$10+K1065*COS(F1065))*COS(F1065)</f>
        <v/>
      </c>
      <c r="N1065" s="11">
        <f>0.5*$B$9*(J1065^2 + (K1065*SIN(F1065))^2) + 0.5*$B$8*($B$10 + K1065*COS(F1065))^2</f>
        <v/>
      </c>
      <c r="O1065" s="11">
        <f>$B$3*$B$6*$B$5*COS(F1065)</f>
        <v/>
      </c>
      <c r="P1065" s="11">
        <f>N1065+O1065</f>
        <v/>
      </c>
      <c r="Q1065" s="12">
        <f>ABS(P1065-$P$3)</f>
        <v/>
      </c>
    </row>
    <row r="1066">
      <c r="D1066" s="13" t="n">
        <v>1064</v>
      </c>
      <c r="E1066" s="14" t="n">
        <v>10.63759828448892</v>
      </c>
      <c r="F1066" s="15" t="n">
        <v>1.132370799111424</v>
      </c>
      <c r="G1066" s="16">
        <f>DEGREES(F1066)</f>
        <v/>
      </c>
      <c r="H1066" s="15" t="n">
        <v>11.67789976581144</v>
      </c>
      <c r="I1066" s="16">
        <f>DEGREES(H1066)</f>
        <v/>
      </c>
      <c r="J1066" s="17" t="n">
        <v>-0.1471307531766307</v>
      </c>
      <c r="K1066" s="17" t="n">
        <v>2.192127638417364</v>
      </c>
      <c r="L1066" s="18">
        <f>$B$5*$B$3*$B$6*SIN(F1066)</f>
        <v/>
      </c>
      <c r="M1066" s="18">
        <f>$B$9*K1066*(SIN(F1066))^2 + $B$8*($B$10+K1066*COS(F1066))*COS(F1066)</f>
        <v/>
      </c>
      <c r="N1066" s="18">
        <f>0.5*$B$9*(J1066^2 + (K1066*SIN(F1066))^2) + 0.5*$B$8*($B$10 + K1066*COS(F1066))^2</f>
        <v/>
      </c>
      <c r="O1066" s="18">
        <f>$B$3*$B$6*$B$5*COS(F1066)</f>
        <v/>
      </c>
      <c r="P1066" s="18">
        <f>N1066+O1066</f>
        <v/>
      </c>
      <c r="Q1066" s="19">
        <f>ABS(P1066-$P$3)</f>
        <v/>
      </c>
    </row>
    <row r="1067">
      <c r="D1067" s="6" t="n">
        <v>1065</v>
      </c>
      <c r="E1067" s="7" t="n">
        <v>10.64760543245175</v>
      </c>
      <c r="F1067" s="8" t="n">
        <v>1.131242101701273</v>
      </c>
      <c r="G1067" s="9">
        <f>DEGREES(F1067)</f>
        <v/>
      </c>
      <c r="H1067" s="8" t="n">
        <v>11.69986781755652</v>
      </c>
      <c r="I1067" s="9">
        <f>DEGREES(H1067)</f>
        <v/>
      </c>
      <c r="J1067" s="10" t="n">
        <v>-0.07838844785663558</v>
      </c>
      <c r="K1067" s="10" t="n">
        <v>2.197771125468116</v>
      </c>
      <c r="L1067" s="11">
        <f>$B$5*$B$3*$B$6*SIN(F1067)</f>
        <v/>
      </c>
      <c r="M1067" s="11">
        <f>$B$9*K1067*(SIN(F1067))^2 + $B$8*($B$10+K1067*COS(F1067))*COS(F1067)</f>
        <v/>
      </c>
      <c r="N1067" s="11">
        <f>0.5*$B$9*(J1067^2 + (K1067*SIN(F1067))^2) + 0.5*$B$8*($B$10 + K1067*COS(F1067))^2</f>
        <v/>
      </c>
      <c r="O1067" s="11">
        <f>$B$3*$B$6*$B$5*COS(F1067)</f>
        <v/>
      </c>
      <c r="P1067" s="11">
        <f>N1067+O1067</f>
        <v/>
      </c>
      <c r="Q1067" s="12">
        <f>ABS(P1067-$P$3)</f>
        <v/>
      </c>
    </row>
    <row r="1068">
      <c r="D1068" s="13" t="n">
        <v>1066</v>
      </c>
      <c r="E1068" s="14" t="n">
        <v>10.65761258041458</v>
      </c>
      <c r="F1068" s="15" t="n">
        <v>1.13080273056892</v>
      </c>
      <c r="G1068" s="16">
        <f>DEGREES(F1068)</f>
        <v/>
      </c>
      <c r="H1068" s="15" t="n">
        <v>11.72187510930633</v>
      </c>
      <c r="I1068" s="16">
        <f>DEGREES(H1068)</f>
        <v/>
      </c>
      <c r="J1068" s="17" t="n">
        <v>-0.009400029226982501</v>
      </c>
      <c r="K1068" s="17" t="n">
        <v>2.199967981129881</v>
      </c>
      <c r="L1068" s="18">
        <f>$B$5*$B$3*$B$6*SIN(F1068)</f>
        <v/>
      </c>
      <c r="M1068" s="18">
        <f>$B$9*K1068*(SIN(F1068))^2 + $B$8*($B$10+K1068*COS(F1068))*COS(F1068)</f>
        <v/>
      </c>
      <c r="N1068" s="18">
        <f>0.5*$B$9*(J1068^2 + (K1068*SIN(F1068))^2) + 0.5*$B$8*($B$10 + K1068*COS(F1068))^2</f>
        <v/>
      </c>
      <c r="O1068" s="18">
        <f>$B$3*$B$6*$B$5*COS(F1068)</f>
        <v/>
      </c>
      <c r="P1068" s="18">
        <f>N1068+O1068</f>
        <v/>
      </c>
      <c r="Q1068" s="19">
        <f>ABS(P1068-$P$3)</f>
        <v/>
      </c>
    </row>
    <row r="1069">
      <c r="D1069" s="6" t="n">
        <v>1067</v>
      </c>
      <c r="E1069" s="7" t="n">
        <v>10.66761972837741</v>
      </c>
      <c r="F1069" s="8" t="n">
        <v>1.131054065191654</v>
      </c>
      <c r="G1069" s="9">
        <f>DEGREES(F1069)</f>
        <v/>
      </c>
      <c r="H1069" s="8" t="n">
        <v>11.7438871065606</v>
      </c>
      <c r="I1069" s="9">
        <f>DEGREES(H1069)</f>
        <v/>
      </c>
      <c r="J1069" s="10" t="n">
        <v>0.05961790232665799</v>
      </c>
      <c r="K1069" s="10" t="n">
        <v>2.198711308016214</v>
      </c>
      <c r="L1069" s="11">
        <f>$B$5*$B$3*$B$6*SIN(F1069)</f>
        <v/>
      </c>
      <c r="M1069" s="11">
        <f>$B$9*K1069*(SIN(F1069))^2 + $B$8*($B$10+K1069*COS(F1069))*COS(F1069)</f>
        <v/>
      </c>
      <c r="N1069" s="11">
        <f>0.5*$B$9*(J1069^2 + (K1069*SIN(F1069))^2) + 0.5*$B$8*($B$10 + K1069*COS(F1069))^2</f>
        <v/>
      </c>
      <c r="O1069" s="11">
        <f>$B$3*$B$6*$B$5*COS(F1069)</f>
        <v/>
      </c>
      <c r="P1069" s="11">
        <f>N1069+O1069</f>
        <v/>
      </c>
      <c r="Q1069" s="12">
        <f>ABS(P1069-$P$3)</f>
        <v/>
      </c>
    </row>
    <row r="1070">
      <c r="D1070" s="13" t="n">
        <v>1068</v>
      </c>
      <c r="E1070" s="14" t="n">
        <v>10.67762687634024</v>
      </c>
      <c r="F1070" s="15" t="n">
        <v>1.131995316463458</v>
      </c>
      <c r="G1070" s="16">
        <f>DEGREES(F1070)</f>
        <v/>
      </c>
      <c r="H1070" s="15" t="n">
        <v>11.76586926004538</v>
      </c>
      <c r="I1070" s="16">
        <f>DEGREES(H1070)</f>
        <v/>
      </c>
      <c r="J1070" s="17" t="n">
        <v>0.128448653758006</v>
      </c>
      <c r="K1070" s="17" t="n">
        <v>2.194005051657196</v>
      </c>
      <c r="L1070" s="18">
        <f>$B$5*$B$3*$B$6*SIN(F1070)</f>
        <v/>
      </c>
      <c r="M1070" s="18">
        <f>$B$9*K1070*(SIN(F1070))^2 + $B$8*($B$10+K1070*COS(F1070))*COS(F1070)</f>
        <v/>
      </c>
      <c r="N1070" s="18">
        <f>0.5*$B$9*(J1070^2 + (K1070*SIN(F1070))^2) + 0.5*$B$8*($B$10 + K1070*COS(F1070))^2</f>
        <v/>
      </c>
      <c r="O1070" s="18">
        <f>$B$3*$B$6*$B$5*COS(F1070)</f>
        <v/>
      </c>
      <c r="P1070" s="18">
        <f>N1070+O1070</f>
        <v/>
      </c>
      <c r="Q1070" s="19">
        <f>ABS(P1070-$P$3)</f>
        <v/>
      </c>
    </row>
    <row r="1071">
      <c r="D1071" s="6" t="n">
        <v>1069</v>
      </c>
      <c r="E1071" s="7" t="n">
        <v>10.68763402430307</v>
      </c>
      <c r="F1071" s="8" t="n">
        <v>1.133623529172536</v>
      </c>
      <c r="G1071" s="9">
        <f>DEGREES(F1071)</f>
        <v/>
      </c>
      <c r="H1071" s="8" t="n">
        <v>11.78778711418608</v>
      </c>
      <c r="I1071" s="9">
        <f>DEGREES(H1071)</f>
        <v/>
      </c>
      <c r="J1071" s="10" t="n">
        <v>0.1968761197033042</v>
      </c>
      <c r="K1071" s="10" t="n">
        <v>2.185863988111803</v>
      </c>
      <c r="L1071" s="11">
        <f>$B$5*$B$3*$B$6*SIN(F1071)</f>
        <v/>
      </c>
      <c r="M1071" s="11">
        <f>$B$9*K1071*(SIN(F1071))^2 + $B$8*($B$10+K1071*COS(F1071))*COS(F1071)</f>
        <v/>
      </c>
      <c r="N1071" s="11">
        <f>0.5*$B$9*(J1071^2 + (K1071*SIN(F1071))^2) + 0.5*$B$8*($B$10 + K1071*COS(F1071))^2</f>
        <v/>
      </c>
      <c r="O1071" s="11">
        <f>$B$3*$B$6*$B$5*COS(F1071)</f>
        <v/>
      </c>
      <c r="P1071" s="11">
        <f>N1071+O1071</f>
        <v/>
      </c>
      <c r="Q1071" s="12">
        <f>ABS(P1071-$P$3)</f>
        <v/>
      </c>
    </row>
    <row r="1072">
      <c r="D1072" s="13" t="n">
        <v>1070</v>
      </c>
      <c r="E1072" s="14" t="n">
        <v>10.69764117226591</v>
      </c>
      <c r="F1072" s="15" t="n">
        <v>1.135933591279685</v>
      </c>
      <c r="G1072" s="16">
        <f>DEGREES(F1072)</f>
        <v/>
      </c>
      <c r="H1072" s="15" t="n">
        <v>11.80960641528639</v>
      </c>
      <c r="I1072" s="16">
        <f>DEGREES(H1072)</f>
        <v/>
      </c>
      <c r="J1072" s="17" t="n">
        <v>0.2646854609792978</v>
      </c>
      <c r="K1072" s="17" t="n">
        <v>2.174313677576056</v>
      </c>
      <c r="L1072" s="18">
        <f>$B$5*$B$3*$B$6*SIN(F1072)</f>
        <v/>
      </c>
      <c r="M1072" s="18">
        <f>$B$9*K1072*(SIN(F1072))^2 + $B$8*($B$10+K1072*COS(F1072))*COS(F1072)</f>
        <v/>
      </c>
      <c r="N1072" s="18">
        <f>0.5*$B$9*(J1072^2 + (K1072*SIN(F1072))^2) + 0.5*$B$8*($B$10 + K1072*COS(F1072))^2</f>
        <v/>
      </c>
      <c r="O1072" s="18">
        <f>$B$3*$B$6*$B$5*COS(F1072)</f>
        <v/>
      </c>
      <c r="P1072" s="18">
        <f>N1072+O1072</f>
        <v/>
      </c>
      <c r="Q1072" s="19">
        <f>ABS(P1072-$P$3)</f>
        <v/>
      </c>
    </row>
    <row r="1073">
      <c r="D1073" s="6" t="n">
        <v>1071</v>
      </c>
      <c r="E1073" s="7" t="n">
        <v>10.70764832022873</v>
      </c>
      <c r="F1073" s="8" t="n">
        <v>1.138918249968371</v>
      </c>
      <c r="G1073" s="9">
        <f>DEGREES(F1073)</f>
        <v/>
      </c>
      <c r="H1073" s="8" t="n">
        <v>11.83129321907333</v>
      </c>
      <c r="I1073" s="9">
        <f>DEGREES(H1073)</f>
        <v/>
      </c>
      <c r="J1073" s="10" t="n">
        <v>0.3316637791058624</v>
      </c>
      <c r="K1073" s="10" t="n">
        <v>2.15939038413263</v>
      </c>
      <c r="L1073" s="11">
        <f>$B$5*$B$3*$B$6*SIN(F1073)</f>
        <v/>
      </c>
      <c r="M1073" s="11">
        <f>$B$9*K1073*(SIN(F1073))^2 + $B$8*($B$10+K1073*COS(F1073))*COS(F1073)</f>
        <v/>
      </c>
      <c r="N1073" s="11">
        <f>0.5*$B$9*(J1073^2 + (K1073*SIN(F1073))^2) + 0.5*$B$8*($B$10 + K1073*COS(F1073))^2</f>
        <v/>
      </c>
      <c r="O1073" s="11">
        <f>$B$3*$B$6*$B$5*COS(F1073)</f>
        <v/>
      </c>
      <c r="P1073" s="11">
        <f>N1073+O1073</f>
        <v/>
      </c>
      <c r="Q1073" s="12">
        <f>ABS(P1073-$P$3)</f>
        <v/>
      </c>
    </row>
    <row r="1074">
      <c r="D1074" s="13" t="n">
        <v>1072</v>
      </c>
      <c r="E1074" s="14" t="n">
        <v>10.71765546819157</v>
      </c>
      <c r="F1074" s="15" t="n">
        <v>1.14256813441613</v>
      </c>
      <c r="G1074" s="16">
        <f>DEGREES(F1074)</f>
        <v/>
      </c>
      <c r="H1074" s="15" t="n">
        <v>11.85281399727086</v>
      </c>
      <c r="I1074" s="16">
        <f>DEGREES(H1074)</f>
        <v/>
      </c>
      <c r="J1074" s="17" t="n">
        <v>0.3976007847355623</v>
      </c>
      <c r="K1074" s="17" t="n">
        <v>2.141140961893833</v>
      </c>
      <c r="L1074" s="18">
        <f>$B$5*$B$3*$B$6*SIN(F1074)</f>
        <v/>
      </c>
      <c r="M1074" s="18">
        <f>$B$9*K1074*(SIN(F1074))^2 + $B$8*($B$10+K1074*COS(F1074))*COS(F1074)</f>
        <v/>
      </c>
      <c r="N1074" s="18">
        <f>0.5*$B$9*(J1074^2 + (K1074*SIN(F1074))^2) + 0.5*$B$8*($B$10 + K1074*COS(F1074))^2</f>
        <v/>
      </c>
      <c r="O1074" s="18">
        <f>$B$3*$B$6*$B$5*COS(F1074)</f>
        <v/>
      </c>
      <c r="P1074" s="18">
        <f>N1074+O1074</f>
        <v/>
      </c>
      <c r="Q1074" s="19">
        <f>ABS(P1074-$P$3)</f>
        <v/>
      </c>
    </row>
    <row r="1075">
      <c r="D1075" s="6" t="n">
        <v>1073</v>
      </c>
      <c r="E1075" s="7" t="n">
        <v>10.7276626161544</v>
      </c>
      <c r="F1075" s="8" t="n">
        <v>1.146871785215796</v>
      </c>
      <c r="G1075" s="9">
        <f>DEGREES(F1075)</f>
        <v/>
      </c>
      <c r="H1075" s="8" t="n">
        <v>11.8741357428673</v>
      </c>
      <c r="I1075" s="9">
        <f>DEGREES(H1075)</f>
        <v/>
      </c>
      <c r="J1075" s="10" t="n">
        <v>0.4622894578912573</v>
      </c>
      <c r="K1075" s="10" t="n">
        <v>2.119622707895505</v>
      </c>
      <c r="L1075" s="11">
        <f>$B$5*$B$3*$B$6*SIN(F1075)</f>
        <v/>
      </c>
      <c r="M1075" s="11">
        <f>$B$9*K1075*(SIN(F1075))^2 + $B$8*($B$10+K1075*COS(F1075))*COS(F1075)</f>
        <v/>
      </c>
      <c r="N1075" s="11">
        <f>0.5*$B$9*(J1075^2 + (K1075*SIN(F1075))^2) + 0.5*$B$8*($B$10 + K1075*COS(F1075))^2</f>
        <v/>
      </c>
      <c r="O1075" s="11">
        <f>$B$3*$B$6*$B$5*COS(F1075)</f>
        <v/>
      </c>
      <c r="P1075" s="11">
        <f>N1075+O1075</f>
        <v/>
      </c>
      <c r="Q1075" s="12">
        <f>ABS(P1075-$P$3)</f>
        <v/>
      </c>
    </row>
    <row r="1076">
      <c r="D1076" s="13" t="n">
        <v>1074</v>
      </c>
      <c r="E1076" s="14" t="n">
        <v>10.73766976411723</v>
      </c>
      <c r="F1076" s="15" t="n">
        <v>1.15181569035417</v>
      </c>
      <c r="G1076" s="16">
        <f>DEGREES(F1076)</f>
        <v/>
      </c>
      <c r="H1076" s="15" t="n">
        <v>11.89522607374628</v>
      </c>
      <c r="I1076" s="16">
        <f>DEGREES(H1076)</f>
        <v/>
      </c>
      <c r="J1076" s="17" t="n">
        <v>0.5255266979390679</v>
      </c>
      <c r="K1076" s="17" t="n">
        <v>2.094903182203632</v>
      </c>
      <c r="L1076" s="18">
        <f>$B$5*$B$3*$B$6*SIN(F1076)</f>
        <v/>
      </c>
      <c r="M1076" s="18">
        <f>$B$9*K1076*(SIN(F1076))^2 + $B$8*($B$10+K1076*COS(F1076))*COS(F1076)</f>
        <v/>
      </c>
      <c r="N1076" s="18">
        <f>0.5*$B$9*(J1076^2 + (K1076*SIN(F1076))^2) + 0.5*$B$8*($B$10 + K1076*COS(F1076))^2</f>
        <v/>
      </c>
      <c r="O1076" s="18">
        <f>$B$3*$B$6*$B$5*COS(F1076)</f>
        <v/>
      </c>
      <c r="P1076" s="18">
        <f>N1076+O1076</f>
        <v/>
      </c>
      <c r="Q1076" s="19">
        <f>ABS(P1076-$P$3)</f>
        <v/>
      </c>
    </row>
    <row r="1077">
      <c r="D1077" s="6" t="n">
        <v>1075</v>
      </c>
      <c r="E1077" s="7" t="n">
        <v>10.74767691208006</v>
      </c>
      <c r="F1077" s="8" t="n">
        <v>1.157384327635199</v>
      </c>
      <c r="G1077" s="9">
        <f>DEGREES(F1077)</f>
        <v/>
      </c>
      <c r="H1077" s="8" t="n">
        <v>11.91605333435566</v>
      </c>
      <c r="I1077" s="9">
        <f>DEGREES(H1077)</f>
        <v/>
      </c>
      <c r="J1077" s="10" t="n">
        <v>0.5871139612559944</v>
      </c>
      <c r="K1077" s="10" t="n">
        <v>2.067059995798486</v>
      </c>
      <c r="L1077" s="11">
        <f>$B$5*$B$3*$B$6*SIN(F1077)</f>
        <v/>
      </c>
      <c r="M1077" s="11">
        <f>$B$9*K1077*(SIN(F1077))^2 + $B$8*($B$10+K1077*COS(F1077))*COS(F1077)</f>
        <v/>
      </c>
      <c r="N1077" s="11">
        <f>0.5*$B$9*(J1077^2 + (K1077*SIN(F1077))^2) + 0.5*$B$8*($B$10 + K1077*COS(F1077))^2</f>
        <v/>
      </c>
      <c r="O1077" s="11">
        <f>$B$3*$B$6*$B$5*COS(F1077)</f>
        <v/>
      </c>
      <c r="P1077" s="11">
        <f>N1077+O1077</f>
        <v/>
      </c>
      <c r="Q1077" s="12">
        <f>ABS(P1077-$P$3)</f>
        <v/>
      </c>
    </row>
    <row r="1078">
      <c r="D1078" s="13" t="n">
        <v>1076</v>
      </c>
      <c r="E1078" s="14" t="n">
        <v>10.75768406004289</v>
      </c>
      <c r="F1078" s="15" t="n">
        <v>1.163560213414431</v>
      </c>
      <c r="G1078" s="16">
        <f>DEGREES(F1078)</f>
        <v/>
      </c>
      <c r="H1078" s="15" t="n">
        <v>11.93658669509531</v>
      </c>
      <c r="I1078" s="16">
        <f>DEGREES(H1078)</f>
        <v/>
      </c>
      <c r="J1078" s="17" t="n">
        <v>0.646857884589903</v>
      </c>
      <c r="K1078" s="17" t="n">
        <v>2.036180566902328</v>
      </c>
      <c r="L1078" s="18">
        <f>$B$5*$B$3*$B$6*SIN(F1078)</f>
        <v/>
      </c>
      <c r="M1078" s="18">
        <f>$B$9*K1078*(SIN(F1078))^2 + $B$8*($B$10+K1078*COS(F1078))*COS(F1078)</f>
        <v/>
      </c>
      <c r="N1078" s="18">
        <f>0.5*$B$9*(J1078^2 + (K1078*SIN(F1078))^2) + 0.5*$B$8*($B$10 + K1078*COS(F1078))^2</f>
        <v/>
      </c>
      <c r="O1078" s="18">
        <f>$B$3*$B$6*$B$5*COS(F1078)</f>
        <v/>
      </c>
      <c r="P1078" s="18">
        <f>N1078+O1078</f>
        <v/>
      </c>
      <c r="Q1078" s="19">
        <f>ABS(P1078-$P$3)</f>
        <v/>
      </c>
    </row>
    <row r="1079">
      <c r="D1079" s="6" t="n">
        <v>1077</v>
      </c>
      <c r="E1079" s="7" t="n">
        <v>10.76769120800572</v>
      </c>
      <c r="F1079" s="8" t="n">
        <v>1.170323957491769</v>
      </c>
      <c r="G1079" s="9">
        <f>DEGREES(F1079)</f>
        <v/>
      </c>
      <c r="H1079" s="8" t="n">
        <v>11.95679624911162</v>
      </c>
      <c r="I1079" s="9">
        <f>DEGREES(H1079)</f>
        <v/>
      </c>
      <c r="J1079" s="10" t="n">
        <v>0.7045708921550088</v>
      </c>
      <c r="K1079" s="10" t="n">
        <v>2.002361846515637</v>
      </c>
      <c r="L1079" s="11">
        <f>$B$5*$B$3*$B$6*SIN(F1079)</f>
        <v/>
      </c>
      <c r="M1079" s="11">
        <f>$B$9*K1079*(SIN(F1079))^2 + $B$8*($B$10+K1079*COS(F1079))*COS(F1079)</f>
        <v/>
      </c>
      <c r="N1079" s="11">
        <f>0.5*$B$9*(J1079^2 + (K1079*SIN(F1079))^2) + 0.5*$B$8*($B$10 + K1079*COS(F1079))^2</f>
        <v/>
      </c>
      <c r="O1079" s="11">
        <f>$B$3*$B$6*$B$5*COS(F1079)</f>
        <v/>
      </c>
      <c r="P1079" s="11">
        <f>N1079+O1079</f>
        <v/>
      </c>
      <c r="Q1079" s="12">
        <f>ABS(P1079-$P$3)</f>
        <v/>
      </c>
    </row>
    <row r="1080">
      <c r="D1080" s="13" t="n">
        <v>1078</v>
      </c>
      <c r="E1080" s="14" t="n">
        <v>10.77769835596855</v>
      </c>
      <c r="F1080" s="15" t="n">
        <v>1.177654323990172</v>
      </c>
      <c r="G1080" s="16">
        <f>DEGREES(F1080)</f>
        <v/>
      </c>
      <c r="H1080" s="15" t="n">
        <v>11.97665310619498</v>
      </c>
      <c r="I1080" s="16">
        <f>DEGREES(H1080)</f>
        <v/>
      </c>
      <c r="J1080" s="17" t="n">
        <v>0.760071784556658</v>
      </c>
      <c r="K1080" s="17" t="n">
        <v>1.965710014023625</v>
      </c>
      <c r="L1080" s="18">
        <f>$B$5*$B$3*$B$6*SIN(F1080)</f>
        <v/>
      </c>
      <c r="M1080" s="18">
        <f>$B$9*K1080*(SIN(F1080))^2 + $B$8*($B$10+K1080*COS(F1080))*COS(F1080)</f>
        <v/>
      </c>
      <c r="N1080" s="18">
        <f>0.5*$B$9*(J1080^2 + (K1080*SIN(F1080))^2) + 0.5*$B$8*($B$10 + K1080*COS(F1080))^2</f>
        <v/>
      </c>
      <c r="O1080" s="18">
        <f>$B$3*$B$6*$B$5*COS(F1080)</f>
        <v/>
      </c>
      <c r="P1080" s="18">
        <f>N1080+O1080</f>
        <v/>
      </c>
      <c r="Q1080" s="19">
        <f>ABS(P1080-$P$3)</f>
        <v/>
      </c>
    </row>
    <row r="1081">
      <c r="D1081" s="6" t="n">
        <v>1079</v>
      </c>
      <c r="E1081" s="7" t="n">
        <v>10.78770550393138</v>
      </c>
      <c r="F1081" s="8" t="n">
        <v>1.185528298029138</v>
      </c>
      <c r="G1081" s="9">
        <f>DEGREES(F1081)</f>
        <v/>
      </c>
      <c r="H1081" s="8" t="n">
        <v>11.99612948348528</v>
      </c>
      <c r="I1081" s="9">
        <f>DEGREES(H1081)</f>
        <v/>
      </c>
      <c r="J1081" s="10" t="n">
        <v>0.8131863076962923</v>
      </c>
      <c r="K1081" s="10" t="n">
        <v>1.926340143828793</v>
      </c>
      <c r="L1081" s="11">
        <f>$B$5*$B$3*$B$6*SIN(F1081)</f>
        <v/>
      </c>
      <c r="M1081" s="11">
        <f>$B$9*K1081*(SIN(F1081))^2 + $B$8*($B$10+K1081*COS(F1081))*COS(F1081)</f>
        <v/>
      </c>
      <c r="N1081" s="11">
        <f>0.5*$B$9*(J1081^2 + (K1081*SIN(F1081))^2) + 0.5*$B$8*($B$10 + K1081*COS(F1081))^2</f>
        <v/>
      </c>
      <c r="O1081" s="11">
        <f>$B$3*$B$6*$B$5*COS(F1081)</f>
        <v/>
      </c>
      <c r="P1081" s="11">
        <f>N1081+O1081</f>
        <v/>
      </c>
      <c r="Q1081" s="12">
        <f>ABS(P1081-$P$3)</f>
        <v/>
      </c>
    </row>
    <row r="1082">
      <c r="D1082" s="13" t="n">
        <v>1080</v>
      </c>
      <c r="E1082" s="14" t="n">
        <v>10.79771265189421</v>
      </c>
      <c r="F1082" s="15" t="n">
        <v>1.193921157983687</v>
      </c>
      <c r="G1082" s="16">
        <f>DEGREES(F1082)</f>
        <v/>
      </c>
      <c r="H1082" s="15" t="n">
        <v>12.01519879270077</v>
      </c>
      <c r="I1082" s="16">
        <f>DEGREES(H1082)</f>
        <v/>
      </c>
      <c r="J1082" s="17" t="n">
        <v>0.8637476998706601</v>
      </c>
      <c r="K1082" s="17" t="n">
        <v>1.884375844056047</v>
      </c>
      <c r="L1082" s="18">
        <f>$B$5*$B$3*$B$6*SIN(F1082)</f>
        <v/>
      </c>
      <c r="M1082" s="18">
        <f>$B$9*K1082*(SIN(F1082))^2 + $B$8*($B$10+K1082*COS(F1082))*COS(F1082)</f>
        <v/>
      </c>
      <c r="N1082" s="18">
        <f>0.5*$B$9*(J1082^2 + (K1082*SIN(F1082))^2) + 0.5*$B$8*($B$10 + K1082*COS(F1082))^2</f>
        <v/>
      </c>
      <c r="O1082" s="18">
        <f>$B$3*$B$6*$B$5*COS(F1082)</f>
        <v/>
      </c>
      <c r="P1082" s="18">
        <f>N1082+O1082</f>
        <v/>
      </c>
      <c r="Q1082" s="19">
        <f>ABS(P1082-$P$3)</f>
        <v/>
      </c>
    </row>
    <row r="1083">
      <c r="D1083" s="6" t="n">
        <v>1081</v>
      </c>
      <c r="E1083" s="7" t="n">
        <v>10.80771979985704</v>
      </c>
      <c r="F1083" s="8" t="n">
        <v>1.20280655310193</v>
      </c>
      <c r="G1083" s="9">
        <f>DEGREES(F1083)</f>
        <v/>
      </c>
      <c r="H1083" s="8" t="n">
        <v>12.03383572361624</v>
      </c>
      <c r="I1083" s="9">
        <f>DEGREES(H1083)</f>
        <v/>
      </c>
      <c r="J1083" s="10" t="n">
        <v>0.9115972153473632</v>
      </c>
      <c r="K1083" s="10" t="n">
        <v>1.839948868464835</v>
      </c>
      <c r="L1083" s="11">
        <f>$B$5*$B$3*$B$6*SIN(F1083)</f>
        <v/>
      </c>
      <c r="M1083" s="11">
        <f>$B$9*K1083*(SIN(F1083))^2 + $B$8*($B$10+K1083*COS(F1083))*COS(F1083)</f>
        <v/>
      </c>
      <c r="N1083" s="11">
        <f>0.5*$B$9*(J1083^2 + (K1083*SIN(F1083))^2) + 0.5*$B$8*($B$10 + K1083*COS(F1083))^2</f>
        <v/>
      </c>
      <c r="O1083" s="11">
        <f>$B$3*$B$6*$B$5*COS(F1083)</f>
        <v/>
      </c>
      <c r="P1083" s="11">
        <f>N1083+O1083</f>
        <v/>
      </c>
      <c r="Q1083" s="12">
        <f>ABS(P1083-$P$3)</f>
        <v/>
      </c>
    </row>
    <row r="1084">
      <c r="D1084" s="13" t="n">
        <v>1082</v>
      </c>
      <c r="E1084" s="14" t="n">
        <v>10.81772694781987</v>
      </c>
      <c r="F1084" s="15" t="n">
        <v>1.212156586237537</v>
      </c>
      <c r="G1084" s="16">
        <f>DEGREES(F1084)</f>
        <v/>
      </c>
      <c r="H1084" s="15" t="n">
        <v>12.05201632352866</v>
      </c>
      <c r="I1084" s="16">
        <f>DEGREES(H1084)</f>
        <v/>
      </c>
      <c r="J1084" s="17" t="n">
        <v>0.9565846227729028</v>
      </c>
      <c r="K1084" s="17" t="n">
        <v>1.793198702786798</v>
      </c>
      <c r="L1084" s="18">
        <f>$B$5*$B$3*$B$6*SIN(F1084)</f>
        <v/>
      </c>
      <c r="M1084" s="18">
        <f>$B$9*K1084*(SIN(F1084))^2 + $B$8*($B$10+K1084*COS(F1084))*COS(F1084)</f>
        <v/>
      </c>
      <c r="N1084" s="18">
        <f>0.5*$B$9*(J1084^2 + (K1084*SIN(F1084))^2) + 0.5*$B$8*($B$10 + K1084*COS(F1084))^2</f>
        <v/>
      </c>
      <c r="O1084" s="18">
        <f>$B$3*$B$6*$B$5*COS(F1084)</f>
        <v/>
      </c>
      <c r="P1084" s="18">
        <f>N1084+O1084</f>
        <v/>
      </c>
      <c r="Q1084" s="19">
        <f>ABS(P1084-$P$3)</f>
        <v/>
      </c>
    </row>
    <row r="1085">
      <c r="D1085" s="6" t="n">
        <v>1083</v>
      </c>
      <c r="E1085" s="7" t="n">
        <v>10.8277340957827</v>
      </c>
      <c r="F1085" s="8" t="n">
        <v>1.221941901437392</v>
      </c>
      <c r="G1085" s="9">
        <f>DEGREES(F1085)</f>
        <v/>
      </c>
      <c r="H1085" s="8" t="n">
        <v>12.06971807246055</v>
      </c>
      <c r="I1085" s="9">
        <f>DEGREES(H1085)</f>
        <v/>
      </c>
      <c r="J1085" s="10" t="n">
        <v>0.9985686768485612</v>
      </c>
      <c r="K1085" s="10" t="n">
        <v>1.744272126787525</v>
      </c>
      <c r="L1085" s="11">
        <f>$B$5*$B$3*$B$6*SIN(F1085)</f>
        <v/>
      </c>
      <c r="M1085" s="11">
        <f>$B$9*K1085*(SIN(F1085))^2 + $B$8*($B$10+K1085*COS(F1085))*COS(F1085)</f>
        <v/>
      </c>
      <c r="N1085" s="11">
        <f>0.5*$B$9*(J1085^2 + (K1085*SIN(F1085))^2) + 0.5*$B$8*($B$10 + K1085*COS(F1085))^2</f>
        <v/>
      </c>
      <c r="O1085" s="11">
        <f>$B$3*$B$6*$B$5*COS(F1085)</f>
        <v/>
      </c>
      <c r="P1085" s="11">
        <f>N1085+O1085</f>
        <v/>
      </c>
      <c r="Q1085" s="12">
        <f>ABS(P1085-$P$3)</f>
        <v/>
      </c>
    </row>
    <row r="1086">
      <c r="D1086" s="13" t="n">
        <v>1084</v>
      </c>
      <c r="E1086" s="14" t="n">
        <v>10.83774124374553</v>
      </c>
      <c r="F1086" s="15" t="n">
        <v>1.232131776109385</v>
      </c>
      <c r="G1086" s="16">
        <f>DEGREES(F1086)</f>
        <v/>
      </c>
      <c r="H1086" s="15" t="n">
        <v>12.08691995386515</v>
      </c>
      <c r="I1086" s="16">
        <f>DEGREES(H1086)</f>
        <v/>
      </c>
      <c r="J1086" s="17" t="n">
        <v>1.037417561793029</v>
      </c>
      <c r="K1086" s="17" t="n">
        <v>1.693322753427558</v>
      </c>
      <c r="L1086" s="18">
        <f>$B$5*$B$3*$B$6*SIN(F1086)</f>
        <v/>
      </c>
      <c r="M1086" s="18">
        <f>$B$9*K1086*(SIN(F1086))^2 + $B$8*($B$10+K1086*COS(F1086))*COS(F1086)</f>
        <v/>
      </c>
      <c r="N1086" s="18">
        <f>0.5*$B$9*(J1086^2 + (K1086*SIN(F1086))^2) + 0.5*$B$8*($B$10 + K1086*COS(F1086))^2</f>
        <v/>
      </c>
      <c r="O1086" s="18">
        <f>$B$3*$B$6*$B$5*COS(F1086)</f>
        <v/>
      </c>
      <c r="P1086" s="18">
        <f>N1086+O1086</f>
        <v/>
      </c>
      <c r="Q1086" s="19">
        <f>ABS(P1086-$P$3)</f>
        <v/>
      </c>
    </row>
    <row r="1087">
      <c r="D1087" s="6" t="n">
        <v>1085</v>
      </c>
      <c r="E1087" s="7" t="n">
        <v>10.84774839170836</v>
      </c>
      <c r="F1087" s="8" t="n">
        <v>1.242694217480999</v>
      </c>
      <c r="G1087" s="9">
        <f>DEGREES(F1087)</f>
        <v/>
      </c>
      <c r="H1087" s="8" t="n">
        <v>12.10360252061127</v>
      </c>
      <c r="I1087" s="9">
        <f>DEGREES(H1087)</f>
        <v/>
      </c>
      <c r="J1087" s="10" t="n">
        <v>1.073009305199515</v>
      </c>
      <c r="K1087" s="10" t="n">
        <v>1.64051054656949</v>
      </c>
      <c r="L1087" s="11">
        <f>$B$5*$B$3*$B$6*SIN(F1087)</f>
        <v/>
      </c>
      <c r="M1087" s="11">
        <f>$B$9*K1087*(SIN(F1087))^2 + $B$8*($B$10+K1087*COS(F1087))*COS(F1087)</f>
        <v/>
      </c>
      <c r="N1087" s="11">
        <f>0.5*$B$9*(J1087^2 + (K1087*SIN(F1087))^2) + 0.5*$B$8*($B$10 + K1087*COS(F1087))^2</f>
        <v/>
      </c>
      <c r="O1087" s="11">
        <f>$B$3*$B$6*$B$5*COS(F1087)</f>
        <v/>
      </c>
      <c r="P1087" s="11">
        <f>N1087+O1087</f>
        <v/>
      </c>
      <c r="Q1087" s="12">
        <f>ABS(P1087-$P$3)</f>
        <v/>
      </c>
    </row>
    <row r="1088">
      <c r="D1088" s="13" t="n">
        <v>1086</v>
      </c>
      <c r="E1088" s="14" t="n">
        <v>10.85775553967119</v>
      </c>
      <c r="F1088" s="15" t="n">
        <v>1.253596063045827</v>
      </c>
      <c r="G1088" s="16">
        <f>DEGREES(F1088)</f>
        <v/>
      </c>
      <c r="H1088" s="15" t="n">
        <v>12.11974795604074</v>
      </c>
      <c r="I1088" s="16">
        <f>DEGREES(H1088)</f>
        <v/>
      </c>
      <c r="J1088" s="17" t="n">
        <v>1.105232160988004</v>
      </c>
      <c r="K1088" s="17" t="n">
        <v>1.586001318745347</v>
      </c>
      <c r="L1088" s="18">
        <f>$B$5*$B$3*$B$6*SIN(F1088)</f>
        <v/>
      </c>
      <c r="M1088" s="18">
        <f>$B$9*K1088*(SIN(F1088))^2 + $B$8*($B$10+K1088*COS(F1088))*COS(F1088)</f>
        <v/>
      </c>
      <c r="N1088" s="18">
        <f>0.5*$B$9*(J1088^2 + (K1088*SIN(F1088))^2) + 0.5*$B$8*($B$10 + K1088*COS(F1088))^2</f>
        <v/>
      </c>
      <c r="O1088" s="18">
        <f>$B$3*$B$6*$B$5*COS(F1088)</f>
        <v/>
      </c>
      <c r="P1088" s="18">
        <f>N1088+O1088</f>
        <v/>
      </c>
      <c r="Q1088" s="19">
        <f>ABS(P1088-$P$3)</f>
        <v/>
      </c>
    </row>
    <row r="1089">
      <c r="D1089" s="6" t="n">
        <v>1087</v>
      </c>
      <c r="E1089" s="7" t="n">
        <v>10.86776268763403</v>
      </c>
      <c r="F1089" s="8" t="n">
        <v>1.264803084682685</v>
      </c>
      <c r="G1089" s="9">
        <f>DEGREES(F1089)</f>
        <v/>
      </c>
      <c r="H1089" s="8" t="n">
        <v>12.13534012990673</v>
      </c>
      <c r="I1089" s="9">
        <f>DEGREES(H1089)</f>
        <v/>
      </c>
      <c r="J1089" s="10" t="n">
        <v>1.133984960250318</v>
      </c>
      <c r="K1089" s="10" t="n">
        <v>1.52996621056106</v>
      </c>
      <c r="L1089" s="11">
        <f>$B$5*$B$3*$B$6*SIN(F1089)</f>
        <v/>
      </c>
      <c r="M1089" s="11">
        <f>$B$9*K1089*(SIN(F1089))^2 + $B$8*($B$10+K1089*COS(F1089))*COS(F1089)</f>
        <v/>
      </c>
      <c r="N1089" s="11">
        <f>0.5*$B$9*(J1089^2 + (K1089*SIN(F1089))^2) + 0.5*$B$8*($B$10 + K1089*COS(F1089))^2</f>
        <v/>
      </c>
      <c r="O1089" s="11">
        <f>$B$3*$B$6*$B$5*COS(F1089)</f>
        <v/>
      </c>
      <c r="P1089" s="11">
        <f>N1089+O1089</f>
        <v/>
      </c>
      <c r="Q1089" s="12">
        <f>ABS(P1089-$P$3)</f>
        <v/>
      </c>
    </row>
    <row r="1090">
      <c r="D1090" s="13" t="n">
        <v>1088</v>
      </c>
      <c r="E1090" s="14" t="n">
        <v>10.87776983559686</v>
      </c>
      <c r="F1090" s="15" t="n">
        <v>1.276280096120358</v>
      </c>
      <c r="G1090" s="16">
        <f>DEGREES(F1090)</f>
        <v/>
      </c>
      <c r="H1090" s="15" t="n">
        <v>12.15036464901725</v>
      </c>
      <c r="I1090" s="16">
        <f>DEGREES(H1090)</f>
        <v/>
      </c>
      <c r="J1090" s="17" t="n">
        <v>1.159177428886367</v>
      </c>
      <c r="K1090" s="17" t="n">
        <v>1.472581153372694</v>
      </c>
      <c r="L1090" s="18">
        <f>$B$5*$B$3*$B$6*SIN(F1090)</f>
        <v/>
      </c>
      <c r="M1090" s="18">
        <f>$B$9*K1090*(SIN(F1090))^2 + $B$8*($B$10+K1090*COS(F1090))*COS(F1090)</f>
        <v/>
      </c>
      <c r="N1090" s="18">
        <f>0.5*$B$9*(J1090^2 + (K1090*SIN(F1090))^2) + 0.5*$B$8*($B$10 + K1090*COS(F1090))^2</f>
        <v/>
      </c>
      <c r="O1090" s="18">
        <f>$B$3*$B$6*$B$5*COS(F1090)</f>
        <v/>
      </c>
      <c r="P1090" s="18">
        <f>N1090+O1090</f>
        <v/>
      </c>
      <c r="Q1090" s="19">
        <f>ABS(P1090-$P$3)</f>
        <v/>
      </c>
    </row>
    <row r="1091">
      <c r="D1091" s="6" t="n">
        <v>1089</v>
      </c>
      <c r="E1091" s="7" t="n">
        <v>10.88777698355969</v>
      </c>
      <c r="F1091" s="8" t="n">
        <v>1.28799106341064</v>
      </c>
      <c r="G1091" s="9">
        <f>DEGREES(F1091)</f>
        <v/>
      </c>
      <c r="H1091" s="8" t="n">
        <v>12.16480890242497</v>
      </c>
      <c r="I1091" s="9">
        <f>DEGREES(H1091)</f>
        <v/>
      </c>
      <c r="J1091" s="10" t="n">
        <v>1.180730471034394</v>
      </c>
      <c r="K1091" s="10" t="n">
        <v>1.414026316921283</v>
      </c>
      <c r="L1091" s="11">
        <f>$B$5*$B$3*$B$6*SIN(F1091)</f>
        <v/>
      </c>
      <c r="M1091" s="11">
        <f>$B$9*K1091*(SIN(F1091))^2 + $B$8*($B$10+K1091*COS(F1091))*COS(F1091)</f>
        <v/>
      </c>
      <c r="N1091" s="11">
        <f>0.5*$B$9*(J1091^2 + (K1091*SIN(F1091))^2) + 0.5*$B$8*($B$10 + K1091*COS(F1091))^2</f>
        <v/>
      </c>
      <c r="O1091" s="11">
        <f>$B$3*$B$6*$B$5*COS(F1091)</f>
        <v/>
      </c>
      <c r="P1091" s="11">
        <f>N1091+O1091</f>
        <v/>
      </c>
      <c r="Q1091" s="12">
        <f>ABS(P1091-$P$3)</f>
        <v/>
      </c>
    </row>
    <row r="1092">
      <c r="D1092" s="13" t="n">
        <v>1090</v>
      </c>
      <c r="E1092" s="14" t="n">
        <v>10.89778413152252</v>
      </c>
      <c r="F1092" s="15" t="n">
        <v>1.299899218062799</v>
      </c>
      <c r="G1092" s="16">
        <f>DEGREES(F1092)</f>
        <v/>
      </c>
      <c r="H1092" s="15" t="n">
        <v>12.17866210102129</v>
      </c>
      <c r="I1092" s="16">
        <f>DEGREES(H1092)</f>
        <v/>
      </c>
      <c r="J1092" s="17" t="n">
        <v>1.198576417405365</v>
      </c>
      <c r="K1092" s="17" t="n">
        <v>1.354485543660488</v>
      </c>
      <c r="L1092" s="18">
        <f>$B$5*$B$3*$B$6*SIN(F1092)</f>
        <v/>
      </c>
      <c r="M1092" s="18">
        <f>$B$9*K1092*(SIN(F1092))^2 + $B$8*($B$10+K1092*COS(F1092))*COS(F1092)</f>
        <v/>
      </c>
      <c r="N1092" s="18">
        <f>0.5*$B$9*(J1092^2 + (K1092*SIN(F1092))^2) + 0.5*$B$8*($B$10 + K1092*COS(F1092))^2</f>
        <v/>
      </c>
      <c r="O1092" s="18">
        <f>$B$3*$B$6*$B$5*COS(F1092)</f>
        <v/>
      </c>
      <c r="P1092" s="18">
        <f>N1092+O1092</f>
        <v/>
      </c>
      <c r="Q1092" s="19">
        <f>ABS(P1092-$P$3)</f>
        <v/>
      </c>
    </row>
    <row r="1093">
      <c r="D1093" s="6" t="n">
        <v>1091</v>
      </c>
      <c r="E1093" s="7" t="n">
        <v>10.90779127948535</v>
      </c>
      <c r="F1093" s="8" t="n">
        <v>1.311967172484231</v>
      </c>
      <c r="G1093" s="9">
        <f>DEGREES(F1093)</f>
        <v/>
      </c>
      <c r="H1093" s="8" t="n">
        <v>12.19191531141056</v>
      </c>
      <c r="I1093" s="9">
        <f>DEGREES(H1093)</f>
        <v/>
      </c>
      <c r="J1093" s="10" t="n">
        <v>1.212659237741692</v>
      </c>
      <c r="K1093" s="10" t="n">
        <v>1.294145771553327</v>
      </c>
      <c r="L1093" s="11">
        <f>$B$5*$B$3*$B$6*SIN(F1093)</f>
        <v/>
      </c>
      <c r="M1093" s="11">
        <f>$B$9*K1093*(SIN(F1093))^2 + $B$8*($B$10+K1093*COS(F1093))*COS(F1093)</f>
        <v/>
      </c>
      <c r="N1093" s="11">
        <f>0.5*$B$9*(J1093^2 + (K1093*SIN(F1093))^2) + 0.5*$B$8*($B$10 + K1093*COS(F1093))^2</f>
        <v/>
      </c>
      <c r="O1093" s="11">
        <f>$B$3*$B$6*$B$5*COS(F1093)</f>
        <v/>
      </c>
      <c r="P1093" s="11">
        <f>N1093+O1093</f>
        <v/>
      </c>
      <c r="Q1093" s="12">
        <f>ABS(P1093-$P$3)</f>
        <v/>
      </c>
    </row>
    <row r="1094">
      <c r="D1094" s="13" t="n">
        <v>1092</v>
      </c>
      <c r="E1094" s="14" t="n">
        <v>10.91779842744818</v>
      </c>
      <c r="F1094" s="15" t="n">
        <v>1.32415703736491</v>
      </c>
      <c r="G1094" s="16">
        <f>DEGREES(F1094)</f>
        <v/>
      </c>
      <c r="H1094" s="15" t="n">
        <v>12.20456148395788</v>
      </c>
      <c r="I1094" s="16">
        <f>DEGREES(H1094)</f>
        <v/>
      </c>
      <c r="J1094" s="17" t="n">
        <v>1.222934716733378</v>
      </c>
      <c r="K1094" s="17" t="n">
        <v>1.233196447149933</v>
      </c>
      <c r="L1094" s="18">
        <f>$B$5*$B$3*$B$6*SIN(F1094)</f>
        <v/>
      </c>
      <c r="M1094" s="18">
        <f>$B$9*K1094*(SIN(F1094))^2 + $B$8*($B$10+K1094*COS(F1094))*COS(F1094)</f>
        <v/>
      </c>
      <c r="N1094" s="18">
        <f>0.5*$B$9*(J1094^2 + (K1094*SIN(F1094))^2) + 0.5*$B$8*($B$10 + K1094*COS(F1094))^2</f>
        <v/>
      </c>
      <c r="O1094" s="18">
        <f>$B$3*$B$6*$B$5*COS(F1094)</f>
        <v/>
      </c>
      <c r="P1094" s="18">
        <f>N1094+O1094</f>
        <v/>
      </c>
      <c r="Q1094" s="19">
        <f>ABS(P1094-$P$3)</f>
        <v/>
      </c>
    </row>
    <row r="1095">
      <c r="D1095" s="6" t="n">
        <v>1093</v>
      </c>
      <c r="E1095" s="7" t="n">
        <v>10.92780557541101</v>
      </c>
      <c r="F1095" s="8" t="n">
        <v>1.336430540637056</v>
      </c>
      <c r="G1095" s="9">
        <f>DEGREES(F1095)</f>
        <v/>
      </c>
      <c r="H1095" s="8" t="n">
        <v>12.21659547492265</v>
      </c>
      <c r="I1095" s="9">
        <f>DEGREES(H1095)</f>
        <v/>
      </c>
      <c r="J1095" s="10" t="n">
        <v>1.229370592839192</v>
      </c>
      <c r="K1095" s="10" t="n">
        <v>1.171828930789204</v>
      </c>
      <c r="L1095" s="11">
        <f>$B$5*$B$3*$B$6*SIN(F1095)</f>
        <v/>
      </c>
      <c r="M1095" s="11">
        <f>$B$9*K1095*(SIN(F1095))^2 + $B$8*($B$10+K1095*COS(F1095))*COS(F1095)</f>
        <v/>
      </c>
      <c r="N1095" s="11">
        <f>0.5*$B$9*(J1095^2 + (K1095*SIN(F1095))^2) + 0.5*$B$8*($B$10 + K1095*COS(F1095))^2</f>
        <v/>
      </c>
      <c r="O1095" s="11">
        <f>$B$3*$B$6*$B$5*COS(F1095)</f>
        <v/>
      </c>
      <c r="P1095" s="11">
        <f>N1095+O1095</f>
        <v/>
      </c>
      <c r="Q1095" s="12">
        <f>ABS(P1095-$P$3)</f>
        <v/>
      </c>
    </row>
    <row r="1096">
      <c r="D1096" s="13" t="n">
        <v>1094</v>
      </c>
      <c r="E1096" s="14" t="n">
        <v>10.93781272337384</v>
      </c>
      <c r="F1096" s="15" t="n">
        <v>1.348749147636517</v>
      </c>
      <c r="G1096" s="16">
        <f>DEGREES(F1096)</f>
        <v/>
      </c>
      <c r="H1096" s="15" t="n">
        <v>12.22801406260807</v>
      </c>
      <c r="I1096" s="16">
        <f>DEGREES(H1096)</f>
        <v/>
      </c>
      <c r="J1096" s="17" t="n">
        <v>1.231946659577027</v>
      </c>
      <c r="K1096" s="17" t="n">
        <v>1.1102358957919</v>
      </c>
      <c r="L1096" s="18">
        <f>$B$5*$B$3*$B$6*SIN(F1096)</f>
        <v/>
      </c>
      <c r="M1096" s="18">
        <f>$B$9*K1096*(SIN(F1096))^2 + $B$8*($B$10+K1096*COS(F1096))*COS(F1096)</f>
        <v/>
      </c>
      <c r="N1096" s="18">
        <f>0.5*$B$9*(J1096^2 + (K1096*SIN(F1096))^2) + 0.5*$B$8*($B$10 + K1096*COS(F1096))^2</f>
        <v/>
      </c>
      <c r="O1096" s="18">
        <f>$B$3*$B$6*$B$5*COS(F1096)</f>
        <v/>
      </c>
      <c r="P1096" s="18">
        <f>N1096+O1096</f>
        <v/>
      </c>
      <c r="Q1096" s="19">
        <f>ABS(P1096-$P$3)</f>
        <v/>
      </c>
    </row>
    <row r="1097">
      <c r="D1097" s="6" t="n">
        <v>1095</v>
      </c>
      <c r="E1097" s="7" t="n">
        <v>10.94781987133667</v>
      </c>
      <c r="F1097" s="8" t="n">
        <v>1.361074182088641</v>
      </c>
      <c r="G1097" s="9">
        <f>DEGREES(F1097)</f>
        <v/>
      </c>
      <c r="H1097" s="8" t="n">
        <v>12.23881595747631</v>
      </c>
      <c r="I1097" s="9">
        <f>DEGREES(H1097)</f>
        <v/>
      </c>
      <c r="J1097" s="10" t="n">
        <v>1.230654828965453</v>
      </c>
      <c r="K1097" s="10" t="n">
        <v>1.048610723531278</v>
      </c>
      <c r="L1097" s="11">
        <f>$B$5*$B$3*$B$6*SIN(F1097)</f>
        <v/>
      </c>
      <c r="M1097" s="11">
        <f>$B$9*K1097*(SIN(F1097))^2 + $B$8*($B$10+K1097*COS(F1097))*COS(F1097)</f>
        <v/>
      </c>
      <c r="N1097" s="11">
        <f>0.5*$B$9*(J1097^2 + (K1097*SIN(F1097))^2) + 0.5*$B$8*($B$10 + K1097*COS(F1097))^2</f>
        <v/>
      </c>
      <c r="O1097" s="11">
        <f>$B$3*$B$6*$B$5*COS(F1097)</f>
        <v/>
      </c>
      <c r="P1097" s="11">
        <f>N1097+O1097</f>
        <v/>
      </c>
      <c r="Q1097" s="12">
        <f>ABS(P1097-$P$3)</f>
        <v/>
      </c>
    </row>
    <row r="1098">
      <c r="D1098" s="13" t="n">
        <v>1096</v>
      </c>
      <c r="E1098" s="14" t="n">
        <v>10.9578270192995</v>
      </c>
      <c r="F1098" s="15" t="n">
        <v>1.373366947538747</v>
      </c>
      <c r="G1098" s="16">
        <f>DEGREES(F1098)</f>
        <v/>
      </c>
      <c r="H1098" s="15" t="n">
        <v>12.24900180619712</v>
      </c>
      <c r="I1098" s="16">
        <f>DEGREES(H1098)</f>
        <v/>
      </c>
      <c r="J1098" s="17" t="n">
        <v>1.225499156917246</v>
      </c>
      <c r="K1098" s="17" t="n">
        <v>0.9871468962807477</v>
      </c>
      <c r="L1098" s="18">
        <f>$B$5*$B$3*$B$6*SIN(F1098)</f>
        <v/>
      </c>
      <c r="M1098" s="18">
        <f>$B$9*K1098*(SIN(F1098))^2 + $B$8*($B$10+K1098*COS(F1098))*COS(F1098)</f>
        <v/>
      </c>
      <c r="N1098" s="18">
        <f>0.5*$B$9*(J1098^2 + (K1098*SIN(F1098))^2) + 0.5*$B$8*($B$10 + K1098*COS(F1098))^2</f>
        <v/>
      </c>
      <c r="O1098" s="18">
        <f>$B$3*$B$6*$B$5*COS(F1098)</f>
        <v/>
      </c>
      <c r="P1098" s="18">
        <f>N1098+O1098</f>
        <v/>
      </c>
      <c r="Q1098" s="19">
        <f>ABS(P1098-$P$3)</f>
        <v/>
      </c>
    </row>
    <row r="1099">
      <c r="D1099" s="6" t="n">
        <v>1097</v>
      </c>
      <c r="E1099" s="7" t="n">
        <v>10.96783416726233</v>
      </c>
      <c r="F1099" s="8" t="n">
        <v>1.385588848845935</v>
      </c>
      <c r="G1099" s="9">
        <f>DEGREES(F1099)</f>
        <v/>
      </c>
      <c r="H1099" s="8" t="n">
        <v>12.25857418961758</v>
      </c>
      <c r="I1099" s="9">
        <f>DEGREES(H1099)</f>
        <v/>
      </c>
      <c r="J1099" s="10" t="n">
        <v>1.216495830505196</v>
      </c>
      <c r="K1099" s="10" t="n">
        <v>0.9260373897448075</v>
      </c>
      <c r="L1099" s="11">
        <f>$B$5*$B$3*$B$6*SIN(F1099)</f>
        <v/>
      </c>
      <c r="M1099" s="11">
        <f>$B$9*K1099*(SIN(F1099))^2 + $B$8*($B$10+K1099*COS(F1099))*COS(F1099)</f>
        <v/>
      </c>
      <c r="N1099" s="11">
        <f>0.5*$B$9*(J1099^2 + (K1099*SIN(F1099))^2) + 0.5*$B$8*($B$10 + K1099*COS(F1099))^2</f>
        <v/>
      </c>
      <c r="O1099" s="11">
        <f>$B$3*$B$6*$B$5*COS(F1099)</f>
        <v/>
      </c>
      <c r="P1099" s="11">
        <f>N1099+O1099</f>
        <v/>
      </c>
      <c r="Q1099" s="12">
        <f>ABS(P1099-$P$3)</f>
        <v/>
      </c>
    </row>
    <row r="1100">
      <c r="D1100" s="13" t="n">
        <v>1098</v>
      </c>
      <c r="E1100" s="14" t="n">
        <v>10.97784131522516</v>
      </c>
      <c r="F1100" s="15" t="n">
        <v>1.397701513358838</v>
      </c>
      <c r="G1100" s="16">
        <f>DEGREES(F1100)</f>
        <v/>
      </c>
      <c r="H1100" s="15" t="n">
        <v>12.26753761465905</v>
      </c>
      <c r="I1100" s="16">
        <f>DEGREES(H1100)</f>
        <v/>
      </c>
      <c r="J1100" s="17" t="n">
        <v>1.203673117140148</v>
      </c>
      <c r="K1100" s="17" t="n">
        <v>0.8654740671802926</v>
      </c>
      <c r="L1100" s="18">
        <f>$B$5*$B$3*$B$6*SIN(F1100)</f>
        <v/>
      </c>
      <c r="M1100" s="18">
        <f>$B$9*K1100*(SIN(F1100))^2 + $B$8*($B$10+K1100*COS(F1100))*COS(F1100)</f>
        <v/>
      </c>
      <c r="N1100" s="18">
        <f>0.5*$B$9*(J1100^2 + (K1100*SIN(F1100))^2) + 0.5*$B$8*($B$10 + K1100*COS(F1100))^2</f>
        <v/>
      </c>
      <c r="O1100" s="18">
        <f>$B$3*$B$6*$B$5*COS(F1100)</f>
        <v/>
      </c>
      <c r="P1100" s="18">
        <f>N1100+O1100</f>
        <v/>
      </c>
      <c r="Q1100" s="19">
        <f>ABS(P1100-$P$3)</f>
        <v/>
      </c>
    </row>
    <row r="1101">
      <c r="D1101" s="6" t="n">
        <v>1099</v>
      </c>
      <c r="E1101" s="7" t="n">
        <v>10.98784846318799</v>
      </c>
      <c r="F1101" s="8" t="n">
        <v>1.409666911392814</v>
      </c>
      <c r="G1101" s="9">
        <f>DEGREES(F1101)</f>
        <v/>
      </c>
      <c r="H1101" s="8" t="n">
        <v>12.27589850016701</v>
      </c>
      <c r="I1101" s="9">
        <f>DEGREES(H1101)</f>
        <v/>
      </c>
      <c r="J1101" s="10" t="n">
        <v>1.187071275820858</v>
      </c>
      <c r="K1101" s="10" t="n">
        <v>0.8056470770104149</v>
      </c>
      <c r="L1101" s="11">
        <f>$B$5*$B$3*$B$6*SIN(F1101)</f>
        <v/>
      </c>
      <c r="M1101" s="11">
        <f>$B$9*K1101*(SIN(F1101))^2 + $B$8*($B$10+K1101*COS(F1101))*COS(F1101)</f>
        <v/>
      </c>
      <c r="N1101" s="11">
        <f>0.5*$B$9*(J1101^2 + (K1101*SIN(F1101))^2) + 0.5*$B$8*($B$10 + K1101*COS(F1101))^2</f>
        <v/>
      </c>
      <c r="O1101" s="11">
        <f>$B$3*$B$6*$B$5*COS(F1101)</f>
        <v/>
      </c>
      <c r="P1101" s="11">
        <f>N1101+O1101</f>
        <v/>
      </c>
      <c r="Q1101" s="12">
        <f>ABS(P1101-$P$3)</f>
        <v/>
      </c>
    </row>
    <row r="1102">
      <c r="D1102" s="13" t="n">
        <v>1100</v>
      </c>
      <c r="E1102" s="14" t="n">
        <v>10.99785561115082</v>
      </c>
      <c r="F1102" s="15" t="n">
        <v>1.421447475630332</v>
      </c>
      <c r="G1102" s="16">
        <f>DEGREES(F1102)</f>
        <v/>
      </c>
      <c r="H1102" s="15" t="n">
        <v>12.28366515675798</v>
      </c>
      <c r="I1102" s="16">
        <f>DEGREES(H1102)</f>
        <v/>
      </c>
      <c r="J1102" s="17" t="n">
        <v>1.166742430734304</v>
      </c>
      <c r="K1102" s="17" t="n">
        <v>0.7467442558228243</v>
      </c>
      <c r="L1102" s="18">
        <f>$B$5*$B$3*$B$6*SIN(F1102)</f>
        <v/>
      </c>
      <c r="M1102" s="18">
        <f>$B$9*K1102*(SIN(F1102))^2 + $B$8*($B$10+K1102*COS(F1102))*COS(F1102)</f>
        <v/>
      </c>
      <c r="N1102" s="18">
        <f>0.5*$B$9*(J1102^2 + (K1102*SIN(F1102))^2) + 0.5*$B$8*($B$10 + K1102*COS(F1102))^2</f>
        <v/>
      </c>
      <c r="O1102" s="18">
        <f>$B$3*$B$6*$B$5*COS(F1102)</f>
        <v/>
      </c>
      <c r="P1102" s="18">
        <f>N1102+O1102</f>
        <v/>
      </c>
      <c r="Q1102" s="19">
        <f>ABS(P1102-$P$3)</f>
        <v/>
      </c>
    </row>
    <row r="1103">
      <c r="D1103" s="6" t="n">
        <v>1101</v>
      </c>
      <c r="E1103" s="7" t="n">
        <v>11.00786275911365</v>
      </c>
      <c r="F1103" s="8" t="n">
        <v>1.433006219069691</v>
      </c>
      <c r="G1103" s="9">
        <f>DEGREES(F1103)</f>
        <v/>
      </c>
      <c r="H1103" s="8" t="n">
        <v>12.29084776072708</v>
      </c>
      <c r="I1103" s="9">
        <f>DEGREES(H1103)</f>
        <v/>
      </c>
      <c r="J1103" s="10" t="n">
        <v>1.142750407603318</v>
      </c>
      <c r="K1103" s="10" t="n">
        <v>0.68895053862603</v>
      </c>
      <c r="L1103" s="11">
        <f>$B$5*$B$3*$B$6*SIN(F1103)</f>
        <v/>
      </c>
      <c r="M1103" s="11">
        <f>$B$9*K1103*(SIN(F1103))^2 + $B$8*($B$10+K1103*COS(F1103))*COS(F1103)</f>
        <v/>
      </c>
      <c r="N1103" s="11">
        <f>0.5*$B$9*(J1103^2 + (K1103*SIN(F1103))^2) + 0.5*$B$8*($B$10 + K1103*COS(F1103))^2</f>
        <v/>
      </c>
      <c r="O1103" s="11">
        <f>$B$3*$B$6*$B$5*COS(F1103)</f>
        <v/>
      </c>
      <c r="P1103" s="11">
        <f>N1103+O1103</f>
        <v/>
      </c>
      <c r="Q1103" s="12">
        <f>ABS(P1103-$P$3)</f>
        <v/>
      </c>
    </row>
    <row r="1104">
      <c r="D1104" s="13" t="n">
        <v>1102</v>
      </c>
      <c r="E1104" s="14" t="n">
        <v>11.01786990707648</v>
      </c>
      <c r="F1104" s="15" t="n">
        <v>1.444306851151751</v>
      </c>
      <c r="G1104" s="16">
        <f>DEGREES(F1104)</f>
        <v/>
      </c>
      <c r="H1104" s="15" t="n">
        <v>12.2974583220978</v>
      </c>
      <c r="I1104" s="16">
        <f>DEGREES(H1104)</f>
        <v/>
      </c>
      <c r="J1104" s="17" t="n">
        <v>1.115170533295296</v>
      </c>
      <c r="K1104" s="17" t="n">
        <v>0.6324473782157294</v>
      </c>
      <c r="L1104" s="18">
        <f>$B$5*$B$3*$B$6*SIN(F1104)</f>
        <v/>
      </c>
      <c r="M1104" s="18">
        <f>$B$9*K1104*(SIN(F1104))^2 + $B$8*($B$10+K1104*COS(F1104))*COS(F1104)</f>
        <v/>
      </c>
      <c r="N1104" s="18">
        <f>0.5*$B$9*(J1104^2 + (K1104*SIN(F1104))^2) + 0.5*$B$8*($B$10 + K1104*COS(F1104))^2</f>
        <v/>
      </c>
      <c r="O1104" s="18">
        <f>$B$3*$B$6*$B$5*COS(F1104)</f>
        <v/>
      </c>
      <c r="P1104" s="18">
        <f>N1104+O1104</f>
        <v/>
      </c>
      <c r="Q1104" s="19">
        <f>ABS(P1104-$P$3)</f>
        <v/>
      </c>
    </row>
    <row r="1105">
      <c r="D1105" s="6" t="n">
        <v>1103</v>
      </c>
      <c r="E1105" s="7" t="n">
        <v>11.02787705503931</v>
      </c>
      <c r="F1105" s="8" t="n">
        <v>1.455313891700045</v>
      </c>
      <c r="G1105" s="9">
        <f>DEGREES(F1105)</f>
        <v/>
      </c>
      <c r="H1105" s="8" t="n">
        <v>12.30351064691462</v>
      </c>
      <c r="I1105" s="9">
        <f>DEGREES(H1105)</f>
        <v/>
      </c>
      <c r="J1105" s="10" t="n">
        <v>1.084089399321251</v>
      </c>
      <c r="K1105" s="10" t="n">
        <v>0.5774121754742604</v>
      </c>
      <c r="L1105" s="11">
        <f>$B$5*$B$3*$B$6*SIN(F1105)</f>
        <v/>
      </c>
      <c r="M1105" s="11">
        <f>$B$9*K1105*(SIN(F1105))^2 + $B$8*($B$10+K1105*COS(F1105))*COS(F1105)</f>
        <v/>
      </c>
      <c r="N1105" s="11">
        <f>0.5*$B$9*(J1105^2 + (K1105*SIN(F1105))^2) + 0.5*$B$8*($B$10 + K1105*COS(F1105))^2</f>
        <v/>
      </c>
      <c r="O1105" s="11">
        <f>$B$3*$B$6*$B$5*COS(F1105)</f>
        <v/>
      </c>
      <c r="P1105" s="11">
        <f>N1105+O1105</f>
        <v/>
      </c>
      <c r="Q1105" s="12">
        <f>ABS(P1105-$P$3)</f>
        <v/>
      </c>
    </row>
    <row r="1106">
      <c r="D1106" s="13" t="n">
        <v>1104</v>
      </c>
      <c r="E1106" s="14" t="n">
        <v>11.03788420300214</v>
      </c>
      <c r="F1106" s="15" t="n">
        <v>1.465992782316588</v>
      </c>
      <c r="G1106" s="16">
        <f>DEGREES(F1106)</f>
        <v/>
      </c>
      <c r="H1106" s="15" t="n">
        <v>12.30902029389669</v>
      </c>
      <c r="I1106" s="16">
        <f>DEGREES(H1106)</f>
        <v/>
      </c>
      <c r="J1106" s="17" t="n">
        <v>1.049604589967619</v>
      </c>
      <c r="K1106" s="17" t="n">
        <v>0.5240177223915419</v>
      </c>
      <c r="L1106" s="18">
        <f>$B$5*$B$3*$B$6*SIN(F1106)</f>
        <v/>
      </c>
      <c r="M1106" s="18">
        <f>$B$9*K1106*(SIN(F1106))^2 + $B$8*($B$10+K1106*COS(F1106))*COS(F1106)</f>
        <v/>
      </c>
      <c r="N1106" s="18">
        <f>0.5*$B$9*(J1106^2 + (K1106*SIN(F1106))^2) + 0.5*$B$8*($B$10 + K1106*COS(F1106))^2</f>
        <v/>
      </c>
      <c r="O1106" s="18">
        <f>$B$3*$B$6*$B$5*COS(F1106)</f>
        <v/>
      </c>
      <c r="P1106" s="18">
        <f>N1106+O1106</f>
        <v/>
      </c>
      <c r="Q1106" s="19">
        <f>ABS(P1106-$P$3)</f>
        <v/>
      </c>
    </row>
    <row r="1107">
      <c r="D1107" s="6" t="n">
        <v>1105</v>
      </c>
      <c r="E1107" s="7" t="n">
        <v>11.04789135096498</v>
      </c>
      <c r="F1107" s="8" t="n">
        <v>1.47630999488359</v>
      </c>
      <c r="G1107" s="9">
        <f>DEGREES(F1107)</f>
        <v/>
      </c>
      <c r="H1107" s="8" t="n">
        <v>12.31400452558866</v>
      </c>
      <c r="I1107" s="9">
        <f>DEGREES(H1107)</f>
        <v/>
      </c>
      <c r="J1107" s="10" t="n">
        <v>1.011824375914522</v>
      </c>
      <c r="K1107" s="10" t="n">
        <v>0.4724316595565329</v>
      </c>
      <c r="L1107" s="11">
        <f>$B$5*$B$3*$B$6*SIN(F1107)</f>
        <v/>
      </c>
      <c r="M1107" s="11">
        <f>$B$9*K1107*(SIN(F1107))^2 + $B$8*($B$10+K1107*COS(F1107))*COS(F1107)</f>
        <v/>
      </c>
      <c r="N1107" s="11">
        <f>0.5*$B$9*(J1107^2 + (K1107*SIN(F1107))^2) + 0.5*$B$8*($B$10 + K1107*COS(F1107))^2</f>
        <v/>
      </c>
      <c r="O1107" s="11">
        <f>$B$3*$B$6*$B$5*COS(F1107)</f>
        <v/>
      </c>
      <c r="P1107" s="11">
        <f>N1107+O1107</f>
        <v/>
      </c>
      <c r="Q1107" s="12">
        <f>ABS(P1107-$P$3)</f>
        <v/>
      </c>
    </row>
    <row r="1108">
      <c r="D1108" s="13" t="n">
        <v>1106</v>
      </c>
      <c r="E1108" s="14" t="n">
        <v>11.05789849892781</v>
      </c>
      <c r="F1108" s="15" t="n">
        <v>1.486233136830454</v>
      </c>
      <c r="G1108" s="16">
        <f>DEGREES(F1108)</f>
        <v/>
      </c>
      <c r="H1108" s="15" t="n">
        <v>12.31848225416215</v>
      </c>
      <c r="I1108" s="16">
        <f>DEGREES(H1108)</f>
        <v/>
      </c>
      <c r="J1108" s="17" t="n">
        <v>0.9708673743022912</v>
      </c>
      <c r="K1108" s="17" t="n">
        <v>0.4228159498222139</v>
      </c>
      <c r="L1108" s="18">
        <f>$B$5*$B$3*$B$6*SIN(F1108)</f>
        <v/>
      </c>
      <c r="M1108" s="18">
        <f>$B$9*K1108*(SIN(F1108))^2 + $B$8*($B$10+K1108*COS(F1108))*COS(F1108)</f>
        <v/>
      </c>
      <c r="N1108" s="18">
        <f>0.5*$B$9*(J1108^2 + (K1108*SIN(F1108))^2) + 0.5*$B$8*($B$10 + K1108*COS(F1108))^2</f>
        <v/>
      </c>
      <c r="O1108" s="18">
        <f>$B$3*$B$6*$B$5*COS(F1108)</f>
        <v/>
      </c>
      <c r="P1108" s="18">
        <f>N1108+O1108</f>
        <v/>
      </c>
      <c r="Q1108" s="19">
        <f>ABS(P1108-$P$3)</f>
        <v/>
      </c>
    </row>
    <row r="1109">
      <c r="D1109" s="6" t="n">
        <v>1107</v>
      </c>
      <c r="E1109" s="7" t="n">
        <v>11.06790564689064</v>
      </c>
      <c r="F1109" s="8" t="n">
        <v>1.495731052835533</v>
      </c>
      <c r="G1109" s="9">
        <f>DEGREES(F1109)</f>
        <v/>
      </c>
      <c r="H1109" s="8" t="n">
        <v>12.32247398203787</v>
      </c>
      <c r="I1109" s="9">
        <f>DEGREES(H1109)</f>
        <v/>
      </c>
      <c r="J1109" s="10" t="n">
        <v>0.9268621763136138</v>
      </c>
      <c r="K1109" s="10" t="n">
        <v>0.3753263697968198</v>
      </c>
      <c r="L1109" s="11">
        <f>$B$5*$B$3*$B$6*SIN(F1109)</f>
        <v/>
      </c>
      <c r="M1109" s="11">
        <f>$B$9*K1109*(SIN(F1109))^2 + $B$8*($B$10+K1109*COS(F1109))*COS(F1109)</f>
        <v/>
      </c>
      <c r="N1109" s="11">
        <f>0.5*$B$9*(J1109^2 + (K1109*SIN(F1109))^2) + 0.5*$B$8*($B$10 + K1109*COS(F1109))^2</f>
        <v/>
      </c>
      <c r="O1109" s="11">
        <f>$B$3*$B$6*$B$5*COS(F1109)</f>
        <v/>
      </c>
      <c r="P1109" s="11">
        <f>N1109+O1109</f>
        <v/>
      </c>
      <c r="Q1109" s="12">
        <f>ABS(P1109-$P$3)</f>
        <v/>
      </c>
    </row>
    <row r="1110">
      <c r="D1110" s="13" t="n">
        <v>1108</v>
      </c>
      <c r="E1110" s="14" t="n">
        <v>11.07791279485347</v>
      </c>
      <c r="F1110" s="15" t="n">
        <v>1.504773922643334</v>
      </c>
      <c r="G1110" s="16">
        <f>DEGREES(F1110)</f>
        <v/>
      </c>
      <c r="H1110" s="15" t="n">
        <v>12.32600173751493</v>
      </c>
      <c r="I1110" s="16">
        <f>DEGREES(H1110)</f>
        <v/>
      </c>
      <c r="J1110" s="17" t="n">
        <v>0.8799469434405768</v>
      </c>
      <c r="K1110" s="17" t="n">
        <v>0.3301120207578107</v>
      </c>
      <c r="L1110" s="18">
        <f>$B$5*$B$3*$B$6*SIN(F1110)</f>
        <v/>
      </c>
      <c r="M1110" s="18">
        <f>$B$9*K1110*(SIN(F1110))^2 + $B$8*($B$10+K1110*COS(F1110))*COS(F1110)</f>
        <v/>
      </c>
      <c r="N1110" s="18">
        <f>0.5*$B$9*(J1110^2 + (K1110*SIN(F1110))^2) + 0.5*$B$8*($B$10 + K1110*COS(F1110))^2</f>
        <v/>
      </c>
      <c r="O1110" s="18">
        <f>$B$3*$B$6*$B$5*COS(F1110)</f>
        <v/>
      </c>
      <c r="P1110" s="18">
        <f>N1110+O1110</f>
        <v/>
      </c>
      <c r="Q1110" s="19">
        <f>ABS(P1110-$P$3)</f>
        <v/>
      </c>
    </row>
    <row r="1111">
      <c r="D1111" s="6" t="n">
        <v>1109</v>
      </c>
      <c r="E1111" s="7" t="n">
        <v>11.0879199428163</v>
      </c>
      <c r="F1111" s="8" t="n">
        <v>1.513333354690074</v>
      </c>
      <c r="G1111" s="9">
        <f>DEGREES(F1111)</f>
        <v/>
      </c>
      <c r="H1111" s="8" t="n">
        <v>12.32908900560943</v>
      </c>
      <c r="I1111" s="9">
        <f>DEGREES(H1111)</f>
        <v/>
      </c>
      <c r="J1111" s="10" t="n">
        <v>0.8302689737041528</v>
      </c>
      <c r="K1111" s="10" t="n">
        <v>0.2873148605241103</v>
      </c>
      <c r="L1111" s="11">
        <f>$B$5*$B$3*$B$6*SIN(F1111)</f>
        <v/>
      </c>
      <c r="M1111" s="11">
        <f>$B$9*K1111*(SIN(F1111))^2 + $B$8*($B$10+K1111*COS(F1111))*COS(F1111)</f>
        <v/>
      </c>
      <c r="N1111" s="11">
        <f>0.5*$B$9*(J1111^2 + (K1111*SIN(F1111))^2) + 0.5*$B$8*($B$10 + K1111*COS(F1111))^2</f>
        <v/>
      </c>
      <c r="O1111" s="11">
        <f>$B$3*$B$6*$B$5*COS(F1111)</f>
        <v/>
      </c>
      <c r="P1111" s="11">
        <f>N1111+O1111</f>
        <v/>
      </c>
      <c r="Q1111" s="12">
        <f>ABS(P1111-$P$3)</f>
        <v/>
      </c>
    </row>
    <row r="1112">
      <c r="D1112" s="13" t="n">
        <v>1110</v>
      </c>
      <c r="E1112" s="14" t="n">
        <v>11.09792709077913</v>
      </c>
      <c r="F1112" s="15" t="n">
        <v>1.521382475243628</v>
      </c>
      <c r="G1112" s="16">
        <f>DEGREES(F1112)</f>
        <v/>
      </c>
      <c r="H1112" s="15" t="n">
        <v>12.33176065431941</v>
      </c>
      <c r="I1112" s="16">
        <f>DEGREES(H1112)</f>
        <v/>
      </c>
      <c r="J1112" s="17" t="n">
        <v>0.7779842391879959</v>
      </c>
      <c r="K1112" s="17" t="n">
        <v>0.2470692577563441</v>
      </c>
      <c r="L1112" s="18">
        <f>$B$5*$B$3*$B$6*SIN(F1112)</f>
        <v/>
      </c>
      <c r="M1112" s="18">
        <f>$B$9*K1112*(SIN(F1112))^2 + $B$8*($B$10+K1112*COS(F1112))*COS(F1112)</f>
        <v/>
      </c>
      <c r="N1112" s="18">
        <f>0.5*$B$9*(J1112^2 + (K1112*SIN(F1112))^2) + 0.5*$B$8*($B$10 + K1112*COS(F1112))^2</f>
        <v/>
      </c>
      <c r="O1112" s="18">
        <f>$B$3*$B$6*$B$5*COS(F1112)</f>
        <v/>
      </c>
      <c r="P1112" s="18">
        <f>N1112+O1112</f>
        <v/>
      </c>
      <c r="Q1112" s="19">
        <f>ABS(P1112-$P$3)</f>
        <v/>
      </c>
    </row>
    <row r="1113">
      <c r="D1113" s="6" t="n">
        <v>1111</v>
      </c>
      <c r="E1113" s="7" t="n">
        <v>11.10793423874196</v>
      </c>
      <c r="F1113" s="8" t="n">
        <v>1.528896012777981</v>
      </c>
      <c r="G1113" s="9">
        <f>DEGREES(F1113)</f>
        <v/>
      </c>
      <c r="H1113" s="8" t="n">
        <v>12.33404285654771</v>
      </c>
      <c r="I1113" s="9">
        <f>DEGREES(H1113)</f>
        <v/>
      </c>
      <c r="J1113" s="10" t="n">
        <v>0.7232568963387154</v>
      </c>
      <c r="K1113" s="10" t="n">
        <v>0.2095015700845785</v>
      </c>
      <c r="L1113" s="11">
        <f>$B$5*$B$3*$B$6*SIN(F1113)</f>
        <v/>
      </c>
      <c r="M1113" s="11">
        <f>$B$9*K1113*(SIN(F1113))^2 + $B$8*($B$10+K1113*COS(F1113))*COS(F1113)</f>
        <v/>
      </c>
      <c r="N1113" s="11">
        <f>0.5*$B$9*(J1113^2 + (K1113*SIN(F1113))^2) + 0.5*$B$8*($B$10 + K1113*COS(F1113))^2</f>
        <v/>
      </c>
      <c r="O1113" s="11">
        <f>$B$3*$B$6*$B$5*COS(F1113)</f>
        <v/>
      </c>
      <c r="P1113" s="11">
        <f>N1113+O1113</f>
        <v/>
      </c>
      <c r="Q1113" s="12">
        <f>ABS(P1113-$P$3)</f>
        <v/>
      </c>
    </row>
    <row r="1114">
      <c r="D1114" s="13" t="n">
        <v>1112</v>
      </c>
      <c r="E1114" s="14" t="n">
        <v>11.11794138670479</v>
      </c>
      <c r="F1114" s="15" t="n">
        <v>1.535850377317309</v>
      </c>
      <c r="G1114" s="16">
        <f>DEGREES(F1114)</f>
        <v/>
      </c>
      <c r="H1114" s="15" t="n">
        <v>12.33596300792788</v>
      </c>
      <c r="I1114" s="16">
        <f>DEGREES(H1114)</f>
        <v/>
      </c>
      <c r="J1114" s="17" t="n">
        <v>0.6662587705699585</v>
      </c>
      <c r="K1114" s="17" t="n">
        <v>0.1747297473879388</v>
      </c>
      <c r="L1114" s="18">
        <f>$B$5*$B$3*$B$6*SIN(F1114)</f>
        <v/>
      </c>
      <c r="M1114" s="18">
        <f>$B$9*K1114*(SIN(F1114))^2 + $B$8*($B$10+K1114*COS(F1114))*COS(F1114)</f>
        <v/>
      </c>
      <c r="N1114" s="18">
        <f>0.5*$B$9*(J1114^2 + (K1114*SIN(F1114))^2) + 0.5*$B$8*($B$10 + K1114*COS(F1114))^2</f>
        <v/>
      </c>
      <c r="O1114" s="18">
        <f>$B$3*$B$6*$B$5*COS(F1114)</f>
        <v/>
      </c>
      <c r="P1114" s="18">
        <f>N1114+O1114</f>
        <v/>
      </c>
      <c r="Q1114" s="19">
        <f>ABS(P1114-$P$3)</f>
        <v/>
      </c>
    </row>
    <row r="1115">
      <c r="D1115" s="6" t="n">
        <v>1113</v>
      </c>
      <c r="E1115" s="7" t="n">
        <v>11.12794853466762</v>
      </c>
      <c r="F1115" s="8" t="n">
        <v>1.542223734500557</v>
      </c>
      <c r="G1115" s="9">
        <f>DEGREES(F1115)</f>
        <v/>
      </c>
      <c r="H1115" s="8" t="n">
        <v>12.33754964081111</v>
      </c>
      <c r="I1115" s="9">
        <f>DEGREES(H1115)</f>
        <v/>
      </c>
      <c r="J1115" s="10" t="n">
        <v>0.6071688167884516</v>
      </c>
      <c r="K1115" s="10" t="n">
        <v>0.1428629614716974</v>
      </c>
      <c r="L1115" s="11">
        <f>$B$5*$B$3*$B$6*SIN(F1115)</f>
        <v/>
      </c>
      <c r="M1115" s="11">
        <f>$B$9*K1115*(SIN(F1115))^2 + $B$8*($B$10+K1115*COS(F1115))*COS(F1115)</f>
        <v/>
      </c>
      <c r="N1115" s="11">
        <f>0.5*$B$9*(J1115^2 + (K1115*SIN(F1115))^2) + 0.5*$B$8*($B$10 + K1115*COS(F1115))^2</f>
        <v/>
      </c>
      <c r="O1115" s="11">
        <f>$B$3*$B$6*$B$5*COS(F1115)</f>
        <v/>
      </c>
      <c r="P1115" s="11">
        <f>N1115+O1115</f>
        <v/>
      </c>
      <c r="Q1115" s="12">
        <f>ABS(P1115-$P$3)</f>
        <v/>
      </c>
    </row>
    <row r="1116">
      <c r="D1116" s="13" t="n">
        <v>1114</v>
      </c>
      <c r="E1116" s="14" t="n">
        <v>11.13795568263045</v>
      </c>
      <c r="F1116" s="15" t="n">
        <v>1.547996074133968</v>
      </c>
      <c r="G1116" s="16">
        <f>DEGREES(F1116)</f>
        <v/>
      </c>
      <c r="H1116" s="15" t="n">
        <v>12.33883233468431</v>
      </c>
      <c r="I1116" s="16">
        <f>DEGREES(H1116)</f>
        <v/>
      </c>
      <c r="J1116" s="17" t="n">
        <v>0.5461725575359702</v>
      </c>
      <c r="K1116" s="17" t="n">
        <v>0.1140012633046421</v>
      </c>
      <c r="L1116" s="18">
        <f>$B$5*$B$3*$B$6*SIN(F1116)</f>
        <v/>
      </c>
      <c r="M1116" s="18">
        <f>$B$9*K1116*(SIN(F1116))^2 + $B$8*($B$10+K1116*COS(F1116))*COS(F1116)</f>
        <v/>
      </c>
      <c r="N1116" s="18">
        <f>0.5*$B$9*(J1116^2 + (K1116*SIN(F1116))^2) + 0.5*$B$8*($B$10 + K1116*COS(F1116))^2</f>
        <v/>
      </c>
      <c r="O1116" s="18">
        <f>$B$3*$B$6*$B$5*COS(F1116)</f>
        <v/>
      </c>
      <c r="P1116" s="18">
        <f>N1116+O1116</f>
        <v/>
      </c>
      <c r="Q1116" s="19">
        <f>ABS(P1116-$P$3)</f>
        <v/>
      </c>
    </row>
    <row r="1117">
      <c r="D1117" s="6" t="n">
        <v>1115</v>
      </c>
      <c r="E1117" s="7" t="n">
        <v>11.14796283059328</v>
      </c>
      <c r="F1117" s="8" t="n">
        <v>1.553149273016351</v>
      </c>
      <c r="G1117" s="9">
        <f>DEGREES(F1117)</f>
        <v/>
      </c>
      <c r="H1117" s="8" t="n">
        <v>12.33984162330042</v>
      </c>
      <c r="I1117" s="9">
        <f>DEGREES(H1117)</f>
        <v/>
      </c>
      <c r="J1117" s="10" t="n">
        <v>0.4834615005110517</v>
      </c>
      <c r="K1117" s="10" t="n">
        <v>0.08823526889273037</v>
      </c>
      <c r="L1117" s="11">
        <f>$B$5*$B$3*$B$6*SIN(F1117)</f>
        <v/>
      </c>
      <c r="M1117" s="11">
        <f>$B$9*K1117*(SIN(F1117))^2 + $B$8*($B$10+K1117*COS(F1117))*COS(F1117)</f>
        <v/>
      </c>
      <c r="N1117" s="11">
        <f>0.5*$B$9*(J1117^2 + (K1117*SIN(F1117))^2) + 0.5*$B$8*($B$10 + K1117*COS(F1117))^2</f>
        <v/>
      </c>
      <c r="O1117" s="11">
        <f>$B$3*$B$6*$B$5*COS(F1117)</f>
        <v/>
      </c>
      <c r="P1117" s="11">
        <f>N1117+O1117</f>
        <v/>
      </c>
      <c r="Q1117" s="12">
        <f>ABS(P1117-$P$3)</f>
        <v/>
      </c>
    </row>
    <row r="1118">
      <c r="D1118" s="13" t="n">
        <v>1116</v>
      </c>
      <c r="E1118" s="14" t="n">
        <v>11.15796997855611</v>
      </c>
      <c r="F1118" s="15" t="n">
        <v>1.557667151839825</v>
      </c>
      <c r="G1118" s="16">
        <f>DEGREES(F1118)</f>
        <v/>
      </c>
      <c r="H1118" s="15" t="n">
        <v>12.34060889881277</v>
      </c>
      <c r="I1118" s="16">
        <f>DEGREES(H1118)</f>
        <v/>
      </c>
      <c r="J1118" s="17" t="n">
        <v>0.4192325372993264</v>
      </c>
      <c r="K1118" s="17" t="n">
        <v>0.06564587477535766</v>
      </c>
      <c r="L1118" s="18">
        <f>$B$5*$B$3*$B$6*SIN(F1118)</f>
        <v/>
      </c>
      <c r="M1118" s="18">
        <f>$B$9*K1118*(SIN(F1118))^2 + $B$8*($B$10+K1118*COS(F1118))*COS(F1118)</f>
        <v/>
      </c>
      <c r="N1118" s="18">
        <f>0.5*$B$9*(J1118^2 + (K1118*SIN(F1118))^2) + 0.5*$B$8*($B$10 + K1118*COS(F1118))^2</f>
        <v/>
      </c>
      <c r="O1118" s="18">
        <f>$B$3*$B$6*$B$5*COS(F1118)</f>
        <v/>
      </c>
      <c r="P1118" s="18">
        <f>N1118+O1118</f>
        <v/>
      </c>
      <c r="Q1118" s="19">
        <f>ABS(P1118-$P$3)</f>
        <v/>
      </c>
    </row>
    <row r="1119">
      <c r="D1119" s="6" t="n">
        <v>1117</v>
      </c>
      <c r="E1119" s="7" t="n">
        <v>11.16797712651894</v>
      </c>
      <c r="F1119" s="8" t="n">
        <v>1.561535525987394</v>
      </c>
      <c r="G1119" s="9">
        <f>DEGREES(F1119)</f>
        <v/>
      </c>
      <c r="H1119" s="8" t="n">
        <v>12.34116631321426</v>
      </c>
      <c r="I1119" s="9">
        <f>DEGREES(H1119)</f>
        <v/>
      </c>
      <c r="J1119" s="10" t="n">
        <v>0.3536873252003698</v>
      </c>
      <c r="K1119" s="10" t="n">
        <v>0.04630400403751533</v>
      </c>
      <c r="L1119" s="11">
        <f>$B$5*$B$3*$B$6*SIN(F1119)</f>
        <v/>
      </c>
      <c r="M1119" s="11">
        <f>$B$9*K1119*(SIN(F1119))^2 + $B$8*($B$10+K1119*COS(F1119))*COS(F1119)</f>
        <v/>
      </c>
      <c r="N1119" s="11">
        <f>0.5*$B$9*(J1119^2 + (K1119*SIN(F1119))^2) + 0.5*$B$8*($B$10 + K1119*COS(F1119))^2</f>
        <v/>
      </c>
      <c r="O1119" s="11">
        <f>$B$3*$B$6*$B$5*COS(F1119)</f>
        <v/>
      </c>
      <c r="P1119" s="11">
        <f>N1119+O1119</f>
        <v/>
      </c>
      <c r="Q1119" s="12">
        <f>ABS(P1119-$P$3)</f>
        <v/>
      </c>
    </row>
    <row r="1120">
      <c r="D1120" s="13" t="n">
        <v>1118</v>
      </c>
      <c r="E1120" s="14" t="n">
        <v>11.17798427448177</v>
      </c>
      <c r="F1120" s="15" t="n">
        <v>1.564742250067861</v>
      </c>
      <c r="G1120" s="16">
        <f>DEGREES(F1120)</f>
        <v/>
      </c>
      <c r="H1120" s="15" t="n">
        <v>12.341546677391</v>
      </c>
      <c r="I1120" s="16">
        <f>DEGREES(H1120)</f>
        <v/>
      </c>
      <c r="J1120" s="17" t="n">
        <v>0.2870316540916688</v>
      </c>
      <c r="K1120" s="17" t="n">
        <v>0.03027038363517787</v>
      </c>
      <c r="L1120" s="18">
        <f>$B$5*$B$3*$B$6*SIN(F1120)</f>
        <v/>
      </c>
      <c r="M1120" s="18">
        <f>$B$9*K1120*(SIN(F1120))^2 + $B$8*($B$10+K1120*COS(F1120))*COS(F1120)</f>
        <v/>
      </c>
      <c r="N1120" s="18">
        <f>0.5*$B$9*(J1120^2 + (K1120*SIN(F1120))^2) + 0.5*$B$8*($B$10 + K1120*COS(F1120))^2</f>
        <v/>
      </c>
      <c r="O1120" s="18">
        <f>$B$3*$B$6*$B$5*COS(F1120)</f>
        <v/>
      </c>
      <c r="P1120" s="18">
        <f>N1120+O1120</f>
        <v/>
      </c>
      <c r="Q1120" s="19">
        <f>ABS(P1120-$P$3)</f>
        <v/>
      </c>
    </row>
    <row r="1121">
      <c r="D1121" s="6" t="n">
        <v>1119</v>
      </c>
      <c r="E1121" s="7" t="n">
        <v>11.1879914224446</v>
      </c>
      <c r="F1121" s="8" t="n">
        <v>1.567277256048271</v>
      </c>
      <c r="G1121" s="9">
        <f>DEGREES(F1121)</f>
        <v/>
      </c>
      <c r="H1121" s="8" t="n">
        <v>12.34178335810707</v>
      </c>
      <c r="I1121" s="9">
        <f>DEGREES(H1121)</f>
        <v/>
      </c>
      <c r="J1121" s="10" t="n">
        <v>0.219474800317754</v>
      </c>
      <c r="K1121" s="10" t="n">
        <v>0.01759535373312904</v>
      </c>
      <c r="L1121" s="11">
        <f>$B$5*$B$3*$B$6*SIN(F1121)</f>
        <v/>
      </c>
      <c r="M1121" s="11">
        <f>$B$9*K1121*(SIN(F1121))^2 + $B$8*($B$10+K1121*COS(F1121))*COS(F1121)</f>
        <v/>
      </c>
      <c r="N1121" s="11">
        <f>0.5*$B$9*(J1121^2 + (K1121*SIN(F1121))^2) + 0.5*$B$8*($B$10 + K1121*COS(F1121))^2</f>
        <v/>
      </c>
      <c r="O1121" s="11">
        <f>$B$3*$B$6*$B$5*COS(F1121)</f>
        <v/>
      </c>
      <c r="P1121" s="11">
        <f>N1121+O1121</f>
        <v/>
      </c>
      <c r="Q1121" s="12">
        <f>ABS(P1121-$P$3)</f>
        <v/>
      </c>
    </row>
    <row r="1122">
      <c r="D1122" s="13" t="n">
        <v>1120</v>
      </c>
      <c r="E1122" s="14" t="n">
        <v>11.19799857040744</v>
      </c>
      <c r="F1122" s="15" t="n">
        <v>1.569132584864131</v>
      </c>
      <c r="G1122" s="16">
        <f>DEGREES(F1122)</f>
        <v/>
      </c>
      <c r="H1122" s="15" t="n">
        <v>12.34191017324427</v>
      </c>
      <c r="I1122" s="16">
        <f>DEGREES(H1122)</f>
        <v/>
      </c>
      <c r="J1122" s="17" t="n">
        <v>0.1512288696330806</v>
      </c>
      <c r="K1122" s="17" t="n">
        <v>0.008318709653827083</v>
      </c>
      <c r="L1122" s="18">
        <f>$B$5*$B$3*$B$6*SIN(F1122)</f>
        <v/>
      </c>
      <c r="M1122" s="18">
        <f>$B$9*K1122*(SIN(F1122))^2 + $B$8*($B$10+K1122*COS(F1122))*COS(F1122)</f>
        <v/>
      </c>
      <c r="N1122" s="18">
        <f>0.5*$B$9*(J1122^2 + (K1122*SIN(F1122))^2) + 0.5*$B$8*($B$10 + K1122*COS(F1122))^2</f>
        <v/>
      </c>
      <c r="O1122" s="18">
        <f>$B$3*$B$6*$B$5*COS(F1122)</f>
        <v/>
      </c>
      <c r="P1122" s="18">
        <f>N1122+O1122</f>
        <v/>
      </c>
      <c r="Q1122" s="19">
        <f>ABS(P1122-$P$3)</f>
        <v/>
      </c>
    </row>
    <row r="1123">
      <c r="D1123" s="6" t="n">
        <v>1121</v>
      </c>
      <c r="E1123" s="7" t="n">
        <v>11.20800571837026</v>
      </c>
      <c r="F1123" s="8" t="n">
        <v>1.5703024114082</v>
      </c>
      <c r="G1123" s="9">
        <f>DEGREES(F1123)</f>
        <v/>
      </c>
      <c r="H1123" s="8" t="n">
        <v>12.34196128562524</v>
      </c>
      <c r="I1123" s="9">
        <f>DEGREES(H1123)</f>
        <v/>
      </c>
      <c r="J1123" s="10" t="n">
        <v>0.08250813126136158</v>
      </c>
      <c r="K1123" s="10" t="n">
        <v>0.002469576933483264</v>
      </c>
      <c r="L1123" s="11">
        <f>$B$5*$B$3*$B$6*SIN(F1123)</f>
        <v/>
      </c>
      <c r="M1123" s="11">
        <f>$B$9*K1123*(SIN(F1123))^2 + $B$8*($B$10+K1123*COS(F1123))*COS(F1123)</f>
        <v/>
      </c>
      <c r="N1123" s="11">
        <f>0.5*$B$9*(J1123^2 + (K1123*SIN(F1123))^2) + 0.5*$B$8*($B$10 + K1123*COS(F1123))^2</f>
        <v/>
      </c>
      <c r="O1123" s="11">
        <f>$B$3*$B$6*$B$5*COS(F1123)</f>
        <v/>
      </c>
      <c r="P1123" s="11">
        <f>N1123+O1123</f>
        <v/>
      </c>
      <c r="Q1123" s="12">
        <f>ABS(P1123-$P$3)</f>
        <v/>
      </c>
    </row>
    <row r="1124">
      <c r="D1124" s="13" t="n">
        <v>1122</v>
      </c>
      <c r="E1124" s="14" t="n">
        <v>11.2180128663331</v>
      </c>
      <c r="F1124" s="15" t="n">
        <v>1.570783062819356</v>
      </c>
      <c r="G1124" s="16">
        <f>DEGREES(F1124)</f>
        <v/>
      </c>
      <c r="H1124" s="15" t="n">
        <v>12.34197109575378</v>
      </c>
      <c r="I1124" s="16">
        <f>DEGREES(H1124)</f>
        <v/>
      </c>
      <c r="J1124" s="17" t="n">
        <v>0.01352834516242132</v>
      </c>
      <c r="K1124" s="17" t="n">
        <v>6.631987770111536e-05</v>
      </c>
      <c r="L1124" s="18">
        <f>$B$5*$B$3*$B$6*SIN(F1124)</f>
        <v/>
      </c>
      <c r="M1124" s="18">
        <f>$B$9*K1124*(SIN(F1124))^2 + $B$8*($B$10+K1124*COS(F1124))*COS(F1124)</f>
        <v/>
      </c>
      <c r="N1124" s="18">
        <f>0.5*$B$9*(J1124^2 + (K1124*SIN(F1124))^2) + 0.5*$B$8*($B$10 + K1124*COS(F1124))^2</f>
        <v/>
      </c>
      <c r="O1124" s="18">
        <f>$B$3*$B$6*$B$5*COS(F1124)</f>
        <v/>
      </c>
      <c r="P1124" s="18">
        <f>N1124+O1124</f>
        <v/>
      </c>
      <c r="Q1124" s="19">
        <f>ABS(P1124-$P$3)</f>
        <v/>
      </c>
    </row>
    <row r="1125">
      <c r="D1125" s="6" t="n">
        <v>1123</v>
      </c>
      <c r="E1125" s="7" t="n">
        <v>11.22802001429593</v>
      </c>
      <c r="F1125" s="8" t="n">
        <v>1.570573030014147</v>
      </c>
      <c r="G1125" s="9">
        <f>DEGREES(F1125)</f>
        <v/>
      </c>
      <c r="H1125" s="8" t="n">
        <v>12.34197413380885</v>
      </c>
      <c r="I1125" s="9">
        <f>DEGREES(H1125)</f>
        <v/>
      </c>
      <c r="J1125" s="10" t="n">
        <v>-0.0554939153813333</v>
      </c>
      <c r="K1125" s="10" t="n">
        <v>0.001116483903747634</v>
      </c>
      <c r="L1125" s="11">
        <f>$B$5*$B$3*$B$6*SIN(F1125)</f>
        <v/>
      </c>
      <c r="M1125" s="11">
        <f>$B$9*K1125*(SIN(F1125))^2 + $B$8*($B$10+K1125*COS(F1125))*COS(F1125)</f>
        <v/>
      </c>
      <c r="N1125" s="11">
        <f>0.5*$B$9*(J1125^2 + (K1125*SIN(F1125))^2) + 0.5*$B$8*($B$10 + K1125*COS(F1125))^2</f>
        <v/>
      </c>
      <c r="O1125" s="11">
        <f>$B$3*$B$6*$B$5*COS(F1125)</f>
        <v/>
      </c>
      <c r="P1125" s="11">
        <f>N1125+O1125</f>
        <v/>
      </c>
      <c r="Q1125" s="12">
        <f>ABS(P1125-$P$3)</f>
        <v/>
      </c>
    </row>
    <row r="1126">
      <c r="D1126" s="13" t="n">
        <v>1124</v>
      </c>
      <c r="E1126" s="14" t="n">
        <v>11.23802716225876</v>
      </c>
      <c r="F1126" s="15" t="n">
        <v>1.5696729724248</v>
      </c>
      <c r="G1126" s="16">
        <f>DEGREES(F1126)</f>
        <v/>
      </c>
      <c r="H1126" s="15" t="n">
        <v>12.34200495123144</v>
      </c>
      <c r="I1126" s="16">
        <f>DEGREES(H1126)</f>
        <v/>
      </c>
      <c r="J1126" s="17" t="n">
        <v>-0.124341943732026</v>
      </c>
      <c r="K1126" s="17" t="n">
        <v>0.005616771850482039</v>
      </c>
      <c r="L1126" s="18">
        <f>$B$5*$B$3*$B$6*SIN(F1126)</f>
        <v/>
      </c>
      <c r="M1126" s="18">
        <f>$B$9*K1126*(SIN(F1126))^2 + $B$8*($B$10+K1126*COS(F1126))*COS(F1126)</f>
        <v/>
      </c>
      <c r="N1126" s="18">
        <f>0.5*$B$9*(J1126^2 + (K1126*SIN(F1126))^2) + 0.5*$B$8*($B$10 + K1126*COS(F1126))^2</f>
        <v/>
      </c>
      <c r="O1126" s="18">
        <f>$B$3*$B$6*$B$5*COS(F1126)</f>
        <v/>
      </c>
      <c r="P1126" s="18">
        <f>N1126+O1126</f>
        <v/>
      </c>
      <c r="Q1126" s="19">
        <f>ABS(P1126-$P$3)</f>
        <v/>
      </c>
    </row>
    <row r="1127">
      <c r="D1127" s="6" t="n">
        <v>1125</v>
      </c>
      <c r="E1127" s="7" t="n">
        <v>11.24803431022159</v>
      </c>
      <c r="F1127" s="8" t="n">
        <v>1.56808571592883</v>
      </c>
      <c r="G1127" s="9">
        <f>DEGREES(F1127)</f>
        <v/>
      </c>
      <c r="H1127" s="8" t="n">
        <v>12.34209801224467</v>
      </c>
      <c r="I1127" s="9">
        <f>DEGREES(H1127)</f>
        <v/>
      </c>
      <c r="J1127" s="10" t="n">
        <v>-0.1927995802822037</v>
      </c>
      <c r="K1127" s="10" t="n">
        <v>0.01355305433033349</v>
      </c>
      <c r="L1127" s="11">
        <f>$B$5*$B$3*$B$6*SIN(F1127)</f>
        <v/>
      </c>
      <c r="M1127" s="11">
        <f>$B$9*K1127*(SIN(F1127))^2 + $B$8*($B$10+K1127*COS(F1127))*COS(F1127)</f>
        <v/>
      </c>
      <c r="N1127" s="11">
        <f>0.5*$B$9*(J1127^2 + (K1127*SIN(F1127))^2) + 0.5*$B$8*($B$10 + K1127*COS(F1127))^2</f>
        <v/>
      </c>
      <c r="O1127" s="11">
        <f>$B$3*$B$6*$B$5*COS(F1127)</f>
        <v/>
      </c>
      <c r="P1127" s="11">
        <f>N1127+O1127</f>
        <v/>
      </c>
      <c r="Q1127" s="12">
        <f>ABS(P1127-$P$3)</f>
        <v/>
      </c>
    </row>
    <row r="1128">
      <c r="D1128" s="13" t="n">
        <v>1126</v>
      </c>
      <c r="E1128" s="14" t="n">
        <v>11.25804145818442</v>
      </c>
      <c r="F1128" s="15" t="n">
        <v>1.565816243976733</v>
      </c>
      <c r="G1128" s="16">
        <f>DEGREES(F1128)</f>
        <v/>
      </c>
      <c r="H1128" s="15" t="n">
        <v>12.34228758564778</v>
      </c>
      <c r="I1128" s="16">
        <f>DEGREES(H1128)</f>
        <v/>
      </c>
      <c r="J1128" s="17" t="n">
        <v>-0.2606518911230797</v>
      </c>
      <c r="K1128" s="17" t="n">
        <v>0.02490041409081556</v>
      </c>
      <c r="L1128" s="18">
        <f>$B$5*$B$3*$B$6*SIN(F1128)</f>
        <v/>
      </c>
      <c r="M1128" s="18">
        <f>$B$9*K1128*(SIN(F1128))^2 + $B$8*($B$10+K1128*COS(F1128))*COS(F1128)</f>
        <v/>
      </c>
      <c r="N1128" s="18">
        <f>0.5*$B$9*(J1128^2 + (K1128*SIN(F1128))^2) + 0.5*$B$8*($B$10 + K1128*COS(F1128))^2</f>
        <v/>
      </c>
      <c r="O1128" s="18">
        <f>$B$3*$B$6*$B$5*COS(F1128)</f>
        <v/>
      </c>
      <c r="P1128" s="18">
        <f>N1128+O1128</f>
        <v/>
      </c>
      <c r="Q1128" s="19">
        <f>ABS(P1128-$P$3)</f>
        <v/>
      </c>
    </row>
    <row r="1129">
      <c r="D1129" s="6" t="n">
        <v>1127</v>
      </c>
      <c r="E1129" s="7" t="n">
        <v>11.26804860614725</v>
      </c>
      <c r="F1129" s="8" t="n">
        <v>1.562871681945637</v>
      </c>
      <c r="G1129" s="9">
        <f>DEGREES(F1129)</f>
        <v/>
      </c>
      <c r="H1129" s="8" t="n">
        <v>12.34260763722362</v>
      </c>
      <c r="I1129" s="9">
        <f>DEGREES(H1129)</f>
        <v/>
      </c>
      <c r="J1129" s="10" t="n">
        <v>-0.3276858428645765</v>
      </c>
      <c r="K1129" s="10" t="n">
        <v>0.0396232242462955</v>
      </c>
      <c r="L1129" s="11">
        <f>$B$5*$B$3*$B$6*SIN(F1129)</f>
        <v/>
      </c>
      <c r="M1129" s="11">
        <f>$B$9*K1129*(SIN(F1129))^2 + $B$8*($B$10+K1129*COS(F1129))*COS(F1129)</f>
        <v/>
      </c>
      <c r="N1129" s="11">
        <f>0.5*$B$9*(J1129^2 + (K1129*SIN(F1129))^2) + 0.5*$B$8*($B$10 + K1129*COS(F1129))^2</f>
        <v/>
      </c>
      <c r="O1129" s="11">
        <f>$B$3*$B$6*$B$5*COS(F1129)</f>
        <v/>
      </c>
      <c r="P1129" s="11">
        <f>N1129+O1129</f>
        <v/>
      </c>
      <c r="Q1129" s="12">
        <f>ABS(P1129-$P$3)</f>
        <v/>
      </c>
    </row>
    <row r="1130">
      <c r="D1130" s="13" t="n">
        <v>1128</v>
      </c>
      <c r="E1130" s="14" t="n">
        <v>11.27805575411008</v>
      </c>
      <c r="F1130" s="15" t="n">
        <v>1.559261274768011</v>
      </c>
      <c r="G1130" s="16">
        <f>DEGREES(F1130)</f>
        <v/>
      </c>
      <c r="H1130" s="15" t="n">
        <v>12.34309172309755</v>
      </c>
      <c r="I1130" s="16">
        <f>DEGREES(H1130)</f>
        <v/>
      </c>
      <c r="J1130" s="17" t="n">
        <v>-0.3936909714884558</v>
      </c>
      <c r="K1130" s="17" t="n">
        <v>0.05767526013442503</v>
      </c>
      <c r="L1130" s="18">
        <f>$B$5*$B$3*$B$6*SIN(F1130)</f>
        <v/>
      </c>
      <c r="M1130" s="18">
        <f>$B$9*K1130*(SIN(F1130))^2 + $B$8*($B$10+K1130*COS(F1130))*COS(F1130)</f>
        <v/>
      </c>
      <c r="N1130" s="18">
        <f>0.5*$B$9*(J1130^2 + (K1130*SIN(F1130))^2) + 0.5*$B$8*($B$10 + K1130*COS(F1130))^2</f>
        <v/>
      </c>
      <c r="O1130" s="18">
        <f>$B$3*$B$6*$B$5*COS(F1130)</f>
        <v/>
      </c>
      <c r="P1130" s="18">
        <f>N1130+O1130</f>
        <v/>
      </c>
      <c r="Q1130" s="19">
        <f>ABS(P1130-$P$3)</f>
        <v/>
      </c>
    </row>
    <row r="1131">
      <c r="D1131" s="6" t="n">
        <v>1129</v>
      </c>
      <c r="E1131" s="7" t="n">
        <v>11.28806290207291</v>
      </c>
      <c r="F1131" s="8" t="n">
        <v>1.554996357905699</v>
      </c>
      <c r="G1131" s="9">
        <f>DEGREES(F1131)</f>
        <v/>
      </c>
      <c r="H1131" s="8" t="n">
        <v>12.34377288438251</v>
      </c>
      <c r="I1131" s="9">
        <f>DEGREES(H1131)</f>
        <v/>
      </c>
      <c r="J1131" s="10" t="n">
        <v>-0.4584600431343248</v>
      </c>
      <c r="K1131" s="10" t="n">
        <v>0.07899984444598585</v>
      </c>
      <c r="L1131" s="11">
        <f>$B$5*$B$3*$B$6*SIN(F1131)</f>
        <v/>
      </c>
      <c r="M1131" s="11">
        <f>$B$9*K1131*(SIN(F1131))^2 + $B$8*($B$10+K1131*COS(F1131))*COS(F1131)</f>
        <v/>
      </c>
      <c r="N1131" s="11">
        <f>0.5*$B$9*(J1131^2 + (K1131*SIN(F1131))^2) + 0.5*$B$8*($B$10 + K1131*COS(F1131))^2</f>
        <v/>
      </c>
      <c r="O1131" s="11">
        <f>$B$3*$B$6*$B$5*COS(F1131)</f>
        <v/>
      </c>
      <c r="P1131" s="11">
        <f>N1131+O1131</f>
        <v/>
      </c>
      <c r="Q1131" s="12">
        <f>ABS(P1131-$P$3)</f>
        <v/>
      </c>
    </row>
    <row r="1132">
      <c r="D1132" s="13" t="n">
        <v>1130</v>
      </c>
      <c r="E1132" s="14" t="n">
        <v>11.29807005003574</v>
      </c>
      <c r="F1132" s="15" t="n">
        <v>1.550090321760387</v>
      </c>
      <c r="G1132" s="16">
        <f>DEGREES(F1132)</f>
        <v/>
      </c>
      <c r="H1132" s="15" t="n">
        <v>12.34468354344108</v>
      </c>
      <c r="I1132" s="16">
        <f>DEGREES(H1132)</f>
        <v/>
      </c>
      <c r="J1132" s="17" t="n">
        <v>-0.5217897047441552</v>
      </c>
      <c r="K1132" s="17" t="n">
        <v>0.1035300251725459</v>
      </c>
      <c r="L1132" s="18">
        <f>$B$5*$B$3*$B$6*SIN(F1132)</f>
        <v/>
      </c>
      <c r="M1132" s="18">
        <f>$B$9*K1132*(SIN(F1132))^2 + $B$8*($B$10+K1132*COS(F1132))*COS(F1132)</f>
        <v/>
      </c>
      <c r="N1132" s="18">
        <f>0.5*$B$9*(J1132^2 + (K1132*SIN(F1132))^2) + 0.5*$B$8*($B$10 + K1132*COS(F1132))^2</f>
        <v/>
      </c>
      <c r="O1132" s="18">
        <f>$B$3*$B$6*$B$5*COS(F1132)</f>
        <v/>
      </c>
      <c r="P1132" s="18">
        <f>N1132+O1132</f>
        <v/>
      </c>
      <c r="Q1132" s="19">
        <f>ABS(P1132-$P$3)</f>
        <v/>
      </c>
    </row>
    <row r="1133">
      <c r="D1133" s="6" t="n">
        <v>1131</v>
      </c>
      <c r="E1133" s="7" t="n">
        <v>11.30807719799857</v>
      </c>
      <c r="F1133" s="8" t="n">
        <v>1.544558569632253</v>
      </c>
      <c r="G1133" s="9">
        <f>DEGREES(F1133)</f>
        <v/>
      </c>
      <c r="H1133" s="8" t="n">
        <v>12.34585540209014</v>
      </c>
      <c r="I1133" s="9">
        <f>DEGREES(H1133)</f>
        <v/>
      </c>
      <c r="J1133" s="10" t="n">
        <v>-0.5834811225223877</v>
      </c>
      <c r="K1133" s="10" t="n">
        <v>0.1311887858132176</v>
      </c>
      <c r="L1133" s="11">
        <f>$B$5*$B$3*$B$6*SIN(F1133)</f>
        <v/>
      </c>
      <c r="M1133" s="11">
        <f>$B$9*K1133*(SIN(F1133))^2 + $B$8*($B$10+K1133*COS(F1133))*COS(F1133)</f>
        <v/>
      </c>
      <c r="N1133" s="11">
        <f>0.5*$B$9*(J1133^2 + (K1133*SIN(F1133))^2) + 0.5*$B$8*($B$10 + K1133*COS(F1133))^2</f>
        <v/>
      </c>
      <c r="O1133" s="11">
        <f>$B$3*$B$6*$B$5*COS(F1133)</f>
        <v/>
      </c>
      <c r="P1133" s="11">
        <f>N1133+O1133</f>
        <v/>
      </c>
      <c r="Q1133" s="12">
        <f>ABS(P1133-$P$3)</f>
        <v/>
      </c>
    </row>
    <row r="1134">
      <c r="D1134" s="13" t="n">
        <v>1132</v>
      </c>
      <c r="E1134" s="14" t="n">
        <v>11.3180843459614</v>
      </c>
      <c r="F1134" s="15" t="n">
        <v>1.5384184693588</v>
      </c>
      <c r="G1134" s="16">
        <f>DEGREES(F1134)</f>
        <v/>
      </c>
      <c r="H1134" s="15" t="n">
        <v>12.34731934206791</v>
      </c>
      <c r="I1134" s="16">
        <f>DEGREES(H1134)</f>
        <v/>
      </c>
      <c r="J1134" s="17" t="n">
        <v>-0.6433406062069643</v>
      </c>
      <c r="K1134" s="17" t="n">
        <v>0.1618892871804838</v>
      </c>
      <c r="L1134" s="18">
        <f>$B$5*$B$3*$B$6*SIN(F1134)</f>
        <v/>
      </c>
      <c r="M1134" s="18">
        <f>$B$9*K1134*(SIN(F1134))^2 + $B$8*($B$10+K1134*COS(F1134))*COS(F1134)</f>
        <v/>
      </c>
      <c r="N1134" s="18">
        <f>0.5*$B$9*(J1134^2 + (K1134*SIN(F1134))^2) + 0.5*$B$8*($B$10 + K1134*COS(F1134))^2</f>
        <v/>
      </c>
      <c r="O1134" s="18">
        <f>$B$3*$B$6*$B$5*COS(F1134)</f>
        <v/>
      </c>
      <c r="P1134" s="18">
        <f>N1134+O1134</f>
        <v/>
      </c>
      <c r="Q1134" s="19">
        <f>ABS(P1134-$P$3)</f>
        <v/>
      </c>
    </row>
    <row r="1135">
      <c r="D1135" s="6" t="n">
        <v>1133</v>
      </c>
      <c r="E1135" s="7" t="n">
        <v>11.32809149392423</v>
      </c>
      <c r="F1135" s="8" t="n">
        <v>1.531689298785694</v>
      </c>
      <c r="G1135" s="9">
        <f>DEGREES(F1135)</f>
        <v/>
      </c>
      <c r="H1135" s="8" t="n">
        <v>12.34910532807566</v>
      </c>
      <c r="I1135" s="9">
        <f>DEGREES(H1135)</f>
        <v/>
      </c>
      <c r="J1135" s="10" t="n">
        <v>-0.70118021719155</v>
      </c>
      <c r="K1135" s="10" t="n">
        <v>0.1955351400460102</v>
      </c>
      <c r="L1135" s="11">
        <f>$B$5*$B$3*$B$6*SIN(F1135)</f>
        <v/>
      </c>
      <c r="M1135" s="11">
        <f>$B$9*K1135*(SIN(F1135))^2 + $B$8*($B$10+K1135*COS(F1135))*COS(F1135)</f>
        <v/>
      </c>
      <c r="N1135" s="11">
        <f>0.5*$B$9*(J1135^2 + (K1135*SIN(F1135))^2) + 0.5*$B$8*($B$10 + K1135*COS(F1135))^2</f>
        <v/>
      </c>
      <c r="O1135" s="11">
        <f>$B$3*$B$6*$B$5*COS(F1135)</f>
        <v/>
      </c>
      <c r="P1135" s="11">
        <f>N1135+O1135</f>
        <v/>
      </c>
      <c r="Q1135" s="12">
        <f>ABS(P1135-$P$3)</f>
        <v/>
      </c>
    </row>
    <row r="1136">
      <c r="D1136" s="13" t="n">
        <v>1134</v>
      </c>
      <c r="E1136" s="14" t="n">
        <v>11.33809864188706</v>
      </c>
      <c r="F1136" s="15" t="n">
        <v>1.524392185240827</v>
      </c>
      <c r="G1136" s="16">
        <f>DEGREES(F1136)</f>
        <v/>
      </c>
      <c r="H1136" s="15" t="n">
        <v>12.35124231369863</v>
      </c>
      <c r="I1136" s="16">
        <f>DEGREES(H1136)</f>
        <v/>
      </c>
      <c r="J1136" s="17" t="n">
        <v>-0.7568183585894189</v>
      </c>
      <c r="K1136" s="17" t="n">
        <v>0.2320207077703461</v>
      </c>
      <c r="L1136" s="18">
        <f>$B$5*$B$3*$B$6*SIN(F1136)</f>
        <v/>
      </c>
      <c r="M1136" s="18">
        <f>$B$9*K1136*(SIN(F1136))^2 + $B$8*($B$10+K1136*COS(F1136))*COS(F1136)</f>
        <v/>
      </c>
      <c r="N1136" s="18">
        <f>0.5*$B$9*(J1136^2 + (K1136*SIN(F1136))^2) + 0.5*$B$8*($B$10 + K1136*COS(F1136))^2</f>
        <v/>
      </c>
      <c r="O1136" s="18">
        <f>$B$3*$B$6*$B$5*COS(F1136)</f>
        <v/>
      </c>
      <c r="P1136" s="18">
        <f>N1136+O1136</f>
        <v/>
      </c>
      <c r="Q1136" s="19">
        <f>ABS(P1136-$P$3)</f>
        <v/>
      </c>
    </row>
    <row r="1137">
      <c r="D1137" s="6" t="n">
        <v>1135</v>
      </c>
      <c r="E1137" s="7" t="n">
        <v>11.34810578984989</v>
      </c>
      <c r="F1137" s="8" t="n">
        <v>1.51655003920163</v>
      </c>
      <c r="G1137" s="9">
        <f>DEGREES(F1137)</f>
        <v/>
      </c>
      <c r="H1137" s="8" t="n">
        <v>12.35375815050159</v>
      </c>
      <c r="I1137" s="9">
        <f>DEGREES(H1137)</f>
        <v/>
      </c>
      <c r="J1137" s="10" t="n">
        <v>-0.810080345386417</v>
      </c>
      <c r="K1137" s="10" t="n">
        <v>0.2712314379663304</v>
      </c>
      <c r="L1137" s="11">
        <f>$B$5*$B$3*$B$6*SIN(F1137)</f>
        <v/>
      </c>
      <c r="M1137" s="11">
        <f>$B$9*K1137*(SIN(F1137))^2 + $B$8*($B$10+K1137*COS(F1137))*COS(F1137)</f>
        <v/>
      </c>
      <c r="N1137" s="11">
        <f>0.5*$B$9*(J1137^2 + (K1137*SIN(F1137))^2) + 0.5*$B$8*($B$10 + K1137*COS(F1137))^2</f>
        <v/>
      </c>
      <c r="O1137" s="11">
        <f>$B$3*$B$6*$B$5*COS(F1137)</f>
        <v/>
      </c>
      <c r="P1137" s="11">
        <f>N1137+O1137</f>
        <v/>
      </c>
      <c r="Q1137" s="12">
        <f>ABS(P1137-$P$3)</f>
        <v/>
      </c>
    </row>
    <row r="1138">
      <c r="D1138" s="13" t="n">
        <v>1136</v>
      </c>
      <c r="E1138" s="14" t="n">
        <v>11.35811293781272</v>
      </c>
      <c r="F1138" s="15" t="n">
        <v>1.508187482363892</v>
      </c>
      <c r="G1138" s="16">
        <f>DEGREES(F1138)</f>
        <v/>
      </c>
      <c r="H1138" s="15" t="n">
        <v>12.35667950058425</v>
      </c>
      <c r="I1138" s="16">
        <f>DEGREES(H1138)</f>
        <v/>
      </c>
      <c r="J1138" s="17" t="n">
        <v>-0.8607989528931035</v>
      </c>
      <c r="K1138" s="17" t="n">
        <v>0.3130442221550243</v>
      </c>
      <c r="L1138" s="18">
        <f>$B$5*$B$3*$B$6*SIN(F1138)</f>
        <v/>
      </c>
      <c r="M1138" s="18">
        <f>$B$9*K1138*(SIN(F1138))^2 + $B$8*($B$10+K1138*COS(F1138))*COS(F1138)</f>
        <v/>
      </c>
      <c r="N1138" s="18">
        <f>0.5*$B$9*(J1138^2 + (K1138*SIN(F1138))^2) + 0.5*$B$8*($B$10 + K1138*COS(F1138))^2</f>
        <v/>
      </c>
      <c r="O1138" s="18">
        <f>$B$3*$B$6*$B$5*COS(F1138)</f>
        <v/>
      </c>
      <c r="P1138" s="18">
        <f>N1138+O1138</f>
        <v/>
      </c>
      <c r="Q1138" s="19">
        <f>ABS(P1138-$P$3)</f>
        <v/>
      </c>
    </row>
    <row r="1139">
      <c r="D1139" s="6" t="n">
        <v>1137</v>
      </c>
      <c r="E1139" s="7" t="n">
        <v>11.36812008577555</v>
      </c>
      <c r="F1139" s="8" t="n">
        <v>1.499330770337927</v>
      </c>
      <c r="G1139" s="9">
        <f>DEGREES(F1139)</f>
        <v/>
      </c>
      <c r="H1139" s="8" t="n">
        <v>12.3600317528713</v>
      </c>
      <c r="I1139" s="9">
        <f>DEGREES(H1139)</f>
        <v/>
      </c>
      <c r="J1139" s="10" t="n">
        <v>-0.9088149417739114</v>
      </c>
      <c r="K1139" s="10" t="n">
        <v>0.3573277822848459</v>
      </c>
      <c r="L1139" s="11">
        <f>$B$5*$B$3*$B$6*SIN(F1139)</f>
        <v/>
      </c>
      <c r="M1139" s="11">
        <f>$B$9*K1139*(SIN(F1139))^2 + $B$8*($B$10+K1139*COS(F1139))*COS(F1139)</f>
        <v/>
      </c>
      <c r="N1139" s="11">
        <f>0.5*$B$9*(J1139^2 + (K1139*SIN(F1139))^2) + 0.5*$B$8*($B$10 + K1139*COS(F1139))^2</f>
        <v/>
      </c>
      <c r="O1139" s="11">
        <f>$B$3*$B$6*$B$5*COS(F1139)</f>
        <v/>
      </c>
      <c r="P1139" s="11">
        <f>N1139+O1139</f>
        <v/>
      </c>
      <c r="Q1139" s="12">
        <f>ABS(P1139-$P$3)</f>
        <v/>
      </c>
    </row>
    <row r="1140">
      <c r="D1140" s="13" t="n">
        <v>1138</v>
      </c>
      <c r="E1140" s="14" t="n">
        <v>11.37812723373839</v>
      </c>
      <c r="F1140" s="15" t="n">
        <v>1.490007710214818</v>
      </c>
      <c r="G1140" s="16">
        <f>DEGREES(F1140)</f>
        <v/>
      </c>
      <c r="H1140" s="15" t="n">
        <v>12.3638389433997</v>
      </c>
      <c r="I1140" s="16">
        <f>DEGREES(H1140)</f>
        <v/>
      </c>
      <c r="J1140" s="17" t="n">
        <v>-0.9539775580049721</v>
      </c>
      <c r="K1140" s="17" t="n">
        <v>0.4039430829003913</v>
      </c>
      <c r="L1140" s="18">
        <f>$B$5*$B$3*$B$6*SIN(F1140)</f>
        <v/>
      </c>
      <c r="M1140" s="18">
        <f>$B$9*K1140*(SIN(F1140))^2 + $B$8*($B$10+K1140*COS(F1140))*COS(F1140)</f>
        <v/>
      </c>
      <c r="N1140" s="18">
        <f>0.5*$B$9*(J1140^2 + (K1140*SIN(F1140))^2) + 0.5*$B$8*($B$10 + K1140*COS(F1140))^2</f>
        <v/>
      </c>
      <c r="O1140" s="18">
        <f>$B$3*$B$6*$B$5*COS(F1140)</f>
        <v/>
      </c>
      <c r="P1140" s="18">
        <f>N1140+O1140</f>
        <v/>
      </c>
      <c r="Q1140" s="19">
        <f>ABS(P1140-$P$3)</f>
        <v/>
      </c>
    </row>
    <row r="1141">
      <c r="D1141" s="6" t="n">
        <v>1139</v>
      </c>
      <c r="E1141" s="7" t="n">
        <v>11.38813438170122</v>
      </c>
      <c r="F1141" s="8" t="n">
        <v>1.480247573261516</v>
      </c>
      <c r="G1141" s="9">
        <f>DEGREES(F1141)</f>
        <v/>
      </c>
      <c r="H1141" s="8" t="n">
        <v>12.36812367985365</v>
      </c>
      <c r="I1141" s="9">
        <f>DEGREES(H1141)</f>
        <v/>
      </c>
      <c r="J1141" s="10" t="n">
        <v>-0.9961450061909451</v>
      </c>
      <c r="K1141" s="10" t="n">
        <v>0.4527437676669012</v>
      </c>
      <c r="L1141" s="11">
        <f>$B$5*$B$3*$B$6*SIN(F1141)</f>
        <v/>
      </c>
      <c r="M1141" s="11">
        <f>$B$9*K1141*(SIN(F1141))^2 + $B$8*($B$10+K1141*COS(F1141))*COS(F1141)</f>
        <v/>
      </c>
      <c r="N1141" s="11">
        <f>0.5*$B$9*(J1141^2 + (K1141*SIN(F1141))^2) + 0.5*$B$8*($B$10 + K1141*COS(F1141))^2</f>
        <v/>
      </c>
      <c r="O1141" s="11">
        <f>$B$3*$B$6*$B$5*COS(F1141)</f>
        <v/>
      </c>
      <c r="P1141" s="11">
        <f>N1141+O1141</f>
        <v/>
      </c>
      <c r="Q1141" s="12">
        <f>ABS(P1141-$P$3)</f>
        <v/>
      </c>
    </row>
    <row r="1142">
      <c r="D1142" s="13" t="n">
        <v>1140</v>
      </c>
      <c r="E1142" s="14" t="n">
        <v>11.39814152966405</v>
      </c>
      <c r="F1142" s="15" t="n">
        <v>1.47008100301892</v>
      </c>
      <c r="G1142" s="16">
        <f>DEGREES(F1142)</f>
        <v/>
      </c>
      <c r="H1142" s="15" t="n">
        <v>12.37290707058408</v>
      </c>
      <c r="I1142" s="16">
        <f>DEGREES(H1142)</f>
        <v/>
      </c>
      <c r="J1142" s="17" t="n">
        <v>-1.035184894754824</v>
      </c>
      <c r="K1142" s="17" t="n">
        <v>0.5035766188798846</v>
      </c>
      <c r="L1142" s="18">
        <f>$B$5*$B$3*$B$6*SIN(F1142)</f>
        <v/>
      </c>
      <c r="M1142" s="18">
        <f>$B$9*K1142*(SIN(F1142))^2 + $B$8*($B$10+K1142*COS(F1142))*COS(F1142)</f>
        <v/>
      </c>
      <c r="N1142" s="18">
        <f>0.5*$B$9*(J1142^2 + (K1142*SIN(F1142))^2) + 0.5*$B$8*($B$10 + K1142*COS(F1142))^2</f>
        <v/>
      </c>
      <c r="O1142" s="18">
        <f>$B$3*$B$6*$B$5*COS(F1142)</f>
        <v/>
      </c>
      <c r="P1142" s="18">
        <f>N1142+O1142</f>
        <v/>
      </c>
      <c r="Q1142" s="19">
        <f>ABS(P1142-$P$3)</f>
        <v/>
      </c>
    </row>
    <row r="1143">
      <c r="D1143" s="6" t="n">
        <v>1141</v>
      </c>
      <c r="E1143" s="7" t="n">
        <v>11.40814867762688</v>
      </c>
      <c r="F1143" s="8" t="n">
        <v>1.459539919091492</v>
      </c>
      <c r="G1143" s="9">
        <f>DEGREES(F1143)</f>
        <v/>
      </c>
      <c r="H1143" s="8" t="n">
        <v>12.37820865833555</v>
      </c>
      <c r="I1143" s="9">
        <f>DEGREES(H1143)</f>
        <v/>
      </c>
      <c r="J1143" s="10" t="n">
        <v>-1.070974651602821</v>
      </c>
      <c r="K1143" s="10" t="n">
        <v>0.5562820385170244</v>
      </c>
      <c r="L1143" s="11">
        <f>$B$5*$B$3*$B$6*SIN(F1143)</f>
        <v/>
      </c>
      <c r="M1143" s="11">
        <f>$B$9*K1143*(SIN(F1143))^2 + $B$8*($B$10+K1143*COS(F1143))*COS(F1143)</f>
        <v/>
      </c>
      <c r="N1143" s="11">
        <f>0.5*$B$9*(J1143^2 + (K1143*SIN(F1143))^2) + 0.5*$B$8*($B$10 + K1143*COS(F1143))^2</f>
        <v/>
      </c>
      <c r="O1143" s="11">
        <f>$B$3*$B$6*$B$5*COS(F1143)</f>
        <v/>
      </c>
      <c r="P1143" s="11">
        <f>N1143+O1143</f>
        <v/>
      </c>
      <c r="Q1143" s="12">
        <f>ABS(P1143-$P$3)</f>
        <v/>
      </c>
    </row>
    <row r="1144">
      <c r="D1144" s="13" t="n">
        <v>1142</v>
      </c>
      <c r="E1144" s="14" t="n">
        <v>11.41815582558971</v>
      </c>
      <c r="F1144" s="15" t="n">
        <v>1.448657416930461</v>
      </c>
      <c r="G1144" s="16">
        <f>DEGREES(F1144)</f>
        <v/>
      </c>
      <c r="H1144" s="15" t="n">
        <v>12.38404635888856</v>
      </c>
      <c r="I1144" s="16">
        <f>DEGREES(H1144)</f>
        <v/>
      </c>
      <c r="J1144" s="17" t="n">
        <v>-1.103401908959442</v>
      </c>
      <c r="K1144" s="17" t="n">
        <v>0.6106945493221794</v>
      </c>
      <c r="L1144" s="18">
        <f>$B$5*$B$3*$B$6*SIN(F1144)</f>
        <v/>
      </c>
      <c r="M1144" s="18">
        <f>$B$9*K1144*(SIN(F1144))^2 + $B$8*($B$10+K1144*COS(F1144))*COS(F1144)</f>
        <v/>
      </c>
      <c r="N1144" s="18">
        <f>0.5*$B$9*(J1144^2 + (K1144*SIN(F1144))^2) + 0.5*$B$8*($B$10 + K1144*COS(F1144))^2</f>
        <v/>
      </c>
      <c r="O1144" s="18">
        <f>$B$3*$B$6*$B$5*COS(F1144)</f>
        <v/>
      </c>
      <c r="P1144" s="18">
        <f>N1144+O1144</f>
        <v/>
      </c>
      <c r="Q1144" s="19">
        <f>ABS(P1144-$P$3)</f>
        <v/>
      </c>
    </row>
    <row r="1145">
      <c r="D1145" s="6" t="n">
        <v>1143</v>
      </c>
      <c r="E1145" s="7" t="n">
        <v>11.42816297355254</v>
      </c>
      <c r="F1145" s="8" t="n">
        <v>1.437467663925243</v>
      </c>
      <c r="G1145" s="9">
        <f>DEGREES(F1145)</f>
        <v/>
      </c>
      <c r="H1145" s="8" t="n">
        <v>12.39043640481014</v>
      </c>
      <c r="I1145" s="9">
        <f>DEGREES(H1145)</f>
        <v/>
      </c>
      <c r="J1145" s="10" t="n">
        <v>-1.132364856164471</v>
      </c>
      <c r="K1145" s="10" t="n">
        <v>0.6666433143482652</v>
      </c>
      <c r="L1145" s="11">
        <f>$B$5*$B$3*$B$6*SIN(F1145)</f>
        <v/>
      </c>
      <c r="M1145" s="11">
        <f>$B$9*K1145*(SIN(F1145))^2 + $B$8*($B$10+K1145*COS(F1145))*COS(F1145)</f>
        <v/>
      </c>
      <c r="N1145" s="11">
        <f>0.5*$B$9*(J1145^2 + (K1145*SIN(F1145))^2) + 0.5*$B$8*($B$10 + K1145*COS(F1145))^2</f>
        <v/>
      </c>
      <c r="O1145" s="11">
        <f>$B$3*$B$6*$B$5*COS(F1145)</f>
        <v/>
      </c>
      <c r="P1145" s="11">
        <f>N1145+O1145</f>
        <v/>
      </c>
      <c r="Q1145" s="12">
        <f>ABS(P1145-$P$3)</f>
        <v/>
      </c>
    </row>
    <row r="1146">
      <c r="D1146" s="13" t="n">
        <v>1144</v>
      </c>
      <c r="E1146" s="14" t="n">
        <v>11.43817012151537</v>
      </c>
      <c r="F1146" s="15" t="n">
        <v>1.426005792129369</v>
      </c>
      <c r="G1146" s="16">
        <f>DEGREES(F1146)</f>
        <v/>
      </c>
      <c r="H1146" s="15" t="n">
        <v>12.39739329448896</v>
      </c>
      <c r="I1146" s="16">
        <f>DEGREES(H1146)</f>
        <v/>
      </c>
      <c r="J1146" s="17" t="n">
        <v>-1.157772559324094</v>
      </c>
      <c r="K1146" s="17" t="n">
        <v>0.7239526733276362</v>
      </c>
      <c r="L1146" s="18">
        <f>$B$5*$B$3*$B$6*SIN(F1146)</f>
        <v/>
      </c>
      <c r="M1146" s="18">
        <f>$B$9*K1146*(SIN(F1146))^2 + $B$8*($B$10+K1146*COS(F1146))*COS(F1146)</f>
        <v/>
      </c>
      <c r="N1146" s="18">
        <f>0.5*$B$9*(J1146^2 + (K1146*SIN(F1146))^2) + 0.5*$B$8*($B$10 + K1146*COS(F1146))^2</f>
        <v/>
      </c>
      <c r="O1146" s="18">
        <f>$B$3*$B$6*$B$5*COS(F1146)</f>
        <v/>
      </c>
      <c r="P1146" s="18">
        <f>N1146+O1146</f>
        <v/>
      </c>
      <c r="Q1146" s="19">
        <f>ABS(P1146-$P$3)</f>
        <v/>
      </c>
    </row>
    <row r="1147">
      <c r="D1147" s="6" t="n">
        <v>1145</v>
      </c>
      <c r="E1147" s="7" t="n">
        <v>11.4481772694782</v>
      </c>
      <c r="F1147" s="8" t="n">
        <v>1.414307787957673</v>
      </c>
      <c r="G1147" s="9">
        <f>DEGREES(F1147)</f>
        <v/>
      </c>
      <c r="H1147" s="8" t="n">
        <v>12.40492974661532</v>
      </c>
      <c r="I1147" s="9">
        <f>DEGREES(H1147)</f>
        <v/>
      </c>
      <c r="J1147" s="10" t="n">
        <v>-1.179545246812683</v>
      </c>
      <c r="K1147" s="10" t="n">
        <v>0.7824426941861189</v>
      </c>
      <c r="L1147" s="11">
        <f>$B$5*$B$3*$B$6*SIN(F1147)</f>
        <v/>
      </c>
      <c r="M1147" s="11">
        <f>$B$9*K1147*(SIN(F1147))^2 + $B$8*($B$10+K1147*COS(F1147))*COS(F1147)</f>
        <v/>
      </c>
      <c r="N1147" s="11">
        <f>0.5*$B$9*(J1147^2 + (K1147*SIN(F1147))^2) + 0.5*$B$8*($B$10 + K1147*COS(F1147))^2</f>
        <v/>
      </c>
      <c r="O1147" s="11">
        <f>$B$3*$B$6*$B$5*COS(F1147)</f>
        <v/>
      </c>
      <c r="P1147" s="11">
        <f>N1147+O1147</f>
        <v/>
      </c>
      <c r="Q1147" s="12">
        <f>ABS(P1147-$P$3)</f>
        <v/>
      </c>
    </row>
    <row r="1148">
      <c r="D1148" s="13" t="n">
        <v>1146</v>
      </c>
      <c r="E1148" s="14" t="n">
        <v>11.45818441744103</v>
      </c>
      <c r="F1148" s="15" t="n">
        <v>1.40241037920106</v>
      </c>
      <c r="G1148" s="16">
        <f>DEGREES(F1148)</f>
        <v/>
      </c>
      <c r="H1148" s="15" t="n">
        <v>12.41305666024877</v>
      </c>
      <c r="I1148" s="16">
        <f>DEGREES(H1148)</f>
        <v/>
      </c>
      <c r="J1148" s="17" t="n">
        <v>-1.197614559728858</v>
      </c>
      <c r="K1148" s="17" t="n">
        <v>0.8419297379691841</v>
      </c>
      <c r="L1148" s="18">
        <f>$B$5*$B$3*$B$6*SIN(F1148)</f>
        <v/>
      </c>
      <c r="M1148" s="18">
        <f>$B$9*K1148*(SIN(F1148))^2 + $B$8*($B$10+K1148*COS(F1148))*COS(F1148)</f>
        <v/>
      </c>
      <c r="N1148" s="18">
        <f>0.5*$B$9*(J1148^2 + (K1148*SIN(F1148))^2) + 0.5*$B$8*($B$10 + K1148*COS(F1148))^2</f>
        <v/>
      </c>
      <c r="O1148" s="18">
        <f>$B$3*$B$6*$B$5*COS(F1148)</f>
        <v/>
      </c>
      <c r="P1148" s="18">
        <f>N1148+O1148</f>
        <v/>
      </c>
      <c r="Q1148" s="19">
        <f>ABS(P1148-$P$3)</f>
        <v/>
      </c>
    </row>
    <row r="1149">
      <c r="D1149" s="6" t="n">
        <v>1147</v>
      </c>
      <c r="E1149" s="7" t="n">
        <v>11.46819156540386</v>
      </c>
      <c r="F1149" s="8" t="n">
        <v>1.390350919713641</v>
      </c>
      <c r="G1149" s="9">
        <f>DEGREES(F1149)</f>
        <v/>
      </c>
      <c r="H1149" s="8" t="n">
        <v>12.42178308059869</v>
      </c>
      <c r="I1149" s="9">
        <f>DEGREES(H1149)</f>
        <v/>
      </c>
      <c r="J1149" s="10" t="n">
        <v>-1.211923766519353</v>
      </c>
      <c r="K1149" s="10" t="n">
        <v>0.9022270354062769</v>
      </c>
      <c r="L1149" s="11">
        <f>$B$5*$B$3*$B$6*SIN(F1149)</f>
        <v/>
      </c>
      <c r="M1149" s="11">
        <f>$B$9*K1149*(SIN(F1149))^2 + $B$8*($B$10+K1149*COS(F1149))*COS(F1149)</f>
        <v/>
      </c>
      <c r="N1149" s="11">
        <f>0.5*$B$9*(J1149^2 + (K1149*SIN(F1149))^2) + 0.5*$B$8*($B$10 + K1149*COS(F1149))^2</f>
        <v/>
      </c>
      <c r="O1149" s="11">
        <f>$B$3*$B$6*$B$5*COS(F1149)</f>
        <v/>
      </c>
      <c r="P1149" s="11">
        <f>N1149+O1149</f>
        <v/>
      </c>
      <c r="Q1149" s="12">
        <f>ABS(P1149-$P$3)</f>
        <v/>
      </c>
    </row>
    <row r="1150">
      <c r="D1150" s="13" t="n">
        <v>1148</v>
      </c>
      <c r="E1150" s="14" t="n">
        <v>11.47819871336669</v>
      </c>
      <c r="F1150" s="15" t="n">
        <v>1.378167272134222</v>
      </c>
      <c r="G1150" s="16">
        <f>DEGREES(F1150)</f>
        <v/>
      </c>
      <c r="H1150" s="15" t="n">
        <v>12.4311161706254</v>
      </c>
      <c r="I1150" s="16">
        <f>DEGREES(H1150)</f>
        <v/>
      </c>
      <c r="J1150" s="17" t="n">
        <v>-1.22242794109699</v>
      </c>
      <c r="K1150" s="17" t="n">
        <v>0.9631452733033746</v>
      </c>
      <c r="L1150" s="18">
        <f>$B$5*$B$3*$B$6*SIN(F1150)</f>
        <v/>
      </c>
      <c r="M1150" s="18">
        <f>$B$9*K1150*(SIN(F1150))^2 + $B$8*($B$10+K1150*COS(F1150))*COS(F1150)</f>
        <v/>
      </c>
      <c r="N1150" s="18">
        <f>0.5*$B$9*(J1150^2 + (K1150*SIN(F1150))^2) + 0.5*$B$8*($B$10 + K1150*COS(F1150))^2</f>
        <v/>
      </c>
      <c r="O1150" s="18">
        <f>$B$3*$B$6*$B$5*COS(F1150)</f>
        <v/>
      </c>
      <c r="P1150" s="18">
        <f>N1150+O1150</f>
        <v/>
      </c>
      <c r="Q1150" s="19">
        <f>ABS(P1150-$P$3)</f>
        <v/>
      </c>
    </row>
    <row r="1151">
      <c r="D1151" s="6" t="n">
        <v>1149</v>
      </c>
      <c r="E1151" s="7" t="n">
        <v>11.48820586132952</v>
      </c>
      <c r="F1151" s="8" t="n">
        <v>1.365897689010345</v>
      </c>
      <c r="G1151" s="9">
        <f>DEGREES(F1151)</f>
        <v/>
      </c>
      <c r="H1151" s="8" t="n">
        <v>12.44106118855089</v>
      </c>
      <c r="I1151" s="9">
        <f>DEGREES(H1151)</f>
        <v/>
      </c>
      <c r="J1151" s="10" t="n">
        <v>-1.229094103893472</v>
      </c>
      <c r="K1151" s="10" t="n">
        <v>1.024493188922757</v>
      </c>
      <c r="L1151" s="11">
        <f>$B$5*$B$3*$B$6*SIN(F1151)</f>
        <v/>
      </c>
      <c r="M1151" s="11">
        <f>$B$9*K1151*(SIN(F1151))^2 + $B$8*($B$10+K1151*COS(F1151))*COS(F1151)</f>
        <v/>
      </c>
      <c r="N1151" s="11">
        <f>0.5*$B$9*(J1151^2 + (K1151*SIN(F1151))^2) + 0.5*$B$8*($B$10 + K1151*COS(F1151))^2</f>
        <v/>
      </c>
      <c r="O1151" s="11">
        <f>$B$3*$B$6*$B$5*COS(F1151)</f>
        <v/>
      </c>
      <c r="P1151" s="11">
        <f>N1151+O1151</f>
        <v/>
      </c>
      <c r="Q1151" s="12">
        <f>ABS(P1151-$P$3)</f>
        <v/>
      </c>
    </row>
    <row r="1152">
      <c r="D1152" s="13" t="n">
        <v>1150</v>
      </c>
      <c r="E1152" s="14" t="n">
        <v>11.49821300929235</v>
      </c>
      <c r="F1152" s="15" t="n">
        <v>1.353580692698215</v>
      </c>
      <c r="G1152" s="16">
        <f>DEGREES(F1152)</f>
        <v/>
      </c>
      <c r="H1152" s="15" t="n">
        <v>12.45162147134976</v>
      </c>
      <c r="I1152" s="16">
        <f>DEGREES(H1152)</f>
        <v/>
      </c>
      <c r="J1152" s="17" t="n">
        <v>-1.231901325404091</v>
      </c>
      <c r="K1152" s="17" t="n">
        <v>1.086078170483409</v>
      </c>
      <c r="L1152" s="18">
        <f>$B$5*$B$3*$B$6*SIN(F1152)</f>
        <v/>
      </c>
      <c r="M1152" s="18">
        <f>$B$9*K1152*(SIN(F1152))^2 + $B$8*($B$10+K1152*COS(F1152))*COS(F1152)</f>
        <v/>
      </c>
      <c r="N1152" s="18">
        <f>0.5*$B$9*(J1152^2 + (K1152*SIN(F1152))^2) + 0.5*$B$8*($B$10 + K1152*COS(F1152))^2</f>
        <v/>
      </c>
      <c r="O1152" s="18">
        <f>$B$3*$B$6*$B$5*COS(F1152)</f>
        <v/>
      </c>
      <c r="P1152" s="18">
        <f>N1152+O1152</f>
        <v/>
      </c>
      <c r="Q1152" s="19">
        <f>ABS(P1152-$P$3)</f>
        <v/>
      </c>
    </row>
    <row r="1153">
      <c r="D1153" s="6" t="n">
        <v>1151</v>
      </c>
      <c r="E1153" s="7" t="n">
        <v>11.50822015725518</v>
      </c>
      <c r="F1153" s="8" t="n">
        <v>1.341254954415475</v>
      </c>
      <c r="G1153" s="9">
        <f>DEGREES(F1153)</f>
        <v/>
      </c>
      <c r="H1153" s="8" t="n">
        <v>12.46279842427226</v>
      </c>
      <c r="I1153" s="9">
        <f>DEGREES(H1153)</f>
        <v/>
      </c>
      <c r="J1153" s="10" t="n">
        <v>-1.230840791899324</v>
      </c>
      <c r="K1153" s="10" t="n">
        <v>1.147706861897105</v>
      </c>
      <c r="L1153" s="11">
        <f>$B$5*$B$3*$B$6*SIN(F1153)</f>
        <v/>
      </c>
      <c r="M1153" s="11">
        <f>$B$9*K1153*(SIN(F1153))^2 + $B$8*($B$10+K1153*COS(F1153))*COS(F1153)</f>
        <v/>
      </c>
      <c r="N1153" s="11">
        <f>0.5*$B$9*(J1153^2 + (K1153*SIN(F1153))^2) + 0.5*$B$8*($B$10 + K1153*COS(F1153))^2</f>
        <v/>
      </c>
      <c r="O1153" s="11">
        <f>$B$3*$B$6*$B$5*COS(F1153)</f>
        <v/>
      </c>
      <c r="P1153" s="11">
        <f>N1153+O1153</f>
        <v/>
      </c>
      <c r="Q1153" s="12">
        <f>ABS(P1153-$P$3)</f>
        <v/>
      </c>
    </row>
    <row r="1154">
      <c r="D1154" s="13" t="n">
        <v>1152</v>
      </c>
      <c r="E1154" s="14" t="n">
        <v>11.51822730521801</v>
      </c>
      <c r="F1154" s="15" t="n">
        <v>1.328959172826596</v>
      </c>
      <c r="G1154" s="16">
        <f>DEGREES(F1154)</f>
        <v/>
      </c>
      <c r="H1154" s="15" t="n">
        <v>12.47459151643226</v>
      </c>
      <c r="I1154" s="16">
        <f>DEGREES(H1154)</f>
        <v/>
      </c>
      <c r="J1154" s="17" t="n">
        <v>-1.225915833096983</v>
      </c>
      <c r="K1154" s="17" t="n">
        <v>1.209185769841503</v>
      </c>
      <c r="L1154" s="18">
        <f>$B$5*$B$3*$B$6*SIN(F1154)</f>
        <v/>
      </c>
      <c r="M1154" s="18">
        <f>$B$9*K1154*(SIN(F1154))^2 + $B$8*($B$10+K1154*COS(F1154))*COS(F1154)</f>
        <v/>
      </c>
      <c r="N1154" s="18">
        <f>0.5*$B$9*(J1154^2 + (K1154*SIN(F1154))^2) + 0.5*$B$8*($B$10 + K1154*COS(F1154))^2</f>
        <v/>
      </c>
      <c r="O1154" s="18">
        <f>$B$3*$B$6*$B$5*COS(F1154)</f>
        <v/>
      </c>
      <c r="P1154" s="18">
        <f>N1154+O1154</f>
        <v/>
      </c>
      <c r="Q1154" s="19">
        <f>ABS(P1154-$P$3)</f>
        <v/>
      </c>
    </row>
    <row r="1155">
      <c r="D1155" s="6" t="n">
        <v>1153</v>
      </c>
      <c r="E1155" s="7" t="n">
        <v>11.52823445318084</v>
      </c>
      <c r="F1155" s="8" t="n">
        <v>1.316731952542133</v>
      </c>
      <c r="G1155" s="9">
        <f>DEGREES(F1155)</f>
        <v/>
      </c>
      <c r="H1155" s="8" t="n">
        <v>12.48699828247405</v>
      </c>
      <c r="I1155" s="9">
        <f>DEGREES(H1155)</f>
        <v/>
      </c>
      <c r="J1155" s="10" t="n">
        <v>-1.217141911708012</v>
      </c>
      <c r="K1155" s="10" t="n">
        <v>1.270321871263817</v>
      </c>
      <c r="L1155" s="11">
        <f>$B$5*$B$3*$B$6*SIN(F1155)</f>
        <v/>
      </c>
      <c r="M1155" s="11">
        <f>$B$9*K1155*(SIN(F1155))^2 + $B$8*($B$10+K1155*COS(F1155))*COS(F1155)</f>
        <v/>
      </c>
      <c r="N1155" s="11">
        <f>0.5*$B$9*(J1155^2 + (K1155*SIN(F1155))^2) + 0.5*$B$8*($B$10 + K1155*COS(F1155))^2</f>
        <v/>
      </c>
      <c r="O1155" s="11">
        <f>$B$3*$B$6*$B$5*COS(F1155)</f>
        <v/>
      </c>
      <c r="P1155" s="11">
        <f>N1155+O1155</f>
        <v/>
      </c>
      <c r="Q1155" s="12">
        <f>ABS(P1155-$P$3)</f>
        <v/>
      </c>
    </row>
    <row r="1156">
      <c r="D1156" s="13" t="n">
        <v>1154</v>
      </c>
      <c r="E1156" s="14" t="n">
        <v>11.53824160114367</v>
      </c>
      <c r="F1156" s="15" t="n">
        <v>1.304611682913251</v>
      </c>
      <c r="G1156" s="16">
        <f>DEGREES(F1156)</f>
        <v/>
      </c>
      <c r="H1156" s="15" t="n">
        <v>12.50001433031276</v>
      </c>
      <c r="I1156" s="16">
        <f>DEGREES(H1156)</f>
        <v/>
      </c>
      <c r="J1156" s="17" t="n">
        <v>-1.204546574888792</v>
      </c>
      <c r="K1156" s="17" t="n">
        <v>1.33092321940823</v>
      </c>
      <c r="L1156" s="18">
        <f>$B$5*$B$3*$B$6*SIN(F1156)</f>
        <v/>
      </c>
      <c r="M1156" s="18">
        <f>$B$9*K1156*(SIN(F1156))^2 + $B$8*($B$10+K1156*COS(F1156))*COS(F1156)</f>
        <v/>
      </c>
      <c r="N1156" s="18">
        <f>0.5*$B$9*(J1156^2 + (K1156*SIN(F1156))^2) + 0.5*$B$8*($B$10 + K1156*COS(F1156))^2</f>
        <v/>
      </c>
      <c r="O1156" s="18">
        <f>$B$3*$B$6*$B$5*COS(F1156)</f>
        <v/>
      </c>
      <c r="P1156" s="18">
        <f>N1156+O1156</f>
        <v/>
      </c>
      <c r="Q1156" s="19">
        <f>ABS(P1156-$P$3)</f>
        <v/>
      </c>
    </row>
    <row r="1157">
      <c r="D1157" s="6" t="n">
        <v>1155</v>
      </c>
      <c r="E1157" s="7" t="n">
        <v>11.54824874910651</v>
      </c>
      <c r="F1157" s="8" t="n">
        <v>1.292636417502095</v>
      </c>
      <c r="G1157" s="9">
        <f>DEGREES(F1157)</f>
        <v/>
      </c>
      <c r="H1157" s="8" t="n">
        <v>12.51363335492399</v>
      </c>
      <c r="I1157" s="9">
        <f>DEGREES(H1157)</f>
        <v/>
      </c>
      <c r="J1157" s="10" t="n">
        <v>-1.188169367752352</v>
      </c>
      <c r="K1157" s="10" t="n">
        <v>1.390799546464008</v>
      </c>
      <c r="L1157" s="11">
        <f>$B$5*$B$3*$B$6*SIN(F1157)</f>
        <v/>
      </c>
      <c r="M1157" s="11">
        <f>$B$9*K1157*(SIN(F1157))^2 + $B$8*($B$10+K1157*COS(F1157))*COS(F1157)</f>
        <v/>
      </c>
      <c r="N1157" s="11">
        <f>0.5*$B$9*(J1157^2 + (K1157*SIN(F1157))^2) + 0.5*$B$8*($B$10 + K1157*COS(F1157))^2</f>
        <v/>
      </c>
      <c r="O1157" s="11">
        <f>$B$3*$B$6*$B$5*COS(F1157)</f>
        <v/>
      </c>
      <c r="P1157" s="11">
        <f>N1157+O1157</f>
        <v/>
      </c>
      <c r="Q1157" s="12">
        <f>ABS(P1157-$P$3)</f>
        <v/>
      </c>
    </row>
    <row r="1158">
      <c r="D1158" s="13" t="n">
        <v>1156</v>
      </c>
      <c r="E1158" s="14" t="n">
        <v>11.55825589706934</v>
      </c>
      <c r="F1158" s="15" t="n">
        <v>1.280843754606435</v>
      </c>
      <c r="G1158" s="16">
        <f>DEGREES(F1158)</f>
        <v/>
      </c>
      <c r="H1158" s="15" t="n">
        <v>12.52784715813946</v>
      </c>
      <c r="I1158" s="16">
        <f>DEGREES(H1158)</f>
        <v/>
      </c>
      <c r="J1158" s="17" t="n">
        <v>-1.16806170921004</v>
      </c>
      <c r="K1158" s="17" t="n">
        <v>1.449762860942307</v>
      </c>
      <c r="L1158" s="18">
        <f>$B$5*$B$3*$B$6*SIN(F1158)</f>
        <v/>
      </c>
      <c r="M1158" s="18">
        <f>$B$9*K1158*(SIN(F1158))^2 + $B$8*($B$10+K1158*COS(F1158))*COS(F1158)</f>
        <v/>
      </c>
      <c r="N1158" s="18">
        <f>0.5*$B$9*(J1158^2 + (K1158*SIN(F1158))^2) + 0.5*$B$8*($B$10 + K1158*COS(F1158))^2</f>
        <v/>
      </c>
      <c r="O1158" s="18">
        <f>$B$3*$B$6*$B$5*COS(F1158)</f>
        <v/>
      </c>
      <c r="P1158" s="18">
        <f>N1158+O1158</f>
        <v/>
      </c>
      <c r="Q1158" s="19">
        <f>ABS(P1158-$P$3)</f>
        <v/>
      </c>
    </row>
    <row r="1159">
      <c r="D1159" s="6" t="n">
        <v>1157</v>
      </c>
      <c r="E1159" s="7" t="n">
        <v>11.56826304503217</v>
      </c>
      <c r="F1159" s="8" t="n">
        <v>1.269270719213678</v>
      </c>
      <c r="G1159" s="9">
        <f>DEGREES(F1159)</f>
        <v/>
      </c>
      <c r="H1159" s="8" t="n">
        <v>12.54264567438655</v>
      </c>
      <c r="I1159" s="9">
        <f>DEGREES(H1159)</f>
        <v/>
      </c>
      <c r="J1159" s="10" t="n">
        <v>-1.144286730533468</v>
      </c>
      <c r="K1159" s="10" t="n">
        <v>1.507628037906093</v>
      </c>
      <c r="L1159" s="11">
        <f>$B$5*$B$3*$B$6*SIN(F1159)</f>
        <v/>
      </c>
      <c r="M1159" s="11">
        <f>$B$9*K1159*(SIN(F1159))^2 + $B$8*($B$10+K1159*COS(F1159))*COS(F1159)</f>
        <v/>
      </c>
      <c r="N1159" s="11">
        <f>0.5*$B$9*(J1159^2 + (K1159*SIN(F1159))^2) + 0.5*$B$8*($B$10 + K1159*COS(F1159))^2</f>
        <v/>
      </c>
      <c r="O1159" s="11">
        <f>$B$3*$B$6*$B$5*COS(F1159)</f>
        <v/>
      </c>
      <c r="P1159" s="11">
        <f>N1159+O1159</f>
        <v/>
      </c>
      <c r="Q1159" s="12">
        <f>ABS(P1159-$P$3)</f>
        <v/>
      </c>
    </row>
    <row r="1160">
      <c r="D1160" s="13" t="n">
        <v>1158</v>
      </c>
      <c r="E1160" s="14" t="n">
        <v>11.578270192995</v>
      </c>
      <c r="F1160" s="15" t="n">
        <v>1.257953646754885</v>
      </c>
      <c r="G1160" s="16">
        <f>DEGREES(F1160)</f>
        <v/>
      </c>
      <c r="H1160" s="15" t="n">
        <v>12.55801700229074</v>
      </c>
      <c r="I1160" s="16">
        <f>DEGREES(H1160)</f>
        <v/>
      </c>
      <c r="J1160" s="17" t="n">
        <v>-1.116919077143597</v>
      </c>
      <c r="K1160" s="17" t="n">
        <v>1.564213400200059</v>
      </c>
      <c r="L1160" s="18">
        <f>$B$5*$B$3*$B$6*SIN(F1160)</f>
        <v/>
      </c>
      <c r="M1160" s="18">
        <f>$B$9*K1160*(SIN(F1160))^2 + $B$8*($B$10+K1160*COS(F1160))*COS(F1160)</f>
        <v/>
      </c>
      <c r="N1160" s="18">
        <f>0.5*$B$9*(J1160^2 + (K1160*SIN(F1160))^2) + 0.5*$B$8*($B$10 + K1160*COS(F1160))^2</f>
        <v/>
      </c>
      <c r="O1160" s="18">
        <f>$B$3*$B$6*$B$5*COS(F1160)</f>
        <v/>
      </c>
      <c r="P1160" s="18">
        <f>N1160+O1160</f>
        <v/>
      </c>
      <c r="Q1160" s="19">
        <f>ABS(P1160-$P$3)</f>
        <v/>
      </c>
    </row>
    <row r="1161">
      <c r="D1161" s="6" t="n">
        <v>1159</v>
      </c>
      <c r="E1161" s="7" t="n">
        <v>11.58827734095783</v>
      </c>
      <c r="F1161" s="8" t="n">
        <v>1.246928069023763</v>
      </c>
      <c r="G1161" s="9">
        <f>DEGREES(F1161)</f>
        <v/>
      </c>
      <c r="H1161" s="8" t="n">
        <v>12.57394744204193</v>
      </c>
      <c r="I1161" s="9">
        <f>DEGREES(H1161)</f>
        <v/>
      </c>
      <c r="J1161" s="10" t="n">
        <v>-1.086044674249269</v>
      </c>
      <c r="K1161" s="10" t="n">
        <v>1.619341288855668</v>
      </c>
      <c r="L1161" s="11">
        <f>$B$5*$B$3*$B$6*SIN(F1161)</f>
        <v/>
      </c>
      <c r="M1161" s="11">
        <f>$B$9*K1161*(SIN(F1161))^2 + $B$8*($B$10+K1161*COS(F1161))*COS(F1161)</f>
        <v/>
      </c>
      <c r="N1161" s="11">
        <f>0.5*$B$9*(J1161^2 + (K1161*SIN(F1161))^2) + 0.5*$B$8*($B$10 + K1161*COS(F1161))^2</f>
        <v/>
      </c>
      <c r="O1161" s="11">
        <f>$B$3*$B$6*$B$5*COS(F1161)</f>
        <v/>
      </c>
      <c r="P1161" s="11">
        <f>N1161+O1161</f>
        <v/>
      </c>
      <c r="Q1161" s="12">
        <f>ABS(P1161-$P$3)</f>
        <v/>
      </c>
    </row>
    <row r="1162">
      <c r="D1162" s="13" t="n">
        <v>1160</v>
      </c>
      <c r="E1162" s="14" t="n">
        <v>11.59828448892066</v>
      </c>
      <c r="F1162" s="15" t="n">
        <v>1.236228602618807</v>
      </c>
      <c r="G1162" s="16">
        <f>DEGREES(F1162)</f>
        <v/>
      </c>
      <c r="H1162" s="15" t="n">
        <v>12.59042153840727</v>
      </c>
      <c r="I1162" s="16">
        <f>DEGREES(H1162)</f>
        <v/>
      </c>
      <c r="J1162" s="17" t="n">
        <v>-1.051760457071009</v>
      </c>
      <c r="K1162" s="17" t="n">
        <v>1.672838620880447</v>
      </c>
      <c r="L1162" s="18">
        <f>$B$5*$B$3*$B$6*SIN(F1162)</f>
        <v/>
      </c>
      <c r="M1162" s="18">
        <f>$B$9*K1162*(SIN(F1162))^2 + $B$8*($B$10+K1162*COS(F1162))*COS(F1162)</f>
        <v/>
      </c>
      <c r="N1162" s="18">
        <f>0.5*$B$9*(J1162^2 + (K1162*SIN(F1162))^2) + 0.5*$B$8*($B$10 + K1162*COS(F1162))^2</f>
        <v/>
      </c>
      <c r="O1162" s="18">
        <f>$B$3*$B$6*$B$5*COS(F1162)</f>
        <v/>
      </c>
      <c r="P1162" s="18">
        <f>N1162+O1162</f>
        <v/>
      </c>
      <c r="Q1162" s="19">
        <f>ABS(P1162-$P$3)</f>
        <v/>
      </c>
    </row>
    <row r="1163">
      <c r="D1163" s="6" t="n">
        <v>1161</v>
      </c>
      <c r="E1163" s="7" t="n">
        <v>11.60829163688349</v>
      </c>
      <c r="F1163" s="8" t="n">
        <v>1.225888840258847</v>
      </c>
      <c r="G1163" s="9">
        <f>DEGREES(F1163)</f>
        <v/>
      </c>
      <c r="H1163" s="8" t="n">
        <v>12.60742212925534</v>
      </c>
      <c r="I1163" s="9">
        <f>DEGREES(H1163)</f>
        <v/>
      </c>
      <c r="J1163" s="10" t="n">
        <v>-1.014174066497095</v>
      </c>
      <c r="K1163" s="10" t="n">
        <v>1.724537432680247</v>
      </c>
      <c r="L1163" s="11">
        <f>$B$5*$B$3*$B$6*SIN(F1163)</f>
        <v/>
      </c>
      <c r="M1163" s="11">
        <f>$B$9*K1163*(SIN(F1163))^2 + $B$8*($B$10+K1163*COS(F1163))*COS(F1163)</f>
        <v/>
      </c>
      <c r="N1163" s="11">
        <f>0.5*$B$9*(J1163^2 + (K1163*SIN(F1163))^2) + 0.5*$B$8*($B$10 + K1163*COS(F1163))^2</f>
        <v/>
      </c>
      <c r="O1163" s="11">
        <f>$B$3*$B$6*$B$5*COS(F1163)</f>
        <v/>
      </c>
      <c r="P1163" s="11">
        <f>N1163+O1163</f>
        <v/>
      </c>
      <c r="Q1163" s="12">
        <f>ABS(P1163-$P$3)</f>
        <v/>
      </c>
    </row>
    <row r="1164">
      <c r="D1164" s="13" t="n">
        <v>1162</v>
      </c>
      <c r="E1164" s="14" t="n">
        <v>11.61829878484632</v>
      </c>
      <c r="F1164" s="15" t="n">
        <v>1.215941245313232</v>
      </c>
      <c r="G1164" s="16">
        <f>DEGREES(F1164)</f>
        <v/>
      </c>
      <c r="H1164" s="15" t="n">
        <v>12.62493039943946</v>
      </c>
      <c r="I1164" s="16">
        <f>DEGREES(H1164)</f>
        <v/>
      </c>
      <c r="J1164" s="17" t="n">
        <v>-0.9734035111274604</v>
      </c>
      <c r="K1164" s="17" t="n">
        <v>1.774275407408323</v>
      </c>
      <c r="L1164" s="18">
        <f>$B$5*$B$3*$B$6*SIN(F1164)</f>
        <v/>
      </c>
      <c r="M1164" s="18">
        <f>$B$9*K1164*(SIN(F1164))^2 + $B$8*($B$10+K1164*COS(F1164))*COS(F1164)</f>
        <v/>
      </c>
      <c r="N1164" s="18">
        <f>0.5*$B$9*(J1164^2 + (K1164*SIN(F1164))^2) + 0.5*$B$8*($B$10 + K1164*COS(F1164))^2</f>
        <v/>
      </c>
      <c r="O1164" s="18">
        <f>$B$3*$B$6*$B$5*COS(F1164)</f>
        <v/>
      </c>
      <c r="P1164" s="18">
        <f>N1164+O1164</f>
        <v/>
      </c>
      <c r="Q1164" s="19">
        <f>ABS(P1164-$P$3)</f>
        <v/>
      </c>
    </row>
    <row r="1165">
      <c r="D1165" s="6" t="n">
        <v>1163</v>
      </c>
      <c r="E1165" s="7" t="n">
        <v>11.62830593280915</v>
      </c>
      <c r="F1165" s="8" t="n">
        <v>1.206417049877779</v>
      </c>
      <c r="G1165" s="9">
        <f>DEGREES(F1165)</f>
        <v/>
      </c>
      <c r="H1165" s="8" t="n">
        <v>12.64292593987093</v>
      </c>
      <c r="I1165" s="9">
        <f>DEGREES(H1165)</f>
        <v/>
      </c>
      <c r="J1165" s="10" t="n">
        <v>-0.9295767967664006</v>
      </c>
      <c r="K1165" s="10" t="n">
        <v>1.821896384585586</v>
      </c>
      <c r="L1165" s="11">
        <f>$B$5*$B$3*$B$6*SIN(F1165)</f>
        <v/>
      </c>
      <c r="M1165" s="11">
        <f>$B$9*K1165*(SIN(F1165))^2 + $B$8*($B$10+K1165*COS(F1165))*COS(F1165)</f>
        <v/>
      </c>
      <c r="N1165" s="11">
        <f>0.5*$B$9*(J1165^2 + (K1165*SIN(F1165))^2) + 0.5*$B$8*($B$10 + K1165*COS(F1165))^2</f>
        <v/>
      </c>
      <c r="O1165" s="11">
        <f>$B$3*$B$6*$B$5*COS(F1165)</f>
        <v/>
      </c>
      <c r="P1165" s="11">
        <f>N1165+O1165</f>
        <v/>
      </c>
      <c r="Q1165" s="12">
        <f>ABS(P1165-$P$3)</f>
        <v/>
      </c>
    </row>
    <row r="1166">
      <c r="D1166" s="13" t="n">
        <v>1164</v>
      </c>
      <c r="E1166" s="14" t="n">
        <v>11.63831308077198</v>
      </c>
      <c r="F1166" s="15" t="n">
        <v>1.197346156716544</v>
      </c>
      <c r="G1166" s="16">
        <f>DEGREES(F1166)</f>
        <v/>
      </c>
      <c r="H1166" s="15" t="n">
        <v>12.66138681159669</v>
      </c>
      <c r="I1166" s="16">
        <f>DEGREES(H1166)</f>
        <v/>
      </c>
      <c r="J1166" s="17" t="n">
        <v>-0.8828315245275942</v>
      </c>
      <c r="K1166" s="17" t="n">
        <v>1.867250850391764</v>
      </c>
      <c r="L1166" s="18">
        <f>$B$5*$B$3*$B$6*SIN(F1166)</f>
        <v/>
      </c>
      <c r="M1166" s="18">
        <f>$B$9*K1166*(SIN(F1166))^2 + $B$8*($B$10+K1166*COS(F1166))*COS(F1166)</f>
        <v/>
      </c>
      <c r="N1166" s="18">
        <f>0.5*$B$9*(J1166^2 + (K1166*SIN(F1166))^2) + 0.5*$B$8*($B$10 + K1166*COS(F1166))^2</f>
        <v/>
      </c>
      <c r="O1166" s="18">
        <f>$B$3*$B$6*$B$5*COS(F1166)</f>
        <v/>
      </c>
      <c r="P1166" s="18">
        <f>N1166+O1166</f>
        <v/>
      </c>
      <c r="Q1166" s="19">
        <f>ABS(P1166-$P$3)</f>
        <v/>
      </c>
    </row>
    <row r="1167">
      <c r="D1167" s="6" t="n">
        <v>1165</v>
      </c>
      <c r="E1167" s="7" t="n">
        <v>11.64832022873481</v>
      </c>
      <c r="F1167" s="8" t="n">
        <v>1.188757045377193</v>
      </c>
      <c r="G1167" s="9">
        <f>DEGREES(F1167)</f>
        <v/>
      </c>
      <c r="H1167" s="8" t="n">
        <v>12.68028961468022</v>
      </c>
      <c r="I1167" s="9">
        <f>DEGREES(H1167)</f>
        <v/>
      </c>
      <c r="J1167" s="10" t="n">
        <v>-0.8333144588128817</v>
      </c>
      <c r="K1167" s="10" t="n">
        <v>1.91019640708852</v>
      </c>
      <c r="L1167" s="11">
        <f>$B$5*$B$3*$B$6*SIN(F1167)</f>
        <v/>
      </c>
      <c r="M1167" s="11">
        <f>$B$9*K1167*(SIN(F1167))^2 + $B$8*($B$10+K1167*COS(F1167))*COS(F1167)</f>
        <v/>
      </c>
      <c r="N1167" s="11">
        <f>0.5*$B$9*(J1167^2 + (K1167*SIN(F1167))^2) + 0.5*$B$8*($B$10 + K1167*COS(F1167))^2</f>
        <v/>
      </c>
      <c r="O1167" s="11">
        <f>$B$3*$B$6*$B$5*COS(F1167)</f>
        <v/>
      </c>
      <c r="P1167" s="11">
        <f>N1167+O1167</f>
        <v/>
      </c>
      <c r="Q1167" s="12">
        <f>ABS(P1167-$P$3)</f>
        <v/>
      </c>
    </row>
    <row r="1168">
      <c r="D1168" s="13" t="n">
        <v>1166</v>
      </c>
      <c r="E1168" s="14" t="n">
        <v>11.65832737669764</v>
      </c>
      <c r="F1168" s="15" t="n">
        <v>1.180676682774825</v>
      </c>
      <c r="G1168" s="16">
        <f>DEGREES(F1168)</f>
        <v/>
      </c>
      <c r="H1168" s="15" t="n">
        <v>12.69960956166947</v>
      </c>
      <c r="I1168" s="16">
        <f>DEGREES(H1168)</f>
        <v/>
      </c>
      <c r="J1168" s="17" t="n">
        <v>-0.7811810665214929</v>
      </c>
      <c r="K1168" s="17" t="n">
        <v>1.95059822010036</v>
      </c>
      <c r="L1168" s="18">
        <f>$B$5*$B$3*$B$6*SIN(F1168)</f>
        <v/>
      </c>
      <c r="M1168" s="18">
        <f>$B$9*K1168*(SIN(F1168))^2 + $B$8*($B$10+K1168*COS(F1168))*COS(F1168)</f>
        <v/>
      </c>
      <c r="N1168" s="18">
        <f>0.5*$B$9*(J1168^2 + (K1168*SIN(F1168))^2) + 0.5*$B$8*($B$10 + K1168*COS(F1168))^2</f>
        <v/>
      </c>
      <c r="O1168" s="18">
        <f>$B$3*$B$6*$B$5*COS(F1168)</f>
        <v/>
      </c>
      <c r="P1168" s="18">
        <f>N1168+O1168</f>
        <v/>
      </c>
      <c r="Q1168" s="19">
        <f>ABS(P1168-$P$3)</f>
        <v/>
      </c>
    </row>
    <row r="1169">
      <c r="D1169" s="6" t="n">
        <v>1167</v>
      </c>
      <c r="E1169" s="7" t="n">
        <v>11.66833452466047</v>
      </c>
      <c r="F1169" s="8" t="n">
        <v>1.173130438524964</v>
      </c>
      <c r="G1169" s="9">
        <f>DEGREES(F1169)</f>
        <v/>
      </c>
      <c r="H1169" s="8" t="n">
        <v>12.71932055542109</v>
      </c>
      <c r="I1169" s="9">
        <f>DEGREES(H1169)</f>
        <v/>
      </c>
      <c r="J1169" s="10" t="n">
        <v>-0.7265950289364929</v>
      </c>
      <c r="K1169" s="10" t="n">
        <v>1.988329441349663</v>
      </c>
      <c r="L1169" s="11">
        <f>$B$5*$B$3*$B$6*SIN(F1169)</f>
        <v/>
      </c>
      <c r="M1169" s="11">
        <f>$B$9*K1169*(SIN(F1169))^2 + $B$8*($B$10+K1169*COS(F1169))*COS(F1169)</f>
        <v/>
      </c>
      <c r="N1169" s="11">
        <f>0.5*$B$9*(J1169^2 + (K1169*SIN(F1169))^2) + 0.5*$B$8*($B$10 + K1169*COS(F1169))^2</f>
        <v/>
      </c>
      <c r="O1169" s="11">
        <f>$B$3*$B$6*$B$5*COS(F1169)</f>
        <v/>
      </c>
      <c r="P1169" s="11">
        <f>N1169+O1169</f>
        <v/>
      </c>
      <c r="Q1169" s="12">
        <f>ABS(P1169-$P$3)</f>
        <v/>
      </c>
    </row>
    <row r="1170">
      <c r="D1170" s="13" t="n">
        <v>1168</v>
      </c>
      <c r="E1170" s="14" t="n">
        <v>11.6783416726233</v>
      </c>
      <c r="F1170" s="15" t="n">
        <v>1.166142005291497</v>
      </c>
      <c r="G1170" s="16">
        <f>DEGREES(F1170)</f>
        <v/>
      </c>
      <c r="H1170" s="15" t="n">
        <v>12.73939527103669</v>
      </c>
      <c r="I1170" s="16">
        <f>DEGREES(H1170)</f>
        <v/>
      </c>
      <c r="J1170" s="17" t="n">
        <v>-0.669727727820599</v>
      </c>
      <c r="K1170" s="17" t="n">
        <v>2.023271607516996</v>
      </c>
      <c r="L1170" s="18">
        <f>$B$5*$B$3*$B$6*SIN(F1170)</f>
        <v/>
      </c>
      <c r="M1170" s="18">
        <f>$B$9*K1170*(SIN(F1170))^2 + $B$8*($B$10+K1170*COS(F1170))*COS(F1170)</f>
        <v/>
      </c>
      <c r="N1170" s="18">
        <f>0.5*$B$9*(J1170^2 + (K1170*SIN(F1170))^2) + 0.5*$B$8*($B$10 + K1170*COS(F1170))^2</f>
        <v/>
      </c>
      <c r="O1170" s="18">
        <f>$B$3*$B$6*$B$5*COS(F1170)</f>
        <v/>
      </c>
      <c r="P1170" s="18">
        <f>N1170+O1170</f>
        <v/>
      </c>
      <c r="Q1170" s="19">
        <f>ABS(P1170-$P$3)</f>
        <v/>
      </c>
    </row>
    <row r="1171">
      <c r="D1171" s="6" t="n">
        <v>1169</v>
      </c>
      <c r="E1171" s="7" t="n">
        <v>11.68834882058613</v>
      </c>
      <c r="F1171" s="8" t="n">
        <v>1.159733324399697</v>
      </c>
      <c r="G1171" s="9">
        <f>DEGREES(F1171)</f>
        <v/>
      </c>
      <c r="H1171" s="8" t="n">
        <v>12.7598052416538</v>
      </c>
      <c r="I1171" s="9">
        <f>DEGREES(H1171)</f>
        <v/>
      </c>
      <c r="J1171" s="10" t="n">
        <v>-0.610757707335207</v>
      </c>
      <c r="K1171" s="10" t="n">
        <v>2.055315011975996</v>
      </c>
      <c r="L1171" s="11">
        <f>$B$5*$B$3*$B$6*SIN(F1171)</f>
        <v/>
      </c>
      <c r="M1171" s="11">
        <f>$B$9*K1171*(SIN(F1171))^2 + $B$8*($B$10+K1171*COS(F1171))*COS(F1171)</f>
        <v/>
      </c>
      <c r="N1171" s="11">
        <f>0.5*$B$9*(J1171^2 + (K1171*SIN(F1171))^2) + 0.5*$B$8*($B$10 + K1171*COS(F1171))^2</f>
        <v/>
      </c>
      <c r="O1171" s="11">
        <f>$B$3*$B$6*$B$5*COS(F1171)</f>
        <v/>
      </c>
      <c r="P1171" s="11">
        <f>N1171+O1171</f>
        <v/>
      </c>
      <c r="Q1171" s="12">
        <f>ABS(P1171-$P$3)</f>
        <v/>
      </c>
    </row>
    <row r="1172">
      <c r="D1172" s="13" t="n">
        <v>1170</v>
      </c>
      <c r="E1172" s="14" t="n">
        <v>11.69835596854896</v>
      </c>
      <c r="F1172" s="15" t="n">
        <v>1.153924516947861</v>
      </c>
      <c r="G1172" s="16">
        <f>DEGREES(F1172)</f>
        <v/>
      </c>
      <c r="H1172" s="15" t="n">
        <v>12.78052094782224</v>
      </c>
      <c r="I1172" s="16">
        <f>DEGREES(H1172)</f>
        <v/>
      </c>
      <c r="J1172" s="17" t="n">
        <v>-0.5498701134719516</v>
      </c>
      <c r="K1172" s="17" t="n">
        <v>2.084359049235176</v>
      </c>
      <c r="L1172" s="18">
        <f>$B$5*$B$3*$B$6*SIN(F1172)</f>
        <v/>
      </c>
      <c r="M1172" s="18">
        <f>$B$9*K1172*(SIN(F1172))^2 + $B$8*($B$10+K1172*COS(F1172))*COS(F1172)</f>
        <v/>
      </c>
      <c r="N1172" s="18">
        <f>0.5*$B$9*(J1172^2 + (K1172*SIN(F1172))^2) + 0.5*$B$8*($B$10 + K1172*COS(F1172))^2</f>
        <v/>
      </c>
      <c r="O1172" s="18">
        <f>$B$3*$B$6*$B$5*COS(F1172)</f>
        <v/>
      </c>
      <c r="P1172" s="18">
        <f>N1172+O1172</f>
        <v/>
      </c>
      <c r="Q1172" s="19">
        <f>ABS(P1172-$P$3)</f>
        <v/>
      </c>
    </row>
    <row r="1173">
      <c r="D1173" s="6" t="n">
        <v>1171</v>
      </c>
      <c r="E1173" s="7" t="n">
        <v>11.70836311651179</v>
      </c>
      <c r="F1173" s="8" t="n">
        <v>1.148733820633845</v>
      </c>
      <c r="G1173" s="9">
        <f>DEGREES(F1173)</f>
        <v/>
      </c>
      <c r="H1173" s="8" t="n">
        <v>12.80151191018518</v>
      </c>
      <c r="I1173" s="9">
        <f>DEGREES(H1173)</f>
        <v/>
      </c>
      <c r="J1173" s="10" t="n">
        <v>-0.4872561127567068</v>
      </c>
      <c r="K1173" s="10" t="n">
        <v>2.110312530805257</v>
      </c>
      <c r="L1173" s="11">
        <f>$B$5*$B$3*$B$6*SIN(F1173)</f>
        <v/>
      </c>
      <c r="M1173" s="11">
        <f>$B$9*K1173*(SIN(F1173))^2 + $B$8*($B$10+K1173*COS(F1173))*COS(F1173)</f>
        <v/>
      </c>
      <c r="N1173" s="11">
        <f>0.5*$B$9*(J1173^2 + (K1173*SIN(F1173))^2) + 0.5*$B$8*($B$10 + K1173*COS(F1173))^2</f>
        <v/>
      </c>
      <c r="O1173" s="11">
        <f>$B$3*$B$6*$B$5*COS(F1173)</f>
        <v/>
      </c>
      <c r="P1173" s="11">
        <f>N1173+O1173</f>
        <v/>
      </c>
      <c r="Q1173" s="12">
        <f>ABS(P1173-$P$3)</f>
        <v/>
      </c>
    </row>
    <row r="1174">
      <c r="D1174" s="13" t="n">
        <v>1172</v>
      </c>
      <c r="E1174" s="14" t="n">
        <v>11.71837026447463</v>
      </c>
      <c r="F1174" s="15" t="n">
        <v>1.144177532494824</v>
      </c>
      <c r="G1174" s="16">
        <f>DEGREES(F1174)</f>
        <v/>
      </c>
      <c r="H1174" s="15" t="n">
        <v>12.82274678517416</v>
      </c>
      <c r="I1174" s="16">
        <f>DEGREES(H1174)</f>
        <v/>
      </c>
      <c r="J1174" s="17" t="n">
        <v>-0.4231122920509749</v>
      </c>
      <c r="K1174" s="17" t="n">
        <v>2.133093971500363</v>
      </c>
      <c r="L1174" s="18">
        <f>$B$5*$B$3*$B$6*SIN(F1174)</f>
        <v/>
      </c>
      <c r="M1174" s="18">
        <f>$B$9*K1174*(SIN(F1174))^2 + $B$8*($B$10+K1174*COS(F1174))*COS(F1174)</f>
        <v/>
      </c>
      <c r="N1174" s="18">
        <f>0.5*$B$9*(J1174^2 + (K1174*SIN(F1174))^2) + 0.5*$B$8*($B$10 + K1174*COS(F1174))^2</f>
        <v/>
      </c>
      <c r="O1174" s="18">
        <f>$B$3*$B$6*$B$5*COS(F1174)</f>
        <v/>
      </c>
      <c r="P1174" s="18">
        <f>N1174+O1174</f>
        <v/>
      </c>
      <c r="Q1174" s="19">
        <f>ABS(P1174-$P$3)</f>
        <v/>
      </c>
    </row>
    <row r="1175">
      <c r="D1175" s="6" t="n">
        <v>1173</v>
      </c>
      <c r="E1175" s="7" t="n">
        <v>11.72837741243746</v>
      </c>
      <c r="F1175" s="8" t="n">
        <v>1.140269957740102</v>
      </c>
      <c r="G1175" s="9">
        <f>DEGREES(F1175)</f>
        <v/>
      </c>
      <c r="H1175" s="8" t="n">
        <v>12.84419346341725</v>
      </c>
      <c r="I1175" s="9">
        <f>DEGREES(H1175)</f>
        <v/>
      </c>
      <c r="J1175" s="10" t="n">
        <v>-0.3576400413355304</v>
      </c>
      <c r="K1175" s="10" t="n">
        <v>2.152631845273971</v>
      </c>
      <c r="L1175" s="11">
        <f>$B$5*$B$3*$B$6*SIN(F1175)</f>
        <v/>
      </c>
      <c r="M1175" s="11">
        <f>$B$9*K1175*(SIN(F1175))^2 + $B$8*($B$10+K1175*COS(F1175))*COS(F1175)</f>
        <v/>
      </c>
      <c r="N1175" s="11">
        <f>0.5*$B$9*(J1175^2 + (K1175*SIN(F1175))^2) + 0.5*$B$8*($B$10 + K1175*COS(F1175))^2</f>
        <v/>
      </c>
      <c r="O1175" s="11">
        <f>$B$3*$B$6*$B$5*COS(F1175)</f>
        <v/>
      </c>
      <c r="P1175" s="11">
        <f>N1175+O1175</f>
        <v/>
      </c>
      <c r="Q1175" s="12">
        <f>ABS(P1175-$P$3)</f>
        <v/>
      </c>
    </row>
    <row r="1176">
      <c r="D1176" s="13" t="n">
        <v>1174</v>
      </c>
      <c r="E1176" s="14" t="n">
        <v>11.73838456040029</v>
      </c>
      <c r="F1176" s="15" t="n">
        <v>1.137023364837574</v>
      </c>
      <c r="G1176" s="16">
        <f>DEGREES(F1176)</f>
        <v/>
      </c>
      <c r="H1176" s="15" t="n">
        <v>12.86581917055164</v>
      </c>
      <c r="I1176" s="16">
        <f>DEGREES(H1176)</f>
        <v/>
      </c>
      <c r="J1176" s="17" t="n">
        <v>-0.2910449214137533</v>
      </c>
      <c r="K1176" s="17" t="n">
        <v>2.168864809786616</v>
      </c>
      <c r="L1176" s="18">
        <f>$B$5*$B$3*$B$6*SIN(F1176)</f>
        <v/>
      </c>
      <c r="M1176" s="18">
        <f>$B$9*K1176*(SIN(F1176))^2 + $B$8*($B$10+K1176*COS(F1176))*COS(F1176)</f>
        <v/>
      </c>
      <c r="N1176" s="18">
        <f>0.5*$B$9*(J1176^2 + (K1176*SIN(F1176))^2) + 0.5*$B$8*($B$10 + K1176*COS(F1176))^2</f>
        <v/>
      </c>
      <c r="O1176" s="18">
        <f>$B$3*$B$6*$B$5*COS(F1176)</f>
        <v/>
      </c>
      <c r="P1176" s="18">
        <f>N1176+O1176</f>
        <v/>
      </c>
      <c r="Q1176" s="19">
        <f>ABS(P1176-$P$3)</f>
        <v/>
      </c>
    </row>
    <row r="1177">
      <c r="D1177" s="6" t="n">
        <v>1175</v>
      </c>
      <c r="E1177" s="7" t="n">
        <v>11.74839170836312</v>
      </c>
      <c r="F1177" s="8" t="n">
        <v>1.134447946994859</v>
      </c>
      <c r="G1177" s="9">
        <f>DEGREES(F1177)</f>
        <v/>
      </c>
      <c r="H1177" s="8" t="n">
        <v>12.8875905701242</v>
      </c>
      <c r="I1177" s="9">
        <f>DEGREES(H1177)</f>
        <v/>
      </c>
      <c r="J1177" s="10" t="n">
        <v>-0.2235360185198284</v>
      </c>
      <c r="K1177" s="10" t="n">
        <v>2.18174189900019</v>
      </c>
      <c r="L1177" s="11">
        <f>$B$5*$B$3*$B$6*SIN(F1177)</f>
        <v/>
      </c>
      <c r="M1177" s="11">
        <f>$B$9*K1177*(SIN(F1177))^2 + $B$8*($B$10+K1177*COS(F1177))*COS(F1177)</f>
        <v/>
      </c>
      <c r="N1177" s="11">
        <f>0.5*$B$9*(J1177^2 + (K1177*SIN(F1177))^2) + 0.5*$B$8*($B$10 + K1177*COS(F1177))^2</f>
        <v/>
      </c>
      <c r="O1177" s="11">
        <f>$B$3*$B$6*$B$5*COS(F1177)</f>
        <v/>
      </c>
      <c r="P1177" s="11">
        <f>N1177+O1177</f>
        <v/>
      </c>
      <c r="Q1177" s="12">
        <f>ABS(P1177-$P$3)</f>
        <v/>
      </c>
    </row>
    <row r="1178">
      <c r="D1178" s="13" t="n">
        <v>1176</v>
      </c>
      <c r="E1178" s="14" t="n">
        <v>11.75839885632595</v>
      </c>
      <c r="F1178" s="15" t="n">
        <v>1.132551790156078</v>
      </c>
      <c r="G1178" s="16">
        <f>DEGREES(F1178)</f>
        <v/>
      </c>
      <c r="H1178" s="15" t="n">
        <v>12.9094738682566</v>
      </c>
      <c r="I1178" s="16">
        <f>DEGREES(H1178)</f>
        <v/>
      </c>
      <c r="J1178" s="17" t="n">
        <v>-0.1553252878585978</v>
      </c>
      <c r="K1178" s="17" t="n">
        <v>2.191222683194094</v>
      </c>
      <c r="L1178" s="18">
        <f>$B$5*$B$3*$B$6*SIN(F1178)</f>
        <v/>
      </c>
      <c r="M1178" s="18">
        <f>$B$9*K1178*(SIN(F1178))^2 + $B$8*($B$10+K1178*COS(F1178))*COS(F1178)</f>
        <v/>
      </c>
      <c r="N1178" s="18">
        <f>0.5*$B$9*(J1178^2 + (K1178*SIN(F1178))^2) + 0.5*$B$8*($B$10 + K1178*COS(F1178))^2</f>
        <v/>
      </c>
      <c r="O1178" s="18">
        <f>$B$3*$B$6*$B$5*COS(F1178)</f>
        <v/>
      </c>
      <c r="P1178" s="18">
        <f>N1178+O1178</f>
        <v/>
      </c>
      <c r="Q1178" s="19">
        <f>ABS(P1178-$P$3)</f>
        <v/>
      </c>
    </row>
    <row r="1179">
      <c r="D1179" s="6" t="n">
        <v>1177</v>
      </c>
      <c r="E1179" s="7" t="n">
        <v>11.76840600428878</v>
      </c>
      <c r="F1179" s="8" t="n">
        <v>1.131340847614707</v>
      </c>
      <c r="G1179" s="9">
        <f>DEGREES(F1179)</f>
        <v/>
      </c>
      <c r="H1179" s="8" t="n">
        <v>12.93143491974674</v>
      </c>
      <c r="I1179" s="9">
        <f>DEGREES(H1179)</f>
        <v/>
      </c>
      <c r="J1179" s="10" t="n">
        <v>-0.08662688813756327</v>
      </c>
      <c r="K1179" s="10" t="n">
        <v>2.197277395900949</v>
      </c>
      <c r="L1179" s="11">
        <f>$B$5*$B$3*$B$6*SIN(F1179)</f>
        <v/>
      </c>
      <c r="M1179" s="11">
        <f>$B$9*K1179*(SIN(F1179))^2 + $B$8*($B$10+K1179*COS(F1179))*COS(F1179)</f>
        <v/>
      </c>
      <c r="N1179" s="11">
        <f>0.5*$B$9*(J1179^2 + (K1179*SIN(F1179))^2) + 0.5*$B$8*($B$10 + K1179*COS(F1179))^2</f>
        <v/>
      </c>
      <c r="O1179" s="11">
        <f>$B$3*$B$6*$B$5*COS(F1179)</f>
        <v/>
      </c>
      <c r="P1179" s="11">
        <f>N1179+O1179</f>
        <v/>
      </c>
      <c r="Q1179" s="12">
        <f>ABS(P1179-$P$3)</f>
        <v/>
      </c>
    </row>
    <row r="1180">
      <c r="D1180" s="13" t="n">
        <v>1178</v>
      </c>
      <c r="E1180" s="14" t="n">
        <v>11.77841315225161</v>
      </c>
      <c r="F1180" s="15" t="n">
        <v>1.130818921322242</v>
      </c>
      <c r="G1180" s="16">
        <f>DEGREES(F1180)</f>
        <v/>
      </c>
      <c r="H1180" s="15" t="n">
        <v>12.95343933527321</v>
      </c>
      <c r="I1180" s="16">
        <f>DEGREES(H1180)</f>
        <v/>
      </c>
      <c r="J1180" s="17" t="n">
        <v>-0.01765650918073135</v>
      </c>
      <c r="K1180" s="17" t="n">
        <v>2.199887027363272</v>
      </c>
      <c r="L1180" s="18">
        <f>$B$5*$B$3*$B$6*SIN(F1180)</f>
        <v/>
      </c>
      <c r="M1180" s="18">
        <f>$B$9*K1180*(SIN(F1180))^2 + $B$8*($B$10+K1180*COS(F1180))*COS(F1180)</f>
        <v/>
      </c>
      <c r="N1180" s="18">
        <f>0.5*$B$9*(J1180^2 + (K1180*SIN(F1180))^2) + 0.5*$B$8*($B$10 + K1180*COS(F1180))^2</f>
        <v/>
      </c>
      <c r="O1180" s="18">
        <f>$B$3*$B$6*$B$5*COS(F1180)</f>
        <v/>
      </c>
      <c r="P1180" s="18">
        <f>N1180+O1180</f>
        <v/>
      </c>
      <c r="Q1180" s="19">
        <f>ABS(P1180-$P$3)</f>
        <v/>
      </c>
    </row>
    <row r="1181">
      <c r="D1181" s="6" t="n">
        <v>1179</v>
      </c>
      <c r="E1181" s="7" t="n">
        <v>11.78842030021444</v>
      </c>
      <c r="F1181" s="8" t="n">
        <v>1.130987649951355</v>
      </c>
      <c r="G1181" s="9">
        <f>DEGREES(F1181)</f>
        <v/>
      </c>
      <c r="H1181" s="8" t="n">
        <v>12.97545258936611</v>
      </c>
      <c r="I1181" s="9">
        <f>DEGREES(H1181)</f>
        <v/>
      </c>
      <c r="J1181" s="10" t="n">
        <v>0.05136930526474699</v>
      </c>
      <c r="K1181" s="10" t="n">
        <v>2.199043384217708</v>
      </c>
      <c r="L1181" s="11">
        <f>$B$5*$B$3*$B$6*SIN(F1181)</f>
        <v/>
      </c>
      <c r="M1181" s="11">
        <f>$B$9*K1181*(SIN(F1181))^2 + $B$8*($B$10+K1181*COS(F1181))*COS(F1181)</f>
        <v/>
      </c>
      <c r="N1181" s="11">
        <f>0.5*$B$9*(J1181^2 + (K1181*SIN(F1181))^2) + 0.5*$B$8*($B$10 + K1181*COS(F1181))^2</f>
        <v/>
      </c>
      <c r="O1181" s="11">
        <f>$B$3*$B$6*$B$5*COS(F1181)</f>
        <v/>
      </c>
      <c r="P1181" s="11">
        <f>N1181+O1181</f>
        <v/>
      </c>
      <c r="Q1181" s="12">
        <f>ABS(P1181-$P$3)</f>
        <v/>
      </c>
    </row>
    <row r="1182">
      <c r="D1182" s="13" t="n">
        <v>1180</v>
      </c>
      <c r="E1182" s="14" t="n">
        <v>11.79842744817727</v>
      </c>
      <c r="F1182" s="15" t="n">
        <v>1.131846503751011</v>
      </c>
      <c r="G1182" s="16">
        <f>DEGREES(F1182)</f>
        <v/>
      </c>
      <c r="H1182" s="15" t="n">
        <v>12.99744012880542</v>
      </c>
      <c r="I1182" s="16">
        <f>DEGREES(H1182)</f>
        <v/>
      </c>
      <c r="J1182" s="17" t="n">
        <v>0.120233837402968</v>
      </c>
      <c r="K1182" s="17" t="n">
        <v>2.194749115219429</v>
      </c>
      <c r="L1182" s="18">
        <f>$B$5*$B$3*$B$6*SIN(F1182)</f>
        <v/>
      </c>
      <c r="M1182" s="18">
        <f>$B$9*K1182*(SIN(F1182))^2 + $B$8*($B$10+K1182*COS(F1182))*COS(F1182)</f>
        <v/>
      </c>
      <c r="N1182" s="18">
        <f>0.5*$B$9*(J1182^2 + (K1182*SIN(F1182))^2) + 0.5*$B$8*($B$10 + K1182*COS(F1182))^2</f>
        <v/>
      </c>
      <c r="O1182" s="18">
        <f>$B$3*$B$6*$B$5*COS(F1182)</f>
        <v/>
      </c>
      <c r="P1182" s="18">
        <f>N1182+O1182</f>
        <v/>
      </c>
      <c r="Q1182" s="19">
        <f>ABS(P1182-$P$3)</f>
        <v/>
      </c>
    </row>
    <row r="1183">
      <c r="D1183" s="6" t="n">
        <v>1181</v>
      </c>
      <c r="E1183" s="7" t="n">
        <v>11.8084345961401</v>
      </c>
      <c r="F1183" s="8" t="n">
        <v>1.133392786209709</v>
      </c>
      <c r="G1183" s="9">
        <f>DEGREES(F1183)</f>
        <v/>
      </c>
      <c r="H1183" s="8" t="n">
        <v>13.01936748110649</v>
      </c>
      <c r="I1183" s="9">
        <f>DEGREES(H1183)</f>
        <v/>
      </c>
      <c r="J1183" s="10" t="n">
        <v>0.1887208758101211</v>
      </c>
      <c r="K1183" s="10" t="n">
        <v>2.187017702925936</v>
      </c>
      <c r="L1183" s="11">
        <f>$B$5*$B$3*$B$6*SIN(F1183)</f>
        <v/>
      </c>
      <c r="M1183" s="11">
        <f>$B$9*K1183*(SIN(F1183))^2 + $B$8*($B$10+K1183*COS(F1183))*COS(F1183)</f>
        <v/>
      </c>
      <c r="N1183" s="11">
        <f>0.5*$B$9*(J1183^2 + (K1183*SIN(F1183))^2) + 0.5*$B$8*($B$10 + K1183*COS(F1183))^2</f>
        <v/>
      </c>
      <c r="O1183" s="11">
        <f>$B$3*$B$6*$B$5*COS(F1183)</f>
        <v/>
      </c>
      <c r="P1183" s="11">
        <f>N1183+O1183</f>
        <v/>
      </c>
      <c r="Q1183" s="12">
        <f>ABS(P1183-$P$3)</f>
        <v/>
      </c>
    </row>
    <row r="1184">
      <c r="D1184" s="13" t="n">
        <v>1182</v>
      </c>
      <c r="E1184" s="14" t="n">
        <v>11.81844174410293</v>
      </c>
      <c r="F1184" s="15" t="n">
        <v>1.135621642521622</v>
      </c>
      <c r="G1184" s="16">
        <f>DEGREES(F1184)</f>
        <v/>
      </c>
      <c r="H1184" s="15" t="n">
        <v>13.04120036275198</v>
      </c>
      <c r="I1184" s="16">
        <f>DEGREES(H1184)</f>
        <v/>
      </c>
      <c r="J1184" s="17" t="n">
        <v>0.2566153942654975</v>
      </c>
      <c r="K1184" s="17" t="n">
        <v>2.175873421366373</v>
      </c>
      <c r="L1184" s="18">
        <f>$B$5*$B$3*$B$6*SIN(F1184)</f>
        <v/>
      </c>
      <c r="M1184" s="18">
        <f>$B$9*K1184*(SIN(F1184))^2 + $B$8*($B$10+K1184*COS(F1184))*COS(F1184)</f>
        <v/>
      </c>
      <c r="N1184" s="18">
        <f>0.5*$B$9*(J1184^2 + (K1184*SIN(F1184))^2) + 0.5*$B$8*($B$10 + K1184*COS(F1184))^2</f>
        <v/>
      </c>
      <c r="O1184" s="18">
        <f>$B$3*$B$6*$B$5*COS(F1184)</f>
        <v/>
      </c>
      <c r="P1184" s="18">
        <f>N1184+O1184</f>
        <v/>
      </c>
      <c r="Q1184" s="19">
        <f>ABS(P1184-$P$3)</f>
        <v/>
      </c>
    </row>
    <row r="1185">
      <c r="D1185" s="6" t="n">
        <v>1183</v>
      </c>
      <c r="E1185" s="7" t="n">
        <v>11.82844889206576</v>
      </c>
      <c r="F1185" s="8" t="n">
        <v>1.138526074829046</v>
      </c>
      <c r="G1185" s="9">
        <f>DEGREES(F1185)</f>
        <v/>
      </c>
      <c r="H1185" s="8" t="n">
        <v>13.06290478683059</v>
      </c>
      <c r="I1185" s="9">
        <f>DEGREES(H1185)</f>
        <v/>
      </c>
      <c r="J1185" s="10" t="n">
        <v>0.3237042268613593</v>
      </c>
      <c r="K1185" s="10" t="n">
        <v>2.161351259829253</v>
      </c>
      <c r="L1185" s="11">
        <f>$B$5*$B$3*$B$6*SIN(F1185)</f>
        <v/>
      </c>
      <c r="M1185" s="11">
        <f>$B$9*K1185*(SIN(F1185))^2 + $B$8*($B$10+K1185*COS(F1185))*COS(F1185)</f>
        <v/>
      </c>
      <c r="N1185" s="11">
        <f>0.5*$B$9*(J1185^2 + (K1185*SIN(F1185))^2) + 0.5*$B$8*($B$10 + K1185*COS(F1185))^2</f>
        <v/>
      </c>
      <c r="O1185" s="11">
        <f>$B$3*$B$6*$B$5*COS(F1185)</f>
        <v/>
      </c>
      <c r="P1185" s="11">
        <f>N1185+O1185</f>
        <v/>
      </c>
      <c r="Q1185" s="12">
        <f>ABS(P1185-$P$3)</f>
        <v/>
      </c>
    </row>
    <row r="1186">
      <c r="D1186" s="13" t="n">
        <v>1184</v>
      </c>
      <c r="E1186" s="14" t="n">
        <v>11.83845604002859</v>
      </c>
      <c r="F1186" s="15" t="n">
        <v>1.142096964193319</v>
      </c>
      <c r="G1186" s="16">
        <f>DEGREES(F1186)</f>
        <v/>
      </c>
      <c r="H1186" s="15" t="n">
        <v>13.08444716974447</v>
      </c>
      <c r="I1186" s="16">
        <f>DEGREES(H1186)</f>
        <v/>
      </c>
      <c r="J1186" s="17" t="n">
        <v>0.3897767372720547</v>
      </c>
      <c r="K1186" s="17" t="n">
        <v>2.143496813007886</v>
      </c>
      <c r="L1186" s="18">
        <f>$B$5*$B$3*$B$6*SIN(F1186)</f>
        <v/>
      </c>
      <c r="M1186" s="18">
        <f>$B$9*K1186*(SIN(F1186))^2 + $B$8*($B$10+K1186*COS(F1186))*COS(F1186)</f>
        <v/>
      </c>
      <c r="N1186" s="18">
        <f>0.5*$B$9*(J1186^2 + (K1186*SIN(F1186))^2) + 0.5*$B$8*($B$10 + K1186*COS(F1186))^2</f>
        <v/>
      </c>
      <c r="O1186" s="18">
        <f>$B$3*$B$6*$B$5*COS(F1186)</f>
        <v/>
      </c>
      <c r="P1186" s="18">
        <f>N1186+O1186</f>
        <v/>
      </c>
      <c r="Q1186" s="19">
        <f>ABS(P1186-$P$3)</f>
        <v/>
      </c>
    </row>
    <row r="1187">
      <c r="D1187" s="6" t="n">
        <v>1185</v>
      </c>
      <c r="E1187" s="7" t="n">
        <v>11.84846318799142</v>
      </c>
      <c r="F1187" s="8" t="n">
        <v>1.146323099225216</v>
      </c>
      <c r="G1187" s="9">
        <f>DEGREES(F1187)</f>
        <v/>
      </c>
      <c r="H1187" s="8" t="n">
        <v>13.10579443665044</v>
      </c>
      <c r="I1187" s="9">
        <f>DEGREES(H1187)</f>
        <v/>
      </c>
      <c r="J1187" s="10" t="n">
        <v>0.4546254800810962</v>
      </c>
      <c r="K1187" s="10" t="n">
        <v>2.122366137848405</v>
      </c>
      <c r="L1187" s="11">
        <f>$B$5*$B$3*$B$6*SIN(F1187)</f>
        <v/>
      </c>
      <c r="M1187" s="11">
        <f>$B$9*K1187*(SIN(F1187))^2 + $B$8*($B$10+K1187*COS(F1187))*COS(F1187)</f>
        <v/>
      </c>
      <c r="N1187" s="11">
        <f>0.5*$B$9*(J1187^2 + (K1187*SIN(F1187))^2) + 0.5*$B$8*($B$10 + K1187*COS(F1187))^2</f>
        <v/>
      </c>
      <c r="O1187" s="11">
        <f>$B$3*$B$6*$B$5*COS(F1187)</f>
        <v/>
      </c>
      <c r="P1187" s="11">
        <f>N1187+O1187</f>
        <v/>
      </c>
      <c r="Q1187" s="12">
        <f>ABS(P1187-$P$3)</f>
        <v/>
      </c>
    </row>
    <row r="1188">
      <c r="D1188" s="13" t="n">
        <v>1186</v>
      </c>
      <c r="E1188" s="14" t="n">
        <v>11.85847033595425</v>
      </c>
      <c r="F1188" s="15" t="n">
        <v>1.151191211284927</v>
      </c>
      <c r="G1188" s="16">
        <f>DEGREES(F1188)</f>
        <v/>
      </c>
      <c r="H1188" s="15" t="n">
        <v>13.1269141253038</v>
      </c>
      <c r="I1188" s="16">
        <f>DEGREES(H1188)</f>
        <v/>
      </c>
      <c r="J1188" s="17" t="n">
        <v>0.51804685208986</v>
      </c>
      <c r="K1188" s="17" t="n">
        <v>2.098025577549848</v>
      </c>
      <c r="L1188" s="18">
        <f>$B$5*$B$3*$B$6*SIN(F1188)</f>
        <v/>
      </c>
      <c r="M1188" s="18">
        <f>$B$9*K1188*(SIN(F1188))^2 + $B$8*($B$10+K1188*COS(F1188))*COS(F1188)</f>
        <v/>
      </c>
      <c r="N1188" s="18">
        <f>0.5*$B$9*(J1188^2 + (K1188*SIN(F1188))^2) + 0.5*$B$8*($B$10 + K1188*COS(F1188))^2</f>
        <v/>
      </c>
      <c r="O1188" s="18">
        <f>$B$3*$B$6*$B$5*COS(F1188)</f>
        <v/>
      </c>
      <c r="P1188" s="18">
        <f>N1188+O1188</f>
        <v/>
      </c>
      <c r="Q1188" s="19">
        <f>ABS(P1188-$P$3)</f>
        <v/>
      </c>
    </row>
    <row r="1189">
      <c r="D1189" s="6" t="n">
        <v>1187</v>
      </c>
      <c r="E1189" s="7" t="n">
        <v>11.86847748391708</v>
      </c>
      <c r="F1189" s="8" t="n">
        <v>1.156686016141123</v>
      </c>
      <c r="G1189" s="9">
        <f>DEGREES(F1189)</f>
        <v/>
      </c>
      <c r="H1189" s="8" t="n">
        <v>13.14777448797892</v>
      </c>
      <c r="I1189" s="9">
        <f>DEGREES(H1189)</f>
        <v/>
      </c>
      <c r="J1189" s="10" t="n">
        <v>0.5798417315630164</v>
      </c>
      <c r="K1189" s="10" t="n">
        <v>2.070551553268871</v>
      </c>
      <c r="L1189" s="11">
        <f>$B$5*$B$3*$B$6*SIN(F1189)</f>
        <v/>
      </c>
      <c r="M1189" s="11">
        <f>$B$9*K1189*(SIN(F1189))^2 + $B$8*($B$10+K1189*COS(F1189))*COS(F1189)</f>
        <v/>
      </c>
      <c r="N1189" s="11">
        <f>0.5*$B$9*(J1189^2 + (K1189*SIN(F1189))^2) + 0.5*$B$8*($B$10 + K1189*COS(F1189))^2</f>
        <v/>
      </c>
      <c r="O1189" s="11">
        <f>$B$3*$B$6*$B$5*COS(F1189)</f>
        <v/>
      </c>
      <c r="P1189" s="11">
        <f>N1189+O1189</f>
        <v/>
      </c>
      <c r="Q1189" s="12">
        <f>ABS(P1189-$P$3)</f>
        <v/>
      </c>
    </row>
    <row r="1190">
      <c r="D1190" s="13" t="n">
        <v>1188</v>
      </c>
      <c r="E1190" s="14" t="n">
        <v>11.87848463187992</v>
      </c>
      <c r="F1190" s="15" t="n">
        <v>1.162790261958283</v>
      </c>
      <c r="G1190" s="16">
        <f>DEGREES(F1190)</f>
        <v/>
      </c>
      <c r="H1190" s="15" t="n">
        <v>13.1683445911463</v>
      </c>
      <c r="I1190" s="16">
        <f>DEGREES(H1190)</f>
        <v/>
      </c>
      <c r="J1190" s="17" t="n">
        <v>0.6398161034036755</v>
      </c>
      <c r="K1190" s="17" t="n">
        <v>2.040030324183066</v>
      </c>
      <c r="L1190" s="18">
        <f>$B$5*$B$3*$B$6*SIN(F1190)</f>
        <v/>
      </c>
      <c r="M1190" s="18">
        <f>$B$9*K1190*(SIN(F1190))^2 + $B$8*($B$10+K1190*COS(F1190))*COS(F1190)</f>
        <v/>
      </c>
      <c r="N1190" s="18">
        <f>0.5*$B$9*(J1190^2 + (K1190*SIN(F1190))^2) + 0.5*$B$8*($B$10 + K1190*COS(F1190))^2</f>
        <v/>
      </c>
      <c r="O1190" s="18">
        <f>$B$3*$B$6*$B$5*COS(F1190)</f>
        <v/>
      </c>
      <c r="P1190" s="18">
        <f>N1190+O1190</f>
        <v/>
      </c>
      <c r="Q1190" s="19">
        <f>ABS(P1190-$P$3)</f>
        <v/>
      </c>
    </row>
    <row r="1191">
      <c r="D1191" s="6" t="n">
        <v>1189</v>
      </c>
      <c r="E1191" s="7" t="n">
        <v>11.88849177984275</v>
      </c>
      <c r="F1191" s="8" t="n">
        <v>1.169484783461653</v>
      </c>
      <c r="G1191" s="9">
        <f>DEGREES(F1191)</f>
        <v/>
      </c>
      <c r="H1191" s="8" t="n">
        <v>13.18859441259351</v>
      </c>
      <c r="I1191" s="9">
        <f>DEGREES(H1191)</f>
        <v/>
      </c>
      <c r="J1191" s="10" t="n">
        <v>0.6977816682954082</v>
      </c>
      <c r="K1191" s="10" t="n">
        <v>2.006557716666217</v>
      </c>
      <c r="L1191" s="11">
        <f>$B$5*$B$3*$B$6*SIN(F1191)</f>
        <v/>
      </c>
      <c r="M1191" s="11">
        <f>$B$9*K1191*(SIN(F1191))^2 + $B$8*($B$10+K1191*COS(F1191))*COS(F1191)</f>
        <v/>
      </c>
      <c r="N1191" s="11">
        <f>0.5*$B$9*(J1191^2 + (K1191*SIN(F1191))^2) + 0.5*$B$8*($B$10 + K1191*COS(F1191))^2</f>
        <v/>
      </c>
      <c r="O1191" s="11">
        <f>$B$3*$B$6*$B$5*COS(F1191)</f>
        <v/>
      </c>
      <c r="P1191" s="11">
        <f>N1191+O1191</f>
        <v/>
      </c>
      <c r="Q1191" s="12">
        <f>ABS(P1191-$P$3)</f>
        <v/>
      </c>
    </row>
    <row r="1192">
      <c r="D1192" s="13" t="n">
        <v>1190</v>
      </c>
      <c r="E1192" s="14" t="n">
        <v>11.89849892780558</v>
      </c>
      <c r="F1192" s="15" t="n">
        <v>1.176748562109741</v>
      </c>
      <c r="G1192" s="16">
        <f>DEGREES(F1192)</f>
        <v/>
      </c>
      <c r="H1192" s="15" t="n">
        <v>13.20849493568477</v>
      </c>
      <c r="I1192" s="16">
        <f>DEGREES(H1192)</f>
        <v/>
      </c>
      <c r="J1192" s="17" t="n">
        <v>0.7535564338986449</v>
      </c>
      <c r="K1192" s="17" t="n">
        <v>1.970238823425776</v>
      </c>
      <c r="L1192" s="18">
        <f>$B$5*$B$3*$B$6*SIN(F1192)</f>
        <v/>
      </c>
      <c r="M1192" s="18">
        <f>$B$9*K1192*(SIN(F1192))^2 + $B$8*($B$10+K1192*COS(F1192))*COS(F1192)</f>
        <v/>
      </c>
      <c r="N1192" s="18">
        <f>0.5*$B$9*(J1192^2 + (K1192*SIN(F1192))^2) + 0.5*$B$8*($B$10 + K1192*COS(F1192))^2</f>
        <v/>
      </c>
      <c r="O1192" s="18">
        <f>$B$3*$B$6*$B$5*COS(F1192)</f>
        <v/>
      </c>
      <c r="P1192" s="18">
        <f>N1192+O1192</f>
        <v/>
      </c>
      <c r="Q1192" s="19">
        <f>ABS(P1192-$P$3)</f>
        <v/>
      </c>
    </row>
    <row r="1193">
      <c r="D1193" s="6" t="n">
        <v>1191</v>
      </c>
      <c r="E1193" s="7" t="n">
        <v>11.90850607576841</v>
      </c>
      <c r="F1193" s="8" t="n">
        <v>1.18455879208546</v>
      </c>
      <c r="G1193" s="9">
        <f>DEGREES(F1193)</f>
        <v/>
      </c>
      <c r="H1193" s="8" t="n">
        <v>13.22801824046344</v>
      </c>
      <c r="I1193" s="9">
        <f>DEGREES(H1193)</f>
        <v/>
      </c>
      <c r="J1193" s="10" t="n">
        <v>0.8069652862452897</v>
      </c>
      <c r="K1193" s="10" t="n">
        <v>1.931187673547181</v>
      </c>
      <c r="L1193" s="11">
        <f>$B$5*$B$3*$B$6*SIN(F1193)</f>
        <v/>
      </c>
      <c r="M1193" s="11">
        <f>$B$9*K1193*(SIN(F1193))^2 + $B$8*($B$10+K1193*COS(F1193))*COS(F1193)</f>
        <v/>
      </c>
      <c r="N1193" s="11">
        <f>0.5*$B$9*(J1193^2 + (K1193*SIN(F1193))^2) + 0.5*$B$8*($B$10 + K1193*COS(F1193))^2</f>
        <v/>
      </c>
      <c r="O1193" s="11">
        <f>$B$3*$B$6*$B$5*COS(F1193)</f>
        <v/>
      </c>
      <c r="P1193" s="11">
        <f>N1193+O1193</f>
        <v/>
      </c>
      <c r="Q1193" s="12">
        <f>ABS(P1193-$P$3)</f>
        <v/>
      </c>
    </row>
    <row r="1194">
      <c r="D1194" s="13" t="n">
        <v>1192</v>
      </c>
      <c r="E1194" s="14" t="n">
        <v>11.91851322373124</v>
      </c>
      <c r="F1194" s="15" t="n">
        <v>1.192890951898705</v>
      </c>
      <c r="G1194" s="16">
        <f>DEGREES(F1194)</f>
        <v/>
      </c>
      <c r="H1194" s="15" t="n">
        <v>13.24713759131124</v>
      </c>
      <c r="I1194" s="16">
        <f>DEGREES(H1194)</f>
        <v/>
      </c>
      <c r="J1194" s="17" t="n">
        <v>0.8578405395375558</v>
      </c>
      <c r="K1194" s="17" t="n">
        <v>1.889526874480961</v>
      </c>
      <c r="L1194" s="18">
        <f>$B$5*$B$3*$B$6*SIN(F1194)</f>
        <v/>
      </c>
      <c r="M1194" s="18">
        <f>$B$9*K1194*(SIN(F1194))^2 + $B$8*($B$10+K1194*COS(F1194))*COS(F1194)</f>
        <v/>
      </c>
      <c r="N1194" s="18">
        <f>0.5*$B$9*(J1194^2 + (K1194*SIN(F1194))^2) + 0.5*$B$8*($B$10 + K1194*COS(F1194))^2</f>
        <v/>
      </c>
      <c r="O1194" s="18">
        <f>$B$3*$B$6*$B$5*COS(F1194)</f>
        <v/>
      </c>
      <c r="P1194" s="18">
        <f>N1194+O1194</f>
        <v/>
      </c>
      <c r="Q1194" s="19">
        <f>ABS(P1194-$P$3)</f>
        <v/>
      </c>
    </row>
    <row r="1195">
      <c r="D1195" s="6" t="n">
        <v>1193</v>
      </c>
      <c r="E1195" s="7" t="n">
        <v>11.92852037169407</v>
      </c>
      <c r="F1195" s="8" t="n">
        <v>1.201718881375575</v>
      </c>
      <c r="G1195" s="9">
        <f>DEGREES(F1195)</f>
        <v/>
      </c>
      <c r="H1195" s="8" t="n">
        <v>13.26582752088913</v>
      </c>
      <c r="I1195" s="9">
        <f>DEGREES(H1195)</f>
        <v/>
      </c>
      <c r="J1195" s="10" t="n">
        <v>0.9060224626249235</v>
      </c>
      <c r="K1195" s="10" t="n">
        <v>1.84538722709661</v>
      </c>
      <c r="L1195" s="11">
        <f>$B$5*$B$3*$B$6*SIN(F1195)</f>
        <v/>
      </c>
      <c r="M1195" s="11">
        <f>$B$9*K1195*(SIN(F1195))^2 + $B$8*($B$10+K1195*COS(F1195))*COS(F1195)</f>
        <v/>
      </c>
      <c r="N1195" s="11">
        <f>0.5*$B$9*(J1195^2 + (K1195*SIN(F1195))^2) + 0.5*$B$8*($B$10 + K1195*COS(F1195))^2</f>
        <v/>
      </c>
      <c r="O1195" s="11">
        <f>$B$3*$B$6*$B$5*COS(F1195)</f>
        <v/>
      </c>
      <c r="P1195" s="11">
        <f>N1195+O1195</f>
        <v/>
      </c>
      <c r="Q1195" s="12">
        <f>ABS(P1195-$P$3)</f>
        <v/>
      </c>
    </row>
    <row r="1196">
      <c r="D1196" s="13" t="n">
        <v>1194</v>
      </c>
      <c r="E1196" s="14" t="n">
        <v>11.9385275196569</v>
      </c>
      <c r="F1196" s="15" t="n">
        <v>1.211014863792488</v>
      </c>
      <c r="G1196" s="16">
        <f>DEGREES(F1196)</f>
        <v/>
      </c>
      <c r="H1196" s="15" t="n">
        <v>13.28406391009612</v>
      </c>
      <c r="I1196" s="16">
        <f>DEGREES(H1196)</f>
        <v/>
      </c>
      <c r="J1196" s="17" t="n">
        <v>0.9513597805059981</v>
      </c>
      <c r="K1196" s="17" t="n">
        <v>1.798907315012043</v>
      </c>
      <c r="L1196" s="18">
        <f>$B$5*$B$3*$B$6*SIN(F1196)</f>
        <v/>
      </c>
      <c r="M1196" s="18">
        <f>$B$9*K1196*(SIN(F1196))^2 + $B$8*($B$10+K1196*COS(F1196))*COS(F1196)</f>
        <v/>
      </c>
      <c r="N1196" s="18">
        <f>0.5*$B$9*(J1196^2 + (K1196*SIN(F1196))^2) + 0.5*$B$8*($B$10 + K1196*COS(F1196))^2</f>
        <v/>
      </c>
      <c r="O1196" s="18">
        <f>$B$3*$B$6*$B$5*COS(F1196)</f>
        <v/>
      </c>
      <c r="P1196" s="18">
        <f>N1196+O1196</f>
        <v/>
      </c>
      <c r="Q1196" s="19">
        <f>ABS(P1196-$P$3)</f>
        <v/>
      </c>
    </row>
    <row r="1197">
      <c r="D1197" s="6" t="n">
        <v>1195</v>
      </c>
      <c r="E1197" s="7" t="n">
        <v>11.94853466761973</v>
      </c>
      <c r="F1197" s="8" t="n">
        <v>1.220749712897368</v>
      </c>
      <c r="G1197" s="9">
        <f>DEGREES(F1197)</f>
        <v/>
      </c>
      <c r="H1197" s="8" t="n">
        <v>13.30182406379515</v>
      </c>
      <c r="I1197" s="9">
        <f>DEGREES(H1197)</f>
        <v/>
      </c>
      <c r="J1197" s="10" t="n">
        <v>0.9937101492811509</v>
      </c>
      <c r="K1197" s="10" t="n">
        <v>1.750233069487642</v>
      </c>
      <c r="L1197" s="11">
        <f>$B$5*$B$3*$B$6*SIN(F1197)</f>
        <v/>
      </c>
      <c r="M1197" s="11">
        <f>$B$9*K1197*(SIN(F1197))^2 + $B$8*($B$10+K1197*COS(F1197))*COS(F1197)</f>
        <v/>
      </c>
      <c r="N1197" s="11">
        <f>0.5*$B$9*(J1197^2 + (K1197*SIN(F1197))^2) + 0.5*$B$8*($B$10 + K1197*COS(F1197))^2</f>
        <v/>
      </c>
      <c r="O1197" s="11">
        <f>$B$3*$B$6*$B$5*COS(F1197)</f>
        <v/>
      </c>
      <c r="P1197" s="11">
        <f>N1197+O1197</f>
        <v/>
      </c>
      <c r="Q1197" s="12">
        <f>ABS(P1197-$P$3)</f>
        <v/>
      </c>
    </row>
    <row r="1198">
      <c r="D1198" s="13" t="n">
        <v>1196</v>
      </c>
      <c r="E1198" s="14" t="n">
        <v>11.95854181558256</v>
      </c>
      <c r="F1198" s="15" t="n">
        <v>1.230892864544644</v>
      </c>
      <c r="G1198" s="16">
        <f>DEGREES(F1198)</f>
        <v/>
      </c>
      <c r="H1198" s="15" t="n">
        <v>13.31908678206817</v>
      </c>
      <c r="I1198" s="16">
        <f>DEGREES(H1198)</f>
        <v/>
      </c>
      <c r="J1198" s="17" t="n">
        <v>1.032940603064383</v>
      </c>
      <c r="K1198" s="17" t="n">
        <v>1.699517311251265</v>
      </c>
      <c r="L1198" s="18">
        <f>$B$5*$B$3*$B$6*SIN(F1198)</f>
        <v/>
      </c>
      <c r="M1198" s="18">
        <f>$B$9*K1198*(SIN(F1198))^2 + $B$8*($B$10+K1198*COS(F1198))*COS(F1198)</f>
        <v/>
      </c>
      <c r="N1198" s="18">
        <f>0.5*$B$9*(J1198^2 + (K1198*SIN(F1198))^2) + 0.5*$B$8*($B$10 + K1198*COS(F1198))^2</f>
        <v/>
      </c>
      <c r="O1198" s="18">
        <f>$B$3*$B$6*$B$5*COS(F1198)</f>
        <v/>
      </c>
      <c r="P1198" s="18">
        <f>N1198+O1198</f>
        <v/>
      </c>
      <c r="Q1198" s="19">
        <f>ABS(P1198-$P$3)</f>
        <v/>
      </c>
    </row>
    <row r="1199">
      <c r="D1199" s="6" t="n">
        <v>1197</v>
      </c>
      <c r="E1199" s="7" t="n">
        <v>11.96854896354539</v>
      </c>
      <c r="F1199" s="8" t="n">
        <v>1.24141247265634</v>
      </c>
      <c r="G1199" s="9">
        <f>DEGREES(F1199)</f>
        <v/>
      </c>
      <c r="H1199" s="8" t="n">
        <v>13.33583242677673</v>
      </c>
      <c r="I1199" s="9">
        <f>DEGREES(H1199)</f>
        <v/>
      </c>
      <c r="J1199" s="10" t="n">
        <v>1.068927971451309</v>
      </c>
      <c r="K1199" s="10" t="n">
        <v>1.646919270692784</v>
      </c>
      <c r="L1199" s="11">
        <f>$B$5*$B$3*$B$6*SIN(F1199)</f>
        <v/>
      </c>
      <c r="M1199" s="11">
        <f>$B$9*K1199*(SIN(F1199))^2 + $B$8*($B$10+K1199*COS(F1199))*COS(F1199)</f>
        <v/>
      </c>
      <c r="N1199" s="11">
        <f>0.5*$B$9*(J1199^2 + (K1199*SIN(F1199))^2) + 0.5*$B$8*($B$10 + K1199*COS(F1199))^2</f>
        <v/>
      </c>
      <c r="O1199" s="11">
        <f>$B$3*$B$6*$B$5*COS(F1199)</f>
        <v/>
      </c>
      <c r="P1199" s="11">
        <f>N1199+O1199</f>
        <v/>
      </c>
      <c r="Q1199" s="12">
        <f>ABS(P1199-$P$3)</f>
        <v/>
      </c>
    </row>
    <row r="1200">
      <c r="D1200" s="13" t="n">
        <v>1198</v>
      </c>
      <c r="E1200" s="14" t="n">
        <v>11.97855611150822</v>
      </c>
      <c r="F1200" s="15" t="n">
        <v>1.252275509208057</v>
      </c>
      <c r="G1200" s="16">
        <f>DEGREES(F1200)</f>
        <v/>
      </c>
      <c r="H1200" s="15" t="n">
        <v>13.35204298321912</v>
      </c>
      <c r="I1200" s="16">
        <f>DEGREES(H1200)</f>
        <v/>
      </c>
      <c r="J1200" s="17" t="n">
        <v>1.10155926623281</v>
      </c>
      <c r="K1200" s="17" t="n">
        <v>1.592604087934199</v>
      </c>
      <c r="L1200" s="18">
        <f>$B$5*$B$3*$B$6*SIN(F1200)</f>
        <v/>
      </c>
      <c r="M1200" s="18">
        <f>$B$9*K1200*(SIN(F1200))^2 + $B$8*($B$10+K1200*COS(F1200))*COS(F1200)</f>
        <v/>
      </c>
      <c r="N1200" s="18">
        <f>0.5*$B$9*(J1200^2 + (K1200*SIN(F1200))^2) + 0.5*$B$8*($B$10 + K1200*COS(F1200))^2</f>
        <v/>
      </c>
      <c r="O1200" s="18">
        <f>$B$3*$B$6*$B$5*COS(F1200)</f>
        <v/>
      </c>
      <c r="P1200" s="18">
        <f>N1200+O1200</f>
        <v/>
      </c>
      <c r="Q1200" s="19">
        <f>ABS(P1200-$P$3)</f>
        <v/>
      </c>
    </row>
    <row r="1201">
      <c r="D1201" s="6" t="n">
        <v>1199</v>
      </c>
      <c r="E1201" s="7" t="n">
        <v>11.98856325947105</v>
      </c>
      <c r="F1201" s="8" t="n">
        <v>1.263447867925833</v>
      </c>
      <c r="G1201" s="9">
        <f>DEGREES(F1201)</f>
        <v/>
      </c>
      <c r="H1201" s="8" t="n">
        <v>13.36770211669047</v>
      </c>
      <c r="I1201" s="9">
        <f>DEGREES(H1201)</f>
        <v/>
      </c>
      <c r="J1201" s="10" t="n">
        <v>1.130732036139922</v>
      </c>
      <c r="K1201" s="10" t="n">
        <v>1.53674229434532</v>
      </c>
      <c r="L1201" s="11">
        <f>$B$5*$B$3*$B$6*SIN(F1201)</f>
        <v/>
      </c>
      <c r="M1201" s="11">
        <f>$B$9*K1201*(SIN(F1201))^2 + $B$8*($B$10+K1201*COS(F1201))*COS(F1201)</f>
        <v/>
      </c>
      <c r="N1201" s="11">
        <f>0.5*$B$9*(J1201^2 + (K1201*SIN(F1201))^2) + 0.5*$B$8*($B$10 + K1201*COS(F1201))^2</f>
        <v/>
      </c>
      <c r="O1201" s="11">
        <f>$B$3*$B$6*$B$5*COS(F1201)</f>
        <v/>
      </c>
      <c r="P1201" s="11">
        <f>N1201+O1201</f>
        <v/>
      </c>
      <c r="Q1201" s="12">
        <f>ABS(P1201-$P$3)</f>
        <v/>
      </c>
    </row>
    <row r="1202">
      <c r="D1202" s="13" t="n">
        <v>1200</v>
      </c>
      <c r="E1202" s="14" t="n">
        <v>11.99857040743388</v>
      </c>
      <c r="F1202" s="15" t="n">
        <v>1.274894471368339</v>
      </c>
      <c r="G1202" s="16">
        <f>DEGREES(F1202)</f>
        <v/>
      </c>
      <c r="H1202" s="15" t="n">
        <v>13.38279522376819</v>
      </c>
      <c r="I1202" s="16">
        <f>DEGREES(H1202)</f>
        <v/>
      </c>
      <c r="J1202" s="17" t="n">
        <v>1.156354688506253</v>
      </c>
      <c r="K1202" s="17" t="n">
        <v>1.479509277132789</v>
      </c>
      <c r="L1202" s="18">
        <f>$B$5*$B$3*$B$6*SIN(F1202)</f>
        <v/>
      </c>
      <c r="M1202" s="18">
        <f>$B$9*K1202*(SIN(F1202))^2 + $B$8*($B$10+K1202*COS(F1202))*COS(F1202)</f>
        <v/>
      </c>
      <c r="N1202" s="18">
        <f>0.5*$B$9*(J1202^2 + (K1202*SIN(F1202))^2) + 0.5*$B$8*($B$10 + K1202*COS(F1202))^2</f>
        <v/>
      </c>
      <c r="O1202" s="18">
        <f>$B$3*$B$6*$B$5*COS(F1202)</f>
        <v/>
      </c>
      <c r="P1202" s="18">
        <f>N1202+O1202</f>
        <v/>
      </c>
      <c r="Q1202" s="19">
        <f>ABS(P1202-$P$3)</f>
        <v/>
      </c>
    </row>
    <row r="1203">
      <c r="D1203" s="6" t="n">
        <v>1201</v>
      </c>
      <c r="E1203" s="7" t="n">
        <v>12.00857755539671</v>
      </c>
      <c r="F1203" s="8" t="n">
        <v>1.286579381058222</v>
      </c>
      <c r="G1203" s="9">
        <f>DEGREES(F1203)</f>
        <v/>
      </c>
      <c r="H1203" s="8" t="n">
        <v>13.39730947816185</v>
      </c>
      <c r="I1203" s="9">
        <f>DEGREES(H1203)</f>
        <v/>
      </c>
      <c r="J1203" s="10" t="n">
        <v>1.178346776838098</v>
      </c>
      <c r="K1203" s="10" t="n">
        <v>1.421084728683373</v>
      </c>
      <c r="L1203" s="11">
        <f>$B$5*$B$3*$B$6*SIN(F1203)</f>
        <v/>
      </c>
      <c r="M1203" s="11">
        <f>$B$9*K1203*(SIN(F1203))^2 + $B$8*($B$10+K1203*COS(F1203))*COS(F1203)</f>
        <v/>
      </c>
      <c r="N1203" s="11">
        <f>0.5*$B$9*(J1203^2 + (K1203*SIN(F1203))^2) + 0.5*$B$8*($B$10 + K1203*COS(F1203))^2</f>
        <v/>
      </c>
      <c r="O1203" s="11">
        <f>$B$3*$B$6*$B$5*COS(F1203)</f>
        <v/>
      </c>
      <c r="P1203" s="11">
        <f>N1203+O1203</f>
        <v/>
      </c>
      <c r="Q1203" s="12">
        <f>ABS(P1203-$P$3)</f>
        <v/>
      </c>
    </row>
    <row r="1204">
      <c r="D1204" s="13" t="n">
        <v>1202</v>
      </c>
      <c r="E1204" s="14" t="n">
        <v>12.01858470335954</v>
      </c>
      <c r="F1204" s="15" t="n">
        <v>1.298465910316838</v>
      </c>
      <c r="G1204" s="16">
        <f>DEGREES(F1204)</f>
        <v/>
      </c>
      <c r="H1204" s="15" t="n">
        <v>13.41123387098334</v>
      </c>
      <c r="I1204" s="16">
        <f>DEGREES(H1204)</f>
        <v/>
      </c>
      <c r="J1204" s="17" t="n">
        <v>1.196639253389368</v>
      </c>
      <c r="K1204" s="17" t="n">
        <v>1.361652082390293</v>
      </c>
      <c r="L1204" s="18">
        <f>$B$5*$B$3*$B$6*SIN(F1204)</f>
        <v/>
      </c>
      <c r="M1204" s="18">
        <f>$B$9*K1204*(SIN(F1204))^2 + $B$8*($B$10+K1204*COS(F1204))*COS(F1204)</f>
        <v/>
      </c>
      <c r="N1204" s="18">
        <f>0.5*$B$9*(J1204^2 + (K1204*SIN(F1204))^2) + 0.5*$B$8*($B$10 + K1204*COS(F1204))^2</f>
        <v/>
      </c>
      <c r="O1204" s="18">
        <f>$B$3*$B$6*$B$5*COS(F1204)</f>
        <v/>
      </c>
      <c r="P1204" s="18">
        <f>N1204+O1204</f>
        <v/>
      </c>
      <c r="Q1204" s="19">
        <f>ABS(P1204-$P$3)</f>
        <v/>
      </c>
    </row>
    <row r="1205">
      <c r="D1205" s="6" t="n">
        <v>1203</v>
      </c>
      <c r="E1205" s="7" t="n">
        <v>12.02859185132237</v>
      </c>
      <c r="F1205" s="8" t="n">
        <v>1.31051673944803</v>
      </c>
      <c r="G1205" s="9">
        <f>DEGREES(F1205)</f>
        <v/>
      </c>
      <c r="H1205" s="8" t="n">
        <v>13.42455924531115</v>
      </c>
      <c r="I1205" s="9">
        <f>DEGREES(H1205)</f>
        <v/>
      </c>
      <c r="J1205" s="10" t="n">
        <v>1.211174685948187</v>
      </c>
      <c r="K1205" s="10" t="n">
        <v>1.301397936734333</v>
      </c>
      <c r="L1205" s="11">
        <f>$B$5*$B$3*$B$6*SIN(F1205)</f>
        <v/>
      </c>
      <c r="M1205" s="11">
        <f>$B$9*K1205*(SIN(F1205))^2 + $B$8*($B$10+K1205*COS(F1205))*COS(F1205)</f>
        <v/>
      </c>
      <c r="N1205" s="11">
        <f>0.5*$B$9*(J1205^2 + (K1205*SIN(F1205))^2) + 0.5*$B$8*($B$10 + K1205*COS(F1205))^2</f>
        <v/>
      </c>
      <c r="O1205" s="11">
        <f>$B$3*$B$6*$B$5*COS(F1205)</f>
        <v/>
      </c>
      <c r="P1205" s="11">
        <f>N1205+O1205</f>
        <v/>
      </c>
      <c r="Q1205" s="12">
        <f>ABS(P1205-$P$3)</f>
        <v/>
      </c>
    </row>
    <row r="1206">
      <c r="D1206" s="13" t="n">
        <v>1204</v>
      </c>
      <c r="E1206" s="14" t="n">
        <v>12.0385989992852</v>
      </c>
      <c r="F1206" s="15" t="n">
        <v>1.322694032909413</v>
      </c>
      <c r="G1206" s="16">
        <f>DEGREES(F1206)</f>
        <v/>
      </c>
      <c r="H1206" s="15" t="n">
        <v>13.43727832493992</v>
      </c>
      <c r="I1206" s="16">
        <f>DEGREES(H1206)</f>
        <v/>
      </c>
      <c r="J1206" s="17" t="n">
        <v>1.22190743815471</v>
      </c>
      <c r="K1206" s="17" t="n">
        <v>1.240511469427418</v>
      </c>
      <c r="L1206" s="18">
        <f>$B$5*$B$3*$B$6*SIN(F1206)</f>
        <v/>
      </c>
      <c r="M1206" s="18">
        <f>$B$9*K1206*(SIN(F1206))^2 + $B$8*($B$10+K1206*COS(F1206))*COS(F1206)</f>
        <v/>
      </c>
      <c r="N1206" s="18">
        <f>0.5*$B$9*(J1206^2 + (K1206*SIN(F1206))^2) + 0.5*$B$8*($B$10 + K1206*COS(F1206))^2</f>
        <v/>
      </c>
      <c r="O1206" s="18">
        <f>$B$3*$B$6*$B$5*COS(F1206)</f>
        <v/>
      </c>
      <c r="P1206" s="18">
        <f>N1206+O1206</f>
        <v/>
      </c>
      <c r="Q1206" s="19">
        <f>ABS(P1206-$P$3)</f>
        <v/>
      </c>
    </row>
    <row r="1207">
      <c r="D1207" s="6" t="n">
        <v>1205</v>
      </c>
      <c r="E1207" s="7" t="n">
        <v>12.04860614724804</v>
      </c>
      <c r="F1207" s="8" t="n">
        <v>1.334959558103223</v>
      </c>
      <c r="G1207" s="9">
        <f>DEGREES(F1207)</f>
        <v/>
      </c>
      <c r="H1207" s="8" t="n">
        <v>13.44938573722538</v>
      </c>
      <c r="I1207" s="9">
        <f>DEGREES(H1207)</f>
        <v/>
      </c>
      <c r="J1207" s="10" t="n">
        <v>1.228803812783906</v>
      </c>
      <c r="K1207" s="10" t="n">
        <v>1.17918384345837</v>
      </c>
      <c r="L1207" s="11">
        <f>$B$5*$B$3*$B$6*SIN(F1207)</f>
        <v/>
      </c>
      <c r="M1207" s="11">
        <f>$B$9*K1207*(SIN(F1207))^2 + $B$8*($B$10+K1207*COS(F1207))*COS(F1207)</f>
        <v/>
      </c>
      <c r="N1207" s="11">
        <f>0.5*$B$9*(J1207^2 + (K1207*SIN(F1207))^2) + 0.5*$B$8*($B$10 + K1207*COS(F1207))^2</f>
        <v/>
      </c>
      <c r="O1207" s="11">
        <f>$B$3*$B$6*$B$5*COS(F1207)</f>
        <v/>
      </c>
      <c r="P1207" s="11">
        <f>N1207+O1207</f>
        <v/>
      </c>
      <c r="Q1207" s="12">
        <f>ABS(P1207-$P$3)</f>
        <v/>
      </c>
    </row>
    <row r="1208">
      <c r="D1208" s="13" t="n">
        <v>1206</v>
      </c>
      <c r="E1208" s="14" t="n">
        <v>12.05861329521086</v>
      </c>
      <c r="F1208" s="15" t="n">
        <v>1.347274805413789</v>
      </c>
      <c r="G1208" s="16">
        <f>DEGREES(F1208)</f>
        <v/>
      </c>
      <c r="H1208" s="15" t="n">
        <v>13.46087802995254</v>
      </c>
      <c r="I1208" s="16">
        <f>DEGREES(H1208)</f>
        <v/>
      </c>
      <c r="J1208" s="17" t="n">
        <v>1.231842157543495</v>
      </c>
      <c r="K1208" s="17" t="n">
        <v>1.117607606905537</v>
      </c>
      <c r="L1208" s="18">
        <f>$B$5*$B$3*$B$6*SIN(F1208)</f>
        <v/>
      </c>
      <c r="M1208" s="18">
        <f>$B$9*K1208*(SIN(F1208))^2 + $B$8*($B$10+K1208*COS(F1208))*COS(F1208)</f>
        <v/>
      </c>
      <c r="N1208" s="18">
        <f>0.5*$B$9*(J1208^2 + (K1208*SIN(F1208))^2) + 0.5*$B$8*($B$10 + K1208*COS(F1208))^2</f>
        <v/>
      </c>
      <c r="O1208" s="18">
        <f>$B$3*$B$6*$B$5*COS(F1208)</f>
        <v/>
      </c>
      <c r="P1208" s="18">
        <f>N1208+O1208</f>
        <v/>
      </c>
      <c r="Q1208" s="19">
        <f>ABS(P1208-$P$3)</f>
        <v/>
      </c>
    </row>
    <row r="1209">
      <c r="D1209" s="6" t="n">
        <v>1207</v>
      </c>
      <c r="E1209" s="7" t="n">
        <v>12.0686204431737</v>
      </c>
      <c r="F1209" s="8" t="n">
        <v>1.359601109114752</v>
      </c>
      <c r="G1209" s="9">
        <f>DEGREES(F1209)</f>
        <v/>
      </c>
      <c r="H1209" s="8" t="n">
        <v>13.47175368217455</v>
      </c>
      <c r="I1209" s="9">
        <f>DEGREES(H1209)</f>
        <v/>
      </c>
      <c r="J1209" s="10" t="n">
        <v>1.231012933054843</v>
      </c>
      <c r="K1209" s="10" t="n">
        <v>1.055976088400721</v>
      </c>
      <c r="L1209" s="11">
        <f>$B$5*$B$3*$B$6*SIN(F1209)</f>
        <v/>
      </c>
      <c r="M1209" s="11">
        <f>$B$9*K1209*(SIN(F1209))^2 + $B$8*($B$10+K1209*COS(F1209))*COS(F1209)</f>
        <v/>
      </c>
      <c r="N1209" s="11">
        <f>0.5*$B$9*(J1209^2 + (K1209*SIN(F1209))^2) + 0.5*$B$8*($B$10 + K1209*COS(F1209))^2</f>
        <v/>
      </c>
      <c r="O1209" s="11">
        <f>$B$3*$B$6*$B$5*COS(F1209)</f>
        <v/>
      </c>
      <c r="P1209" s="11">
        <f>N1209+O1209</f>
        <v/>
      </c>
      <c r="Q1209" s="12">
        <f>ABS(P1209-$P$3)</f>
        <v/>
      </c>
    </row>
    <row r="1210">
      <c r="D1210" s="13" t="n">
        <v>1208</v>
      </c>
      <c r="E1210" s="14" t="n">
        <v>12.07862759113653</v>
      </c>
      <c r="F1210" s="15" t="n">
        <v>1.371899768766412</v>
      </c>
      <c r="G1210" s="16">
        <f>DEGREES(F1210)</f>
        <v/>
      </c>
      <c r="H1210" s="15" t="n">
        <v>13.48201310898797</v>
      </c>
      <c r="I1210" s="16">
        <f>DEGREES(H1210)</f>
        <v/>
      </c>
      <c r="J1210" s="17" t="n">
        <v>1.226318742803398</v>
      </c>
      <c r="K1210" s="17" t="n">
        <v>0.994482790142425</v>
      </c>
      <c r="L1210" s="18">
        <f>$B$5*$B$3*$B$6*SIN(F1210)</f>
        <v/>
      </c>
      <c r="M1210" s="18">
        <f>$B$9*K1210*(SIN(F1210))^2 + $B$8*($B$10+K1210*COS(F1210))*COS(F1210)</f>
        <v/>
      </c>
      <c r="N1210" s="18">
        <f>0.5*$B$9*(J1210^2 + (K1210*SIN(F1210))^2) + 0.5*$B$8*($B$10 + K1210*COS(F1210))^2</f>
        <v/>
      </c>
      <c r="O1210" s="18">
        <f>$B$3*$B$6*$B$5*COS(F1210)</f>
        <v/>
      </c>
      <c r="P1210" s="18">
        <f>N1210+O1210</f>
        <v/>
      </c>
      <c r="Q1210" s="19">
        <f>ABS(P1210-$P$3)</f>
        <v/>
      </c>
    </row>
    <row r="1211">
      <c r="D1211" s="6" t="n">
        <v>1209</v>
      </c>
      <c r="E1211" s="7" t="n">
        <v>12.08863473909936</v>
      </c>
      <c r="F1211" s="8" t="n">
        <v>1.384132170722066</v>
      </c>
      <c r="G1211" s="9">
        <f>DEGREES(F1211)</f>
        <v/>
      </c>
      <c r="H1211" s="8" t="n">
        <v>13.49165866022942</v>
      </c>
      <c r="I1211" s="9">
        <f>DEGREES(H1211)</f>
        <v/>
      </c>
      <c r="J1211" s="10" t="n">
        <v>1.217774324964624</v>
      </c>
      <c r="K1211" s="10" t="n">
        <v>0.9333207803641557</v>
      </c>
      <c r="L1211" s="11">
        <f>$B$5*$B$3*$B$6*SIN(F1211)</f>
        <v/>
      </c>
      <c r="M1211" s="11">
        <f>$B$9*K1211*(SIN(F1211))^2 + $B$8*($B$10+K1211*COS(F1211))*COS(F1211)</f>
        <v/>
      </c>
      <c r="N1211" s="11">
        <f>0.5*$B$9*(J1211^2 + (K1211*SIN(F1211))^2) + 0.5*$B$8*($B$10 + K1211*COS(F1211))^2</f>
        <v/>
      </c>
      <c r="O1211" s="11">
        <f>$B$3*$B$6*$B$5*COS(F1211)</f>
        <v/>
      </c>
      <c r="P1211" s="11">
        <f>N1211+O1211</f>
        <v/>
      </c>
      <c r="Q1211" s="12">
        <f>ABS(P1211-$P$3)</f>
        <v/>
      </c>
    </row>
    <row r="1212">
      <c r="D1212" s="13" t="n">
        <v>1210</v>
      </c>
      <c r="E1212" s="14" t="n">
        <v>12.09864188706219</v>
      </c>
      <c r="F1212" s="15" t="n">
        <v>1.396259909361849</v>
      </c>
      <c r="G1212" s="16">
        <f>DEGREES(F1212)</f>
        <v/>
      </c>
      <c r="H1212" s="15" t="n">
        <v>13.50069461309798</v>
      </c>
      <c r="I1212" s="16">
        <f>DEGREES(H1212)</f>
        <v/>
      </c>
      <c r="J1212" s="17" t="n">
        <v>1.205406506131097</v>
      </c>
      <c r="K1212" s="17" t="n">
        <v>0.8726820871652361</v>
      </c>
      <c r="L1212" s="18">
        <f>$B$5*$B$3*$B$6*SIN(F1212)</f>
        <v/>
      </c>
      <c r="M1212" s="18">
        <f>$B$9*K1212*(SIN(F1212))^2 + $B$8*($B$10+K1212*COS(F1212))*COS(F1212)</f>
        <v/>
      </c>
      <c r="N1212" s="18">
        <f>0.5*$B$9*(J1212^2 + (K1212*SIN(F1212))^2) + 0.5*$B$8*($B$10 + K1212*COS(F1212))^2</f>
        <v/>
      </c>
      <c r="O1212" s="18">
        <f>$B$3*$B$6*$B$5*COS(F1212)</f>
        <v/>
      </c>
      <c r="P1212" s="18">
        <f>N1212+O1212</f>
        <v/>
      </c>
      <c r="Q1212" s="19">
        <f>ABS(P1212-$P$3)</f>
        <v/>
      </c>
    </row>
    <row r="1213">
      <c r="D1213" s="6" t="n">
        <v>1211</v>
      </c>
      <c r="E1213" s="7" t="n">
        <v>12.10864903502502</v>
      </c>
      <c r="F1213" s="8" t="n">
        <v>1.408244907673439</v>
      </c>
      <c r="G1213" s="9">
        <f>DEGREES(F1213)</f>
        <v/>
      </c>
      <c r="H1213" s="8" t="n">
        <v>13.50912715872619</v>
      </c>
      <c r="I1213" s="9">
        <f>DEGREES(H1213)</f>
        <v/>
      </c>
      <c r="J1213" s="10" t="n">
        <v>1.189254117086042</v>
      </c>
      <c r="K1213" s="10" t="n">
        <v>0.812757095607286</v>
      </c>
      <c r="L1213" s="11">
        <f>$B$5*$B$3*$B$6*SIN(F1213)</f>
        <v/>
      </c>
      <c r="M1213" s="11">
        <f>$B$9*K1213*(SIN(F1213))^2 + $B$8*($B$10+K1213*COS(F1213))*COS(F1213)</f>
        <v/>
      </c>
      <c r="N1213" s="11">
        <f>0.5*$B$9*(J1213^2 + (K1213*SIN(F1213))^2) + 0.5*$B$8*($B$10 + K1213*COS(F1213))^2</f>
        <v/>
      </c>
      <c r="O1213" s="11">
        <f>$B$3*$B$6*$B$5*COS(F1213)</f>
        <v/>
      </c>
      <c r="P1213" s="11">
        <f>N1213+O1213</f>
        <v/>
      </c>
      <c r="Q1213" s="12">
        <f>ABS(P1213-$P$3)</f>
        <v/>
      </c>
    </row>
    <row r="1214">
      <c r="D1214" s="13" t="n">
        <v>1212</v>
      </c>
      <c r="E1214" s="14" t="n">
        <v>12.11865618298785</v>
      </c>
      <c r="F1214" s="15" t="n">
        <v>1.420049536801036</v>
      </c>
      <c r="G1214" s="16">
        <f>DEGREES(F1214)</f>
        <v/>
      </c>
      <c r="H1214" s="15" t="n">
        <v>13.51696438274196</v>
      </c>
      <c r="I1214" s="16">
        <f>DEGREES(H1214)</f>
        <v/>
      </c>
      <c r="J1214" s="17" t="n">
        <v>1.16936787088777</v>
      </c>
      <c r="K1214" s="17" t="n">
        <v>0.7537339499693021</v>
      </c>
      <c r="L1214" s="18">
        <f>$B$5*$B$3*$B$6*SIN(F1214)</f>
        <v/>
      </c>
      <c r="M1214" s="18">
        <f>$B$9*K1214*(SIN(F1214))^2 + $B$8*($B$10+K1214*COS(F1214))*COS(F1214)</f>
        <v/>
      </c>
      <c r="N1214" s="18">
        <f>0.5*$B$9*(J1214^2 + (K1214*SIN(F1214))^2) + 0.5*$B$8*($B$10 + K1214*COS(F1214))^2</f>
        <v/>
      </c>
      <c r="O1214" s="18">
        <f>$B$3*$B$6*$B$5*COS(F1214)</f>
        <v/>
      </c>
      <c r="P1214" s="18">
        <f>N1214+O1214</f>
        <v/>
      </c>
      <c r="Q1214" s="19">
        <f>ABS(P1214-$P$3)</f>
        <v/>
      </c>
    </row>
    <row r="1215">
      <c r="D1215" s="6" t="n">
        <v>1213</v>
      </c>
      <c r="E1215" s="7" t="n">
        <v>12.12866333095068</v>
      </c>
      <c r="F1215" s="8" t="n">
        <v>1.431636734187306</v>
      </c>
      <c r="G1215" s="9">
        <f>DEGREES(F1215)</f>
        <v/>
      </c>
      <c r="H1215" s="8" t="n">
        <v>13.52421623988244</v>
      </c>
      <c r="I1215" s="9">
        <f>DEGREES(H1215)</f>
        <v/>
      </c>
      <c r="J1215" s="10" t="n">
        <v>1.14581020364773</v>
      </c>
      <c r="K1215" s="10" t="n">
        <v>0.6957979630379523</v>
      </c>
      <c r="L1215" s="11">
        <f>$B$5*$B$3*$B$6*SIN(F1215)</f>
        <v/>
      </c>
      <c r="M1215" s="11">
        <f>$B$9*K1215*(SIN(F1215))^2 + $B$8*($B$10+K1215*COS(F1215))*COS(F1215)</f>
        <v/>
      </c>
      <c r="N1215" s="11">
        <f>0.5*$B$9*(J1215^2 + (K1215*SIN(F1215))^2) + 0.5*$B$8*($B$10 + K1215*COS(F1215))^2</f>
        <v/>
      </c>
      <c r="O1215" s="11">
        <f>$B$3*$B$6*$B$5*COS(F1215)</f>
        <v/>
      </c>
      <c r="P1215" s="11">
        <f>N1215+O1215</f>
        <v/>
      </c>
      <c r="Q1215" s="12">
        <f>ABS(P1215-$P$3)</f>
        <v/>
      </c>
    </row>
    <row r="1216">
      <c r="D1216" s="13" t="n">
        <v>1214</v>
      </c>
      <c r="E1216" s="14" t="n">
        <v>12.13867047891351</v>
      </c>
      <c r="F1216" s="15" t="n">
        <v>1.442970119937292</v>
      </c>
      <c r="G1216" s="16">
        <f>DEGREES(F1216)</f>
        <v/>
      </c>
      <c r="H1216" s="15" t="n">
        <v>13.53089452273953</v>
      </c>
      <c r="I1216" s="16">
        <f>DEGREES(H1216)</f>
        <v/>
      </c>
      <c r="J1216" s="17" t="n">
        <v>1.118655078502224</v>
      </c>
      <c r="K1216" s="17" t="n">
        <v>0.6391310342880228</v>
      </c>
      <c r="L1216" s="18">
        <f>$B$5*$B$3*$B$6*SIN(F1216)</f>
        <v/>
      </c>
      <c r="M1216" s="18">
        <f>$B$9*K1216*(SIN(F1216))^2 + $B$8*($B$10+K1216*COS(F1216))*COS(F1216)</f>
        <v/>
      </c>
      <c r="N1216" s="18">
        <f>0.5*$B$9*(J1216^2 + (K1216*SIN(F1216))^2) + 0.5*$B$8*($B$10 + K1216*COS(F1216))^2</f>
        <v/>
      </c>
      <c r="O1216" s="18">
        <f>$B$3*$B$6*$B$5*COS(F1216)</f>
        <v/>
      </c>
      <c r="P1216" s="18">
        <f>N1216+O1216</f>
        <v/>
      </c>
      <c r="Q1216" s="19">
        <f>ABS(P1216-$P$3)</f>
        <v/>
      </c>
    </row>
    <row r="1217">
      <c r="D1217" s="6" t="n">
        <v>1215</v>
      </c>
      <c r="E1217" s="7" t="n">
        <v>12.14867762687634</v>
      </c>
      <c r="F1217" s="8" t="n">
        <v>1.45401411103905</v>
      </c>
      <c r="G1217" s="9">
        <f>DEGREES(F1217)</f>
        <v/>
      </c>
      <c r="H1217" s="8" t="n">
        <v>13.53701282473506</v>
      </c>
      <c r="I1217" s="9">
        <f>DEGREES(H1217)</f>
        <v/>
      </c>
      <c r="J1217" s="10" t="n">
        <v>1.087987753393029</v>
      </c>
      <c r="K1217" s="10" t="n">
        <v>0.5839110787792332</v>
      </c>
      <c r="L1217" s="11">
        <f>$B$5*$B$3*$B$6*SIN(F1217)</f>
        <v/>
      </c>
      <c r="M1217" s="11">
        <f>$B$9*K1217*(SIN(F1217))^2 + $B$8*($B$10+K1217*COS(F1217))*COS(F1217)</f>
        <v/>
      </c>
      <c r="N1217" s="11">
        <f>0.5*$B$9*(J1217^2 + (K1217*SIN(F1217))^2) + 0.5*$B$8*($B$10 + K1217*COS(F1217))^2</f>
        <v/>
      </c>
      <c r="O1217" s="11">
        <f>$B$3*$B$6*$B$5*COS(F1217)</f>
        <v/>
      </c>
      <c r="P1217" s="11">
        <f>N1217+O1217</f>
        <v/>
      </c>
      <c r="Q1217" s="12">
        <f>ABS(P1217-$P$3)</f>
        <v/>
      </c>
    </row>
    <row r="1218">
      <c r="D1218" s="13" t="n">
        <v>1216</v>
      </c>
      <c r="E1218" s="14" t="n">
        <v>12.15868477483917</v>
      </c>
      <c r="F1218" s="15" t="n">
        <v>1.464734033082314</v>
      </c>
      <c r="G1218" s="16">
        <f>DEGREES(F1218)</f>
        <v/>
      </c>
      <c r="H1218" s="15" t="n">
        <v>13.54258649744206</v>
      </c>
      <c r="I1218" s="16">
        <f>DEGREES(H1218)</f>
        <v/>
      </c>
      <c r="J1218" s="17" t="n">
        <v>1.053904513386185</v>
      </c>
      <c r="K1218" s="17" t="n">
        <v>0.5303114685629102</v>
      </c>
      <c r="L1218" s="18">
        <f>$B$5*$B$3*$B$6*SIN(F1218)</f>
        <v/>
      </c>
      <c r="M1218" s="18">
        <f>$B$9*K1218*(SIN(F1218))^2 + $B$8*($B$10+K1218*COS(F1218))*COS(F1218)</f>
        <v/>
      </c>
      <c r="N1218" s="18">
        <f>0.5*$B$9*(J1218^2 + (K1218*SIN(F1218))^2) + 0.5*$B$8*($B$10 + K1218*COS(F1218))^2</f>
        <v/>
      </c>
      <c r="O1218" s="18">
        <f>$B$3*$B$6*$B$5*COS(F1218)</f>
        <v/>
      </c>
      <c r="P1218" s="18">
        <f>N1218+O1218</f>
        <v/>
      </c>
      <c r="Q1218" s="19">
        <f>ABS(P1218-$P$3)</f>
        <v/>
      </c>
    </row>
    <row r="1219">
      <c r="D1219" s="6" t="n">
        <v>1217</v>
      </c>
      <c r="E1219" s="7" t="n">
        <v>12.168691922802</v>
      </c>
      <c r="F1219" s="8" t="n">
        <v>1.475096229124437</v>
      </c>
      <c r="G1219" s="9">
        <f>DEGREES(F1219)</f>
        <v/>
      </c>
      <c r="H1219" s="8" t="n">
        <v>13.547632602386</v>
      </c>
      <c r="I1219" s="9">
        <f>DEGREES(H1219)</f>
        <v/>
      </c>
      <c r="J1219" s="10" t="n">
        <v>1.016512368369405</v>
      </c>
      <c r="K1219" s="10" t="n">
        <v>0.4785004883522956</v>
      </c>
      <c r="L1219" s="11">
        <f>$B$5*$B$3*$B$6*SIN(F1219)</f>
        <v/>
      </c>
      <c r="M1219" s="11">
        <f>$B$9*K1219*(SIN(F1219))^2 + $B$8*($B$10+K1219*COS(F1219))*COS(F1219)</f>
        <v/>
      </c>
      <c r="N1219" s="11">
        <f>0.5*$B$9*(J1219^2 + (K1219*SIN(F1219))^2) + 0.5*$B$8*($B$10 + K1219*COS(F1219))^2</f>
        <v/>
      </c>
      <c r="O1219" s="11">
        <f>$B$3*$B$6*$B$5*COS(F1219)</f>
        <v/>
      </c>
      <c r="P1219" s="11">
        <f>N1219+O1219</f>
        <v/>
      </c>
      <c r="Q1219" s="12">
        <f>ABS(P1219-$P$3)</f>
        <v/>
      </c>
    </row>
    <row r="1220">
      <c r="D1220" s="13" t="n">
        <v>1218</v>
      </c>
      <c r="E1220" s="14" t="n">
        <v>12.17869907076483</v>
      </c>
      <c r="F1220" s="15" t="n">
        <v>1.48506816536187</v>
      </c>
      <c r="G1220" s="16">
        <f>DEGREES(F1220)</f>
        <v/>
      </c>
      <c r="H1220" s="15" t="n">
        <v>13.55216985747732</v>
      </c>
      <c r="I1220" s="16">
        <f>DEGREES(H1220)</f>
        <v/>
      </c>
      <c r="J1220" s="17" t="n">
        <v>0.9759287170770244</v>
      </c>
      <c r="K1220" s="17" t="n">
        <v>0.4286408071651324</v>
      </c>
      <c r="L1220" s="18">
        <f>$B$5*$B$3*$B$6*SIN(F1220)</f>
        <v/>
      </c>
      <c r="M1220" s="18">
        <f>$B$9*K1220*(SIN(F1220))^2 + $B$8*($B$10+K1220*COS(F1220))*COS(F1220)</f>
        <v/>
      </c>
      <c r="N1220" s="18">
        <f>0.5*$B$9*(J1220^2 + (K1220*SIN(F1220))^2) + 0.5*$B$8*($B$10 + K1220*COS(F1220))^2</f>
        <v/>
      </c>
      <c r="O1220" s="18">
        <f>$B$3*$B$6*$B$5*COS(F1220)</f>
        <v/>
      </c>
      <c r="P1220" s="18">
        <f>N1220+O1220</f>
        <v/>
      </c>
      <c r="Q1220" s="19">
        <f>ABS(P1220-$P$3)</f>
        <v/>
      </c>
    </row>
    <row r="1221">
      <c r="D1221" s="6" t="n">
        <v>1219</v>
      </c>
      <c r="E1221" s="7" t="n">
        <v>12.18870621872766</v>
      </c>
      <c r="F1221" s="8" t="n">
        <v>1.494618533275339</v>
      </c>
      <c r="G1221" s="9">
        <f>DEGREES(F1221)</f>
        <v/>
      </c>
      <c r="H1221" s="8" t="n">
        <v>13.55621857824353</v>
      </c>
      <c r="I1221" s="9">
        <f>DEGREES(H1221)</f>
        <v/>
      </c>
      <c r="J1221" s="10" t="n">
        <v>0.9322809784975343</v>
      </c>
      <c r="K1221" s="10" t="n">
        <v>0.3808889675977872</v>
      </c>
      <c r="L1221" s="11">
        <f>$B$5*$B$3*$B$6*SIN(F1221)</f>
        <v/>
      </c>
      <c r="M1221" s="11">
        <f>$B$9*K1221*(SIN(F1221))^2 + $B$8*($B$10+K1221*COS(F1221))*COS(F1221)</f>
        <v/>
      </c>
      <c r="N1221" s="11">
        <f>0.5*$B$9*(J1221^2 + (K1221*SIN(F1221))^2) + 0.5*$B$8*($B$10 + K1221*COS(F1221))^2</f>
        <v/>
      </c>
      <c r="O1221" s="11">
        <f>$B$3*$B$6*$B$5*COS(F1221)</f>
        <v/>
      </c>
      <c r="P1221" s="11">
        <f>N1221+O1221</f>
        <v/>
      </c>
      <c r="Q1221" s="12">
        <f>ABS(P1221-$P$3)</f>
        <v/>
      </c>
    </row>
    <row r="1222">
      <c r="D1222" s="13" t="n">
        <v>1220</v>
      </c>
      <c r="E1222" s="14" t="n">
        <v>12.19871336669049</v>
      </c>
      <c r="F1222" s="15" t="n">
        <v>1.503717347928036</v>
      </c>
      <c r="G1222" s="16">
        <f>DEGREES(F1222)</f>
        <v/>
      </c>
      <c r="H1222" s="15" t="n">
        <v>13.55980061404528</v>
      </c>
      <c r="I1222" s="16">
        <f>DEGREES(H1222)</f>
        <v/>
      </c>
      <c r="J1222" s="17" t="n">
        <v>0.8857061918209386</v>
      </c>
      <c r="K1222" s="17" t="n">
        <v>0.3353948943343019</v>
      </c>
      <c r="L1222" s="18">
        <f>$B$5*$B$3*$B$6*SIN(F1222)</f>
        <v/>
      </c>
      <c r="M1222" s="18">
        <f>$B$9*K1222*(SIN(F1222))^2 + $B$8*($B$10+K1222*COS(F1222))*COS(F1222)</f>
        <v/>
      </c>
      <c r="N1222" s="18">
        <f>0.5*$B$9*(J1222^2 + (K1222*SIN(F1222))^2) + 0.5*$B$8*($B$10 + K1222*COS(F1222))^2</f>
        <v/>
      </c>
      <c r="O1222" s="18">
        <f>$B$3*$B$6*$B$5*COS(F1222)</f>
        <v/>
      </c>
      <c r="P1222" s="18">
        <f>N1222+O1222</f>
        <v/>
      </c>
      <c r="Q1222" s="19">
        <f>ABS(P1222-$P$3)</f>
        <v/>
      </c>
    </row>
    <row r="1223">
      <c r="D1223" s="6" t="n">
        <v>1221</v>
      </c>
      <c r="E1223" s="7" t="n">
        <v>12.20872051465332</v>
      </c>
      <c r="F1223" s="8" t="n">
        <v>1.512336042108213</v>
      </c>
      <c r="G1223" s="9">
        <f>DEGREES(F1223)</f>
        <v/>
      </c>
      <c r="H1223" s="8" t="n">
        <v>13.56293927947674</v>
      </c>
      <c r="I1223" s="9">
        <f>DEGREES(H1223)</f>
        <v/>
      </c>
      <c r="J1223" s="10" t="n">
        <v>0.8363505861818995</v>
      </c>
      <c r="K1223" s="10" t="n">
        <v>0.2923014234334161</v>
      </c>
      <c r="L1223" s="11">
        <f>$B$5*$B$3*$B$6*SIN(F1223)</f>
        <v/>
      </c>
      <c r="M1223" s="11">
        <f>$B$9*K1223*(SIN(F1223))^2 + $B$8*($B$10+K1223*COS(F1223))*COS(F1223)</f>
        <v/>
      </c>
      <c r="N1223" s="11">
        <f>0.5*$B$9*(J1223^2 + (K1223*SIN(F1223))^2) + 0.5*$B$8*($B$10 + K1223*COS(F1223))^2</f>
        <v/>
      </c>
      <c r="O1223" s="11">
        <f>$B$3*$B$6*$B$5*COS(F1223)</f>
        <v/>
      </c>
      <c r="P1223" s="11">
        <f>N1223+O1223</f>
        <v/>
      </c>
      <c r="Q1223" s="12">
        <f>ABS(P1223-$P$3)</f>
        <v/>
      </c>
    </row>
    <row r="1224">
      <c r="D1224" s="13" t="n">
        <v>1222</v>
      </c>
      <c r="E1224" s="14" t="n">
        <v>12.21872766261616</v>
      </c>
      <c r="F1224" s="15" t="n">
        <v>1.520447556020621</v>
      </c>
      <c r="G1224" s="16">
        <f>DEGREES(F1224)</f>
        <v/>
      </c>
      <c r="H1224" s="15" t="n">
        <v>13.56565928116563</v>
      </c>
      <c r="I1224" s="16">
        <f>DEGREES(H1224)</f>
        <v/>
      </c>
      <c r="J1224" s="17" t="n">
        <v>0.7843691215494235</v>
      </c>
      <c r="K1224" s="17" t="n">
        <v>0.2517438538713779</v>
      </c>
      <c r="L1224" s="18">
        <f>$B$5*$B$3*$B$6*SIN(F1224)</f>
        <v/>
      </c>
      <c r="M1224" s="18">
        <f>$B$9*K1224*(SIN(F1224))^2 + $B$8*($B$10+K1224*COS(F1224))*COS(F1224)</f>
        <v/>
      </c>
      <c r="N1224" s="18">
        <f>0.5*$B$9*(J1224^2 + (K1224*SIN(F1224))^2) + 0.5*$B$8*($B$10 + K1224*COS(F1224))^2</f>
        <v/>
      </c>
      <c r="O1224" s="18">
        <f>$B$3*$B$6*$B$5*COS(F1224)</f>
        <v/>
      </c>
      <c r="P1224" s="18">
        <f>N1224+O1224</f>
        <v/>
      </c>
      <c r="Q1224" s="19">
        <f>ABS(P1224-$P$3)</f>
        <v/>
      </c>
    </row>
    <row r="1225">
      <c r="D1225" s="6" t="n">
        <v>1223</v>
      </c>
      <c r="E1225" s="7" t="n">
        <v>12.22873481057899</v>
      </c>
      <c r="F1225" s="8" t="n">
        <v>1.528026422245125</v>
      </c>
      <c r="G1225" s="9">
        <f>DEGREES(F1225)</f>
        <v/>
      </c>
      <c r="H1225" s="8" t="n">
        <v>13.56798664020272</v>
      </c>
      <c r="I1225" s="9">
        <f>DEGREES(H1225)</f>
        <v/>
      </c>
      <c r="J1225" s="10" t="n">
        <v>0.7299250022048847</v>
      </c>
      <c r="K1225" s="10" t="n">
        <v>0.2138495227488566</v>
      </c>
      <c r="L1225" s="11">
        <f>$B$5*$B$3*$B$6*SIN(F1225)</f>
        <v/>
      </c>
      <c r="M1225" s="11">
        <f>$B$9*K1225*(SIN(F1225))^2 + $B$8*($B$10+K1225*COS(F1225))*COS(F1225)</f>
        <v/>
      </c>
      <c r="N1225" s="11">
        <f>0.5*$B$9*(J1225^2 + (K1225*SIN(F1225))^2) + 0.5*$B$8*($B$10 + K1225*COS(F1225))^2</f>
        <v/>
      </c>
      <c r="O1225" s="11">
        <f>$B$3*$B$6*$B$5*COS(F1225)</f>
        <v/>
      </c>
      <c r="P1225" s="11">
        <f>N1225+O1225</f>
        <v/>
      </c>
      <c r="Q1225" s="12">
        <f>ABS(P1225-$P$3)</f>
        <v/>
      </c>
    </row>
    <row r="1226">
      <c r="D1226" s="13" t="n">
        <v>1224</v>
      </c>
      <c r="E1226" s="14" t="n">
        <v>12.23874195854182</v>
      </c>
      <c r="F1226" s="15" t="n">
        <v>1.535048845695827</v>
      </c>
      <c r="G1226" s="16">
        <f>DEGREES(F1226)</f>
        <v/>
      </c>
      <c r="H1226" s="15" t="n">
        <v>13.5699486104444</v>
      </c>
      <c r="I1226" s="16">
        <f>DEGREES(H1226)</f>
        <v/>
      </c>
      <c r="J1226" s="17" t="n">
        <v>0.6731891643355917</v>
      </c>
      <c r="K1226" s="17" t="n">
        <v>0.1787374054953494</v>
      </c>
      <c r="L1226" s="18">
        <f>$B$5*$B$3*$B$6*SIN(F1226)</f>
        <v/>
      </c>
      <c r="M1226" s="18">
        <f>$B$9*K1226*(SIN(F1226))^2 + $B$8*($B$10+K1226*COS(F1226))*COS(F1226)</f>
        <v/>
      </c>
      <c r="N1226" s="18">
        <f>0.5*$B$9*(J1226^2 + (K1226*SIN(F1226))^2) + 0.5*$B$8*($B$10 + K1226*COS(F1226))^2</f>
        <v/>
      </c>
      <c r="O1226" s="18">
        <f>$B$3*$B$6*$B$5*COS(F1226)</f>
        <v/>
      </c>
      <c r="P1226" s="18">
        <f>N1226+O1226</f>
        <v/>
      </c>
      <c r="Q1226" s="19">
        <f>ABS(P1226-$P$3)</f>
        <v/>
      </c>
    </row>
    <row r="1227">
      <c r="D1227" s="6" t="n">
        <v>1225</v>
      </c>
      <c r="E1227" s="7" t="n">
        <v>12.24874910650465</v>
      </c>
      <c r="F1227" s="8" t="n">
        <v>1.541492778329627</v>
      </c>
      <c r="G1227" s="9">
        <f>DEGREES(F1227)</f>
        <v/>
      </c>
      <c r="H1227" s="8" t="n">
        <v>13.57157359294475</v>
      </c>
      <c r="I1227" s="9">
        <f>DEGREES(H1227)</f>
        <v/>
      </c>
      <c r="J1227" s="10" t="n">
        <v>0.6143397393526357</v>
      </c>
      <c r="K1227" s="10" t="n">
        <v>0.1465177423263452</v>
      </c>
      <c r="L1227" s="11">
        <f>$B$5*$B$3*$B$6*SIN(F1227)</f>
        <v/>
      </c>
      <c r="M1227" s="11">
        <f>$B$9*K1227*(SIN(F1227))^2 + $B$8*($B$10+K1227*COS(F1227))*COS(F1227)</f>
        <v/>
      </c>
      <c r="N1227" s="11">
        <f>0.5*$B$9*(J1227^2 + (K1227*SIN(F1227))^2) + 0.5*$B$8*($B$10 + K1227*COS(F1227))^2</f>
        <v/>
      </c>
      <c r="O1227" s="11">
        <f>$B$3*$B$6*$B$5*COS(F1227)</f>
        <v/>
      </c>
      <c r="P1227" s="11">
        <f>N1227+O1227</f>
        <v/>
      </c>
      <c r="Q1227" s="12">
        <f>ABS(P1227-$P$3)</f>
        <v/>
      </c>
    </row>
    <row r="1228">
      <c r="D1228" s="13" t="n">
        <v>1226</v>
      </c>
      <c r="E1228" s="14" t="n">
        <v>12.25875625446748</v>
      </c>
      <c r="F1228" s="15" t="n">
        <v>1.547337988369638</v>
      </c>
      <c r="G1228" s="16">
        <f>DEGREES(F1228)</f>
        <v/>
      </c>
      <c r="H1228" s="15" t="n">
        <v>13.57289104678579</v>
      </c>
      <c r="I1228" s="16">
        <f>DEGREES(H1228)</f>
        <v/>
      </c>
      <c r="J1228" s="17" t="n">
        <v>0.5535614946184293</v>
      </c>
      <c r="K1228" s="17" t="n">
        <v>0.1172916921262915</v>
      </c>
      <c r="L1228" s="18">
        <f>$B$5*$B$3*$B$6*SIN(F1228)</f>
        <v/>
      </c>
      <c r="M1228" s="18">
        <f>$B$9*K1228*(SIN(F1228))^2 + $B$8*($B$10+K1228*COS(F1228))*COS(F1228)</f>
        <v/>
      </c>
      <c r="N1228" s="18">
        <f>0.5*$B$9*(J1228^2 + (K1228*SIN(F1228))^2) + 0.5*$B$8*($B$10 + K1228*COS(F1228))^2</f>
        <v/>
      </c>
      <c r="O1228" s="18">
        <f>$B$3*$B$6*$B$5*COS(F1228)</f>
        <v/>
      </c>
      <c r="P1228" s="18">
        <f>N1228+O1228</f>
        <v/>
      </c>
      <c r="Q1228" s="19">
        <f>ABS(P1228-$P$3)</f>
        <v/>
      </c>
    </row>
    <row r="1229">
      <c r="D1229" s="6" t="n">
        <v>1227</v>
      </c>
      <c r="E1229" s="7" t="n">
        <v>12.26876340243031</v>
      </c>
      <c r="F1229" s="8" t="n">
        <v>1.552566123826148</v>
      </c>
      <c r="G1229" s="9">
        <f>DEGREES(F1229)</f>
        <v/>
      </c>
      <c r="H1229" s="8" t="n">
        <v>13.57393139658587</v>
      </c>
      <c r="I1229" s="9">
        <f>DEGREES(H1229)</f>
        <v/>
      </c>
      <c r="J1229" s="10" t="n">
        <v>0.4910452533393846</v>
      </c>
      <c r="K1229" s="10" t="n">
        <v>0.09115101484374133</v>
      </c>
      <c r="L1229" s="11">
        <f>$B$5*$B$3*$B$6*SIN(F1229)</f>
        <v/>
      </c>
      <c r="M1229" s="11">
        <f>$B$9*K1229*(SIN(F1229))^2 + $B$8*($B$10+K1229*COS(F1229))*COS(F1229)</f>
        <v/>
      </c>
      <c r="N1229" s="11">
        <f>0.5*$B$9*(J1229^2 + (K1229*SIN(F1229))^2) + 0.5*$B$8*($B$10 + K1229*COS(F1229))^2</f>
        <v/>
      </c>
      <c r="O1229" s="11">
        <f>$B$3*$B$6*$B$5*COS(F1229)</f>
        <v/>
      </c>
      <c r="P1229" s="11">
        <f>N1229+O1229</f>
        <v/>
      </c>
      <c r="Q1229" s="12">
        <f>ABS(P1229-$P$3)</f>
        <v/>
      </c>
    </row>
    <row r="1230">
      <c r="D1230" s="13" t="n">
        <v>1228</v>
      </c>
      <c r="E1230" s="14" t="n">
        <v>12.27877055039314</v>
      </c>
      <c r="F1230" s="15" t="n">
        <v>1.557160770115687</v>
      </c>
      <c r="G1230" s="16">
        <f>DEGREES(F1230)</f>
        <v/>
      </c>
      <c r="H1230" s="15" t="n">
        <v>13.57472593697668</v>
      </c>
      <c r="I1230" s="16">
        <f>DEGREES(H1230)</f>
        <v/>
      </c>
      <c r="J1230" s="17" t="n">
        <v>0.4269872954453658</v>
      </c>
      <c r="K1230" s="17" t="n">
        <v>0.06817778339604619</v>
      </c>
      <c r="L1230" s="18">
        <f>$B$5*$B$3*$B$6*SIN(F1230)</f>
        <v/>
      </c>
      <c r="M1230" s="18">
        <f>$B$9*K1230*(SIN(F1230))^2 + $B$8*($B$10+K1230*COS(F1230))*COS(F1230)</f>
        <v/>
      </c>
      <c r="N1230" s="18">
        <f>0.5*$B$9*(J1230^2 + (K1230*SIN(F1230))^2) + 0.5*$B$8*($B$10 + K1230*COS(F1230))^2</f>
        <v/>
      </c>
      <c r="O1230" s="18">
        <f>$B$3*$B$6*$B$5*COS(F1230)</f>
        <v/>
      </c>
      <c r="P1230" s="18">
        <f>N1230+O1230</f>
        <v/>
      </c>
      <c r="Q1230" s="19">
        <f>ABS(P1230-$P$3)</f>
        <v/>
      </c>
    </row>
    <row r="1231">
      <c r="D1231" s="6" t="n">
        <v>1229</v>
      </c>
      <c r="E1231" s="7" t="n">
        <v>12.28877769835597</v>
      </c>
      <c r="F1231" s="8" t="n">
        <v>1.561107501597286</v>
      </c>
      <c r="G1231" s="9">
        <f>DEGREES(F1231)</f>
        <v/>
      </c>
      <c r="H1231" s="8" t="n">
        <v>13.57530673434859</v>
      </c>
      <c r="I1231" s="9">
        <f>DEGREES(H1231)</f>
        <v/>
      </c>
      <c r="J1231" s="10" t="n">
        <v>0.3615887413368553</v>
      </c>
      <c r="K1231" s="10" t="n">
        <v>0.0484441259880537</v>
      </c>
      <c r="L1231" s="11">
        <f>$B$5*$B$3*$B$6*SIN(F1231)</f>
        <v/>
      </c>
      <c r="M1231" s="11">
        <f>$B$9*K1231*(SIN(F1231))^2 + $B$8*($B$10+K1231*COS(F1231))*COS(F1231)</f>
        <v/>
      </c>
      <c r="N1231" s="11">
        <f>0.5*$B$9*(J1231^2 + (K1231*SIN(F1231))^2) + 0.5*$B$8*($B$10 + K1231*COS(F1231))^2</f>
        <v/>
      </c>
      <c r="O1231" s="11">
        <f>$B$3*$B$6*$B$5*COS(F1231)</f>
        <v/>
      </c>
      <c r="P1231" s="11">
        <f>N1231+O1231</f>
        <v/>
      </c>
      <c r="Q1231" s="12">
        <f>ABS(P1231-$P$3)</f>
        <v/>
      </c>
    </row>
    <row r="1232">
      <c r="D1232" s="13" t="n">
        <v>1230</v>
      </c>
      <c r="E1232" s="14" t="n">
        <v>12.2987848463188</v>
      </c>
      <c r="F1232" s="15" t="n">
        <v>1.564393926864126</v>
      </c>
      <c r="G1232" s="16">
        <f>DEGREES(F1232)</f>
        <v/>
      </c>
      <c r="H1232" s="15" t="n">
        <v>13.57570652617304</v>
      </c>
      <c r="I1232" s="16">
        <f>DEGREES(H1232)</f>
        <v/>
      </c>
      <c r="J1232" s="17" t="n">
        <v>0.2950549204346725</v>
      </c>
      <c r="K1232" s="17" t="n">
        <v>0.03201199965385304</v>
      </c>
      <c r="L1232" s="18">
        <f>$B$5*$B$3*$B$6*SIN(F1232)</f>
        <v/>
      </c>
      <c r="M1232" s="18">
        <f>$B$9*K1232*(SIN(F1232))^2 + $B$8*($B$10+K1232*COS(F1232))*COS(F1232)</f>
        <v/>
      </c>
      <c r="N1232" s="18">
        <f>0.5*$B$9*(J1232^2 + (K1232*SIN(F1232))^2) + 0.5*$B$8*($B$10 + K1232*COS(F1232))^2</f>
        <v/>
      </c>
      <c r="O1232" s="18">
        <f>$B$3*$B$6*$B$5*COS(F1232)</f>
        <v/>
      </c>
      <c r="P1232" s="18">
        <f>N1232+O1232</f>
        <v/>
      </c>
      <c r="Q1232" s="19">
        <f>ABS(P1232-$P$3)</f>
        <v/>
      </c>
    </row>
    <row r="1233">
      <c r="D1233" s="6" t="n">
        <v>1231</v>
      </c>
      <c r="E1233" s="7" t="n">
        <v>12.30879199428163</v>
      </c>
      <c r="F1233" s="8" t="n">
        <v>1.567009727648384</v>
      </c>
      <c r="G1233" s="9">
        <f>DEGREES(F1233)</f>
        <v/>
      </c>
      <c r="H1233" s="8" t="n">
        <v>13.57595861821789</v>
      </c>
      <c r="I1233" s="9">
        <f>DEGREES(H1233)</f>
        <v/>
      </c>
      <c r="J1233" s="10" t="n">
        <v>0.2275947265147882</v>
      </c>
      <c r="K1233" s="10" t="n">
        <v>0.01893299573256435</v>
      </c>
      <c r="L1233" s="11">
        <f>$B$5*$B$3*$B$6*SIN(F1233)</f>
        <v/>
      </c>
      <c r="M1233" s="11">
        <f>$B$9*K1233*(SIN(F1233))^2 + $B$8*($B$10+K1233*COS(F1233))*COS(F1233)</f>
        <v/>
      </c>
      <c r="N1233" s="11">
        <f>0.5*$B$9*(J1233^2 + (K1233*SIN(F1233))^2) + 0.5*$B$8*($B$10 + K1233*COS(F1233))^2</f>
        <v/>
      </c>
      <c r="O1233" s="11">
        <f>$B$3*$B$6*$B$5*COS(F1233)</f>
        <v/>
      </c>
      <c r="P1233" s="11">
        <f>N1233+O1233</f>
        <v/>
      </c>
      <c r="Q1233" s="12">
        <f>ABS(P1233-$P$3)</f>
        <v/>
      </c>
    </row>
    <row r="1234">
      <c r="D1234" s="13" t="n">
        <v>1232</v>
      </c>
      <c r="E1234" s="14" t="n">
        <v>12.31879914224446</v>
      </c>
      <c r="F1234" s="15" t="n">
        <v>1.568946691217112</v>
      </c>
      <c r="G1234" s="16">
        <f>DEGREES(F1234)</f>
        <v/>
      </c>
      <c r="H1234" s="15" t="n">
        <v>13.57609677997852</v>
      </c>
      <c r="I1234" s="16">
        <f>DEGREES(H1234)</f>
        <v/>
      </c>
      <c r="J1234" s="17" t="n">
        <v>0.1594199618522645</v>
      </c>
      <c r="K1234" s="17" t="n">
        <v>0.009248177888923292</v>
      </c>
      <c r="L1234" s="18">
        <f>$B$5*$B$3*$B$6*SIN(F1234)</f>
        <v/>
      </c>
      <c r="M1234" s="18">
        <f>$B$9*K1234*(SIN(F1234))^2 + $B$8*($B$10+K1234*COS(F1234))*COS(F1234)</f>
        <v/>
      </c>
      <c r="N1234" s="18">
        <f>0.5*$B$9*(J1234^2 + (K1234*SIN(F1234))^2) + 0.5*$B$8*($B$10 + K1234*COS(F1234))^2</f>
        <v/>
      </c>
      <c r="O1234" s="18">
        <f>$B$3*$B$6*$B$5*COS(F1234)</f>
        <v/>
      </c>
      <c r="P1234" s="18">
        <f>N1234+O1234</f>
        <v/>
      </c>
      <c r="Q1234" s="19">
        <f>ABS(P1234-$P$3)</f>
        <v/>
      </c>
    </row>
    <row r="1235">
      <c r="D1235" s="6" t="n">
        <v>1233</v>
      </c>
      <c r="E1235" s="7" t="n">
        <v>12.32880629020729</v>
      </c>
      <c r="F1235" s="8" t="n">
        <v>1.570198736157455</v>
      </c>
      <c r="G1235" s="9">
        <f>DEGREES(F1235)</f>
        <v/>
      </c>
      <c r="H1235" s="8" t="n">
        <v>13.576155138653</v>
      </c>
      <c r="I1235" s="9">
        <f>DEGREES(H1235)</f>
        <v/>
      </c>
      <c r="J1235" s="10" t="n">
        <v>0.0907446722334873</v>
      </c>
      <c r="K1235" s="10" t="n">
        <v>0.002987953187209014</v>
      </c>
      <c r="L1235" s="11">
        <f>$B$5*$B$3*$B$6*SIN(F1235)</f>
        <v/>
      </c>
      <c r="M1235" s="11">
        <f>$B$9*K1235*(SIN(F1235))^2 + $B$8*($B$10+K1235*COS(F1235))*COS(F1235)</f>
        <v/>
      </c>
      <c r="N1235" s="11">
        <f>0.5*$B$9*(J1235^2 + (K1235*SIN(F1235))^2) + 0.5*$B$8*($B$10 + K1235*COS(F1235))^2</f>
        <v/>
      </c>
      <c r="O1235" s="11">
        <f>$B$3*$B$6*$B$5*COS(F1235)</f>
        <v/>
      </c>
      <c r="P1235" s="11">
        <f>N1235+O1235</f>
        <v/>
      </c>
      <c r="Q1235" s="12">
        <f>ABS(P1235-$P$3)</f>
        <v/>
      </c>
    </row>
    <row r="1236">
      <c r="D1236" s="13" t="n">
        <v>1234</v>
      </c>
      <c r="E1236" s="14" t="n">
        <v>12.33881343817012</v>
      </c>
      <c r="F1236" s="15" t="n">
        <v>1.570761931470234</v>
      </c>
      <c r="G1236" s="16">
        <f>DEGREES(F1236)</f>
        <v/>
      </c>
      <c r="H1236" s="15" t="n">
        <v>13.57616807199424</v>
      </c>
      <c r="I1236" s="16">
        <f>DEGREES(H1236)</f>
        <v/>
      </c>
      <c r="J1236" s="17" t="n">
        <v>0.02178447492453017</v>
      </c>
      <c r="K1236" s="17" t="n">
        <v>0.0001719766233114761</v>
      </c>
      <c r="L1236" s="18">
        <f>$B$5*$B$3*$B$6*SIN(F1236)</f>
        <v/>
      </c>
      <c r="M1236" s="18">
        <f>$B$9*K1236*(SIN(F1236))^2 + $B$8*($B$10+K1236*COS(F1236))*COS(F1236)</f>
        <v/>
      </c>
      <c r="N1236" s="18">
        <f>0.5*$B$9*(J1236^2 + (K1236*SIN(F1236))^2) + 0.5*$B$8*($B$10 + K1236*COS(F1236))^2</f>
        <v/>
      </c>
      <c r="O1236" s="18">
        <f>$B$3*$B$6*$B$5*COS(F1236)</f>
        <v/>
      </c>
      <c r="P1236" s="18">
        <f>N1236+O1236</f>
        <v/>
      </c>
      <c r="Q1236" s="19">
        <f>ABS(P1236-$P$3)</f>
        <v/>
      </c>
    </row>
    <row r="1237">
      <c r="D1237" s="6" t="n">
        <v>1235</v>
      </c>
      <c r="E1237" s="7" t="n">
        <v>12.34882058613295</v>
      </c>
      <c r="F1237" s="8" t="n">
        <v>1.570634508911963</v>
      </c>
      <c r="G1237" s="9">
        <f>DEGREES(F1237)</f>
        <v/>
      </c>
      <c r="H1237" s="8" t="n">
        <v>13.57617010037533</v>
      </c>
      <c r="I1237" s="9">
        <f>DEGREES(H1237)</f>
        <v/>
      </c>
      <c r="J1237" s="10" t="n">
        <v>-0.04724411829439906</v>
      </c>
      <c r="K1237" s="10" t="n">
        <v>0.0008090894146675076</v>
      </c>
      <c r="L1237" s="11">
        <f>$B$5*$B$3*$B$6*SIN(F1237)</f>
        <v/>
      </c>
      <c r="M1237" s="11">
        <f>$B$9*K1237*(SIN(F1237))^2 + $B$8*($B$10+K1237*COS(F1237))*COS(F1237)</f>
        <v/>
      </c>
      <c r="N1237" s="11">
        <f>0.5*$B$9*(J1237^2 + (K1237*SIN(F1237))^2) + 0.5*$B$8*($B$10 + K1237*COS(F1237))^2</f>
        <v/>
      </c>
      <c r="O1237" s="11">
        <f>$B$3*$B$6*$B$5*COS(F1237)</f>
        <v/>
      </c>
      <c r="P1237" s="11">
        <f>N1237+O1237</f>
        <v/>
      </c>
      <c r="Q1237" s="12">
        <f>ABS(P1237-$P$3)</f>
        <v/>
      </c>
    </row>
    <row r="1238">
      <c r="D1238" s="13" t="n">
        <v>1236</v>
      </c>
      <c r="E1238" s="14" t="n">
        <v>12.35882773409578</v>
      </c>
      <c r="F1238" s="15" t="n">
        <v>1.569816868546533</v>
      </c>
      <c r="G1238" s="16">
        <f>DEGREES(F1238)</f>
        <v/>
      </c>
      <c r="H1238" s="15" t="n">
        <v>13.57619577840731</v>
      </c>
      <c r="I1238" s="16">
        <f>DEGREES(H1238)</f>
        <v/>
      </c>
      <c r="J1238" s="17" t="n">
        <v>-0.1161243809029845</v>
      </c>
      <c r="K1238" s="17" t="n">
        <v>0.004897291241816371</v>
      </c>
      <c r="L1238" s="18">
        <f>$B$5*$B$3*$B$6*SIN(F1238)</f>
        <v/>
      </c>
      <c r="M1238" s="18">
        <f>$B$9*K1238*(SIN(F1238))^2 + $B$8*($B$10+K1238*COS(F1238))*COS(F1238)</f>
        <v/>
      </c>
      <c r="N1238" s="18">
        <f>0.5*$B$9*(J1238^2 + (K1238*SIN(F1238))^2) + 0.5*$B$8*($B$10 + K1238*COS(F1238))^2</f>
        <v/>
      </c>
      <c r="O1238" s="18">
        <f>$B$3*$B$6*$B$5*COS(F1238)</f>
        <v/>
      </c>
      <c r="P1238" s="18">
        <f>N1238+O1238</f>
        <v/>
      </c>
      <c r="Q1238" s="19">
        <f>ABS(P1238-$P$3)</f>
        <v/>
      </c>
    </row>
    <row r="1239">
      <c r="D1239" s="6" t="n">
        <v>1237</v>
      </c>
      <c r="E1239" s="7" t="n">
        <v>12.36883488205861</v>
      </c>
      <c r="F1239" s="8" t="n">
        <v>1.56831157748915</v>
      </c>
      <c r="G1239" s="9">
        <f>DEGREES(F1239)</f>
        <v/>
      </c>
      <c r="H1239" s="8" t="n">
        <v>13.57627958644926</v>
      </c>
      <c r="I1239" s="9">
        <f>DEGREES(H1239)</f>
        <v/>
      </c>
      <c r="J1239" s="10" t="n">
        <v>-0.1846400520890397</v>
      </c>
      <c r="K1239" s="10" t="n">
        <v>0.01242374652873113</v>
      </c>
      <c r="L1239" s="11">
        <f>$B$5*$B$3*$B$6*SIN(F1239)</f>
        <v/>
      </c>
      <c r="M1239" s="11">
        <f>$B$9*K1239*(SIN(F1239))^2 + $B$8*($B$10+K1239*COS(F1239))*COS(F1239)</f>
        <v/>
      </c>
      <c r="N1239" s="11">
        <f>0.5*$B$9*(J1239^2 + (K1239*SIN(F1239))^2) + 0.5*$B$8*($B$10 + K1239*COS(F1239))^2</f>
        <v/>
      </c>
      <c r="O1239" s="11">
        <f>$B$3*$B$6*$B$5*COS(F1239)</f>
        <v/>
      </c>
      <c r="P1239" s="11">
        <f>N1239+O1239</f>
        <v/>
      </c>
      <c r="Q1239" s="12">
        <f>ABS(P1239-$P$3)</f>
        <v/>
      </c>
    </row>
    <row r="1240">
      <c r="D1240" s="13" t="n">
        <v>1238</v>
      </c>
      <c r="E1240" s="14" t="n">
        <v>12.37884203002145</v>
      </c>
      <c r="F1240" s="15" t="n">
        <v>1.566123361846457</v>
      </c>
      <c r="G1240" s="16">
        <f>DEGREES(F1240)</f>
        <v/>
      </c>
      <c r="H1240" s="15" t="n">
        <v>13.57645582235162</v>
      </c>
      <c r="I1240" s="16">
        <f>DEGREES(H1240)</f>
        <v/>
      </c>
      <c r="J1240" s="17" t="n">
        <v>-0.2525760157345791</v>
      </c>
      <c r="K1240" s="17" t="n">
        <v>0.02336482474219892</v>
      </c>
      <c r="L1240" s="18">
        <f>$B$5*$B$3*$B$6*SIN(F1240)</f>
        <v/>
      </c>
      <c r="M1240" s="18">
        <f>$B$9*K1240*(SIN(F1240))^2 + $B$8*($B$10+K1240*COS(F1240))*COS(F1240)</f>
        <v/>
      </c>
      <c r="N1240" s="18">
        <f>0.5*$B$9*(J1240^2 + (K1240*SIN(F1240))^2) + 0.5*$B$8*($B$10 + K1240*COS(F1240))^2</f>
        <v/>
      </c>
      <c r="O1240" s="18">
        <f>$B$3*$B$6*$B$5*COS(F1240)</f>
        <v/>
      </c>
      <c r="P1240" s="18">
        <f>N1240+O1240</f>
        <v/>
      </c>
      <c r="Q1240" s="19">
        <f>ABS(P1240-$P$3)</f>
        <v/>
      </c>
    </row>
    <row r="1241">
      <c r="D1241" s="6" t="n">
        <v>1239</v>
      </c>
      <c r="E1241" s="7" t="n">
        <v>12.38884917798427</v>
      </c>
      <c r="F1241" s="8" t="n">
        <v>1.56325909187815</v>
      </c>
      <c r="G1241" s="9">
        <f>DEGREES(F1241)</f>
        <v/>
      </c>
      <c r="H1241" s="8" t="n">
        <v>13.57675849377251</v>
      </c>
      <c r="I1241" s="9">
        <f>DEGREES(H1241)</f>
        <v/>
      </c>
      <c r="J1241" s="10" t="n">
        <v>-0.3197189758079348</v>
      </c>
      <c r="K1241" s="10" t="n">
        <v>0.03768617458373447</v>
      </c>
      <c r="L1241" s="11">
        <f>$B$5*$B$3*$B$6*SIN(F1241)</f>
        <v/>
      </c>
      <c r="M1241" s="11">
        <f>$B$9*K1241*(SIN(F1241))^2 + $B$8*($B$10+K1241*COS(F1241))*COS(F1241)</f>
        <v/>
      </c>
      <c r="N1241" s="11">
        <f>0.5*$B$9*(J1241^2 + (K1241*SIN(F1241))^2) + 0.5*$B$8*($B$10 + K1241*COS(F1241))^2</f>
        <v/>
      </c>
      <c r="O1241" s="11">
        <f>$B$3*$B$6*$B$5*COS(F1241)</f>
        <v/>
      </c>
      <c r="P1241" s="11">
        <f>N1241+O1241</f>
        <v/>
      </c>
      <c r="Q1241" s="12">
        <f>ABS(P1241-$P$3)</f>
        <v/>
      </c>
    </row>
    <row r="1242">
      <c r="D1242" s="13" t="n">
        <v>1240</v>
      </c>
      <c r="E1242" s="14" t="n">
        <v>12.39885632594711</v>
      </c>
      <c r="F1242" s="15" t="n">
        <v>1.559727760426681</v>
      </c>
      <c r="G1242" s="16">
        <f>DEGREES(F1242)</f>
        <v/>
      </c>
      <c r="H1242" s="15" t="n">
        <v>13.57722121140511</v>
      </c>
      <c r="I1242" s="16">
        <f>DEGREES(H1242)</f>
        <v/>
      </c>
      <c r="J1242" s="17" t="n">
        <v>-0.3858581260414164</v>
      </c>
      <c r="K1242" s="17" t="n">
        <v>0.05534283184107958</v>
      </c>
      <c r="L1242" s="18">
        <f>$B$5*$B$3*$B$6*SIN(F1242)</f>
        <v/>
      </c>
      <c r="M1242" s="18">
        <f>$B$9*K1242*(SIN(F1242))^2 + $B$8*($B$10+K1242*COS(F1242))*COS(F1242)</f>
        <v/>
      </c>
      <c r="N1242" s="18">
        <f>0.5*$B$9*(J1242^2 + (K1242*SIN(F1242))^2) + 0.5*$B$8*($B$10 + K1242*COS(F1242))^2</f>
        <v/>
      </c>
      <c r="O1242" s="18">
        <f>$B$3*$B$6*$B$5*COS(F1242)</f>
        <v/>
      </c>
      <c r="P1242" s="18">
        <f>N1242+O1242</f>
        <v/>
      </c>
      <c r="Q1242" s="19">
        <f>ABS(P1242-$P$3)</f>
        <v/>
      </c>
    </row>
    <row r="1243">
      <c r="D1243" s="6" t="n">
        <v>1241</v>
      </c>
      <c r="E1243" s="7" t="n">
        <v>12.40886347390994</v>
      </c>
      <c r="F1243" s="8" t="n">
        <v>1.555540454682761</v>
      </c>
      <c r="G1243" s="9">
        <f>DEGREES(F1243)</f>
        <v/>
      </c>
      <c r="H1243" s="8" t="n">
        <v>13.57787708345145</v>
      </c>
      <c r="I1243" s="9">
        <f>DEGREES(H1243)</f>
        <v/>
      </c>
      <c r="J1243" s="10" t="n">
        <v>-0.4507858117919502</v>
      </c>
      <c r="K1243" s="10" t="n">
        <v>0.07627936056067686</v>
      </c>
      <c r="L1243" s="11">
        <f>$B$5*$B$3*$B$6*SIN(F1243)</f>
        <v/>
      </c>
      <c r="M1243" s="11">
        <f>$B$9*K1243*(SIN(F1243))^2 + $B$8*($B$10+K1243*COS(F1243))*COS(F1243)</f>
        <v/>
      </c>
      <c r="N1243" s="11">
        <f>0.5*$B$9*(J1243^2 + (K1243*SIN(F1243))^2) + 0.5*$B$8*($B$10 + K1243*COS(F1243))^2</f>
        <v/>
      </c>
      <c r="O1243" s="11">
        <f>$B$3*$B$6*$B$5*COS(F1243)</f>
        <v/>
      </c>
      <c r="P1243" s="11">
        <f>N1243+O1243</f>
        <v/>
      </c>
      <c r="Q1243" s="12">
        <f>ABS(P1243-$P$3)</f>
        <v/>
      </c>
    </row>
    <row r="1244">
      <c r="D1244" s="13" t="n">
        <v>1242</v>
      </c>
      <c r="E1244" s="14" t="n">
        <v>12.41887062187277</v>
      </c>
      <c r="F1244" s="15" t="n">
        <v>1.550710321375321</v>
      </c>
      <c r="G1244" s="16">
        <f>DEGREES(F1244)</f>
        <v/>
      </c>
      <c r="H1244" s="15" t="n">
        <v>13.57875861167378</v>
      </c>
      <c r="I1244" s="16">
        <f>DEGREES(H1244)</f>
        <v/>
      </c>
      <c r="J1244" s="17" t="n">
        <v>-0.5142981820066637</v>
      </c>
      <c r="K1244" s="17" t="n">
        <v>0.1004300270978766</v>
      </c>
      <c r="L1244" s="18">
        <f>$B$5*$B$3*$B$6*SIN(F1244)</f>
        <v/>
      </c>
      <c r="M1244" s="18">
        <f>$B$9*K1244*(SIN(F1244))^2 + $B$8*($B$10+K1244*COS(F1244))*COS(F1244)</f>
        <v/>
      </c>
      <c r="N1244" s="18">
        <f>0.5*$B$9*(J1244^2 + (K1244*SIN(F1244))^2) + 0.5*$B$8*($B$10 + K1244*COS(F1244))^2</f>
        <v/>
      </c>
      <c r="O1244" s="18">
        <f>$B$3*$B$6*$B$5*COS(F1244)</f>
        <v/>
      </c>
      <c r="P1244" s="18">
        <f>N1244+O1244</f>
        <v/>
      </c>
      <c r="Q1244" s="19">
        <f>ABS(P1244-$P$3)</f>
        <v/>
      </c>
    </row>
    <row r="1245">
      <c r="D1245" s="6" t="n">
        <v>1243</v>
      </c>
      <c r="E1245" s="7" t="n">
        <v>12.4288777698356</v>
      </c>
      <c r="F1245" s="8" t="n">
        <v>1.545252525495205</v>
      </c>
      <c r="G1245" s="9">
        <f>DEGREES(F1245)</f>
        <v/>
      </c>
      <c r="H1245" s="8" t="n">
        <v>13.57989758935</v>
      </c>
      <c r="I1245" s="9">
        <f>DEGREES(H1245)</f>
        <v/>
      </c>
      <c r="J1245" s="10" t="n">
        <v>-0.5761958292465743</v>
      </c>
      <c r="K1245" s="10" t="n">
        <v>0.1277190064984606</v>
      </c>
      <c r="L1245" s="11">
        <f>$B$5*$B$3*$B$6*SIN(F1245)</f>
        <v/>
      </c>
      <c r="M1245" s="11">
        <f>$B$9*K1245*(SIN(F1245))^2 + $B$8*($B$10+K1245*COS(F1245))*COS(F1245)</f>
        <v/>
      </c>
      <c r="N1245" s="11">
        <f>0.5*$B$9*(J1245^2 + (K1245*SIN(F1245))^2) + 0.5*$B$8*($B$10 + K1245*COS(F1245))^2</f>
        <v/>
      </c>
      <c r="O1245" s="11">
        <f>$B$3*$B$6*$B$5*COS(F1245)</f>
        <v/>
      </c>
      <c r="P1245" s="11">
        <f>N1245+O1245</f>
        <v/>
      </c>
      <c r="Q1245" s="12">
        <f>ABS(P1245-$P$3)</f>
        <v/>
      </c>
    </row>
    <row r="1246">
      <c r="D1246" s="13" t="n">
        <v>1244</v>
      </c>
      <c r="E1246" s="14" t="n">
        <v>12.43888491779843</v>
      </c>
      <c r="F1246" s="15" t="n">
        <v>1.53918420268222</v>
      </c>
      <c r="G1246" s="16">
        <f>DEGREES(F1246)</f>
        <v/>
      </c>
      <c r="H1246" s="15" t="n">
        <v>13.5813250014535</v>
      </c>
      <c r="I1246" s="16">
        <f>DEGREES(H1246)</f>
        <v/>
      </c>
      <c r="J1246" s="17" t="n">
        <v>-0.636284415758589</v>
      </c>
      <c r="K1246" s="17" t="n">
        <v>0.1580606205633808</v>
      </c>
      <c r="L1246" s="18">
        <f>$B$5*$B$3*$B$6*SIN(F1246)</f>
        <v/>
      </c>
      <c r="M1246" s="18">
        <f>$B$9*K1246*(SIN(F1246))^2 + $B$8*($B$10+K1246*COS(F1246))*COS(F1246)</f>
        <v/>
      </c>
      <c r="N1246" s="18">
        <f>0.5*$B$9*(J1246^2 + (K1246*SIN(F1246))^2) + 0.5*$B$8*($B$10 + K1246*COS(F1246))^2</f>
        <v/>
      </c>
      <c r="O1246" s="18">
        <f>$B$3*$B$6*$B$5*COS(F1246)</f>
        <v/>
      </c>
      <c r="P1246" s="18">
        <f>N1246+O1246</f>
        <v/>
      </c>
      <c r="Q1246" s="19">
        <f>ABS(P1246-$P$3)</f>
        <v/>
      </c>
    </row>
    <row r="1247">
      <c r="D1247" s="6" t="n">
        <v>1245</v>
      </c>
      <c r="E1247" s="7" t="n">
        <v>12.44889206576126</v>
      </c>
      <c r="F1247" s="8" t="n">
        <v>1.532524405424999</v>
      </c>
      <c r="G1247" s="9">
        <f>DEGREES(F1247)</f>
        <v/>
      </c>
      <c r="H1247" s="8" t="n">
        <v>13.58307092737076</v>
      </c>
      <c r="I1247" s="9">
        <f>DEGREES(H1247)</f>
        <v/>
      </c>
      <c r="J1247" s="10" t="n">
        <v>-0.6943752836307022</v>
      </c>
      <c r="K1247" s="10" t="n">
        <v>0.1913596068494877</v>
      </c>
      <c r="L1247" s="11">
        <f>$B$5*$B$3*$B$6*SIN(F1247)</f>
        <v/>
      </c>
      <c r="M1247" s="11">
        <f>$B$9*K1247*(SIN(F1247))^2 + $B$8*($B$10+K1247*COS(F1247))*COS(F1247)</f>
        <v/>
      </c>
      <c r="N1247" s="11">
        <f>0.5*$B$9*(J1247^2 + (K1247*SIN(F1247))^2) + 0.5*$B$8*($B$10 + K1247*COS(F1247))^2</f>
        <v/>
      </c>
      <c r="O1247" s="11">
        <f>$B$3*$B$6*$B$5*COS(F1247)</f>
        <v/>
      </c>
      <c r="P1247" s="11">
        <f>N1247+O1247</f>
        <v/>
      </c>
      <c r="Q1247" s="12">
        <f>ABS(P1247-$P$3)</f>
        <v/>
      </c>
    </row>
    <row r="1248">
      <c r="D1248" s="13" t="n">
        <v>1246</v>
      </c>
      <c r="E1248" s="14" t="n">
        <v>12.45889921372409</v>
      </c>
      <c r="F1248" s="15" t="n">
        <v>1.525294043242595</v>
      </c>
      <c r="G1248" s="16">
        <f>DEGREES(F1248)</f>
        <v/>
      </c>
      <c r="H1248" s="15" t="n">
        <v>13.58516444646221</v>
      </c>
      <c r="I1248" s="16">
        <f>DEGREES(H1248)</f>
        <v/>
      </c>
      <c r="J1248" s="17" t="n">
        <v>-0.7502860471142559</v>
      </c>
      <c r="K1248" s="17" t="n">
        <v>0.2275114177615095</v>
      </c>
      <c r="L1248" s="18">
        <f>$B$5*$B$3*$B$6*SIN(F1248)</f>
        <v/>
      </c>
      <c r="M1248" s="18">
        <f>$B$9*K1248*(SIN(F1248))^2 + $B$8*($B$10+K1248*COS(F1248))*COS(F1248)</f>
        <v/>
      </c>
      <c r="N1248" s="18">
        <f>0.5*$B$9*(J1248^2 + (K1248*SIN(F1248))^2) + 0.5*$B$8*($B$10 + K1248*COS(F1248))^2</f>
        <v/>
      </c>
      <c r="O1248" s="18">
        <f>$B$3*$B$6*$B$5*COS(F1248)</f>
        <v/>
      </c>
      <c r="P1248" s="18">
        <f>N1248+O1248</f>
        <v/>
      </c>
      <c r="Q1248" s="19">
        <f>ABS(P1248-$P$3)</f>
        <v/>
      </c>
    </row>
    <row r="1249">
      <c r="D1249" s="6" t="n">
        <v>1247</v>
      </c>
      <c r="E1249" s="7" t="n">
        <v>12.46890636168692</v>
      </c>
      <c r="F1249" s="8" t="n">
        <v>1.517515817035659</v>
      </c>
      <c r="G1249" s="9">
        <f>DEGREES(F1249)</f>
        <v/>
      </c>
      <c r="H1249" s="8" t="n">
        <v>13.58763354676288</v>
      </c>
      <c r="I1249" s="9">
        <f>DEGREES(H1249)</f>
        <v/>
      </c>
      <c r="J1249" s="10" t="n">
        <v>-0.8038411652535976</v>
      </c>
      <c r="K1249" s="10" t="n">
        <v>0.2664025487961887</v>
      </c>
      <c r="L1249" s="11">
        <f>$B$5*$B$3*$B$6*SIN(F1249)</f>
        <v/>
      </c>
      <c r="M1249" s="11">
        <f>$B$9*K1249*(SIN(F1249))^2 + $B$8*($B$10+K1249*COS(F1249))*COS(F1249)</f>
        <v/>
      </c>
      <c r="N1249" s="11">
        <f>0.5*$B$9*(J1249^2 + (K1249*SIN(F1249))^2) + 0.5*$B$8*($B$10 + K1249*COS(F1249))^2</f>
        <v/>
      </c>
      <c r="O1249" s="11">
        <f>$B$3*$B$6*$B$5*COS(F1249)</f>
        <v/>
      </c>
      <c r="P1249" s="11">
        <f>N1249+O1249</f>
        <v/>
      </c>
      <c r="Q1249" s="12">
        <f>ABS(P1249-$P$3)</f>
        <v/>
      </c>
    </row>
    <row r="1250">
      <c r="D1250" s="13" t="n">
        <v>1248</v>
      </c>
      <c r="E1250" s="14" t="n">
        <v>12.47891350964975</v>
      </c>
      <c r="F1250" s="15" t="n">
        <v>1.509214147813247</v>
      </c>
      <c r="G1250" s="16">
        <f>DEGREES(F1250)</f>
        <v/>
      </c>
      <c r="H1250" s="15" t="n">
        <v>13.59050503710936</v>
      </c>
      <c r="I1250" s="16">
        <f>DEGREES(H1250)</f>
        <v/>
      </c>
      <c r="J1250" s="17" t="n">
        <v>-0.8548724930256566</v>
      </c>
      <c r="K1250" s="17" t="n">
        <v>0.3079108949082476</v>
      </c>
      <c r="L1250" s="18">
        <f>$B$5*$B$3*$B$6*SIN(F1250)</f>
        <v/>
      </c>
      <c r="M1250" s="18">
        <f>$B$9*K1250*(SIN(F1250))^2 + $B$8*($B$10+K1250*COS(F1250))*COS(F1250)</f>
        <v/>
      </c>
      <c r="N1250" s="18">
        <f>0.5*$B$9*(J1250^2 + (K1250*SIN(F1250))^2) + 0.5*$B$8*($B$10 + K1250*COS(F1250))^2</f>
        <v/>
      </c>
      <c r="O1250" s="18">
        <f>$B$3*$B$6*$B$5*COS(F1250)</f>
        <v/>
      </c>
      <c r="P1250" s="18">
        <f>N1250+O1250</f>
        <v/>
      </c>
      <c r="Q1250" s="19">
        <f>ABS(P1250-$P$3)</f>
        <v/>
      </c>
    </row>
    <row r="1251">
      <c r="D1251" s="6" t="n">
        <v>1249</v>
      </c>
      <c r="E1251" s="7" t="n">
        <v>12.48892065761258</v>
      </c>
      <c r="F1251" s="8" t="n">
        <v>1.50041510001908</v>
      </c>
      <c r="G1251" s="9">
        <f>DEGREES(F1251)</f>
        <v/>
      </c>
      <c r="H1251" s="8" t="n">
        <v>13.59380446296908</v>
      </c>
      <c r="I1251" s="9">
        <f>DEGREES(H1251)</f>
        <v/>
      </c>
      <c r="J1251" s="10" t="n">
        <v>-0.9032198092586315</v>
      </c>
      <c r="K1251" s="10" t="n">
        <v>0.3519061338790812</v>
      </c>
      <c r="L1251" s="11">
        <f>$B$5*$B$3*$B$6*SIN(F1251)</f>
        <v/>
      </c>
      <c r="M1251" s="11">
        <f>$B$9*K1251*(SIN(F1251))^2 + $B$8*($B$10+K1251*COS(F1251))*COS(F1251)</f>
        <v/>
      </c>
      <c r="N1251" s="11">
        <f>0.5*$B$9*(J1251^2 + (K1251*SIN(F1251))^2) + 0.5*$B$8*($B$10 + K1251*COS(F1251))^2</f>
        <v/>
      </c>
      <c r="O1251" s="11">
        <f>$B$3*$B$6*$B$5*COS(F1251)</f>
        <v/>
      </c>
      <c r="P1251" s="11">
        <f>N1251+O1251</f>
        <v/>
      </c>
      <c r="Q1251" s="12">
        <f>ABS(P1251-$P$3)</f>
        <v/>
      </c>
    </row>
    <row r="1252">
      <c r="D1252" s="13" t="n">
        <v>1250</v>
      </c>
      <c r="E1252" s="14" t="n">
        <v>12.49892780557541</v>
      </c>
      <c r="F1252" s="15" t="n">
        <v>1.491146299697984</v>
      </c>
      <c r="G1252" s="16">
        <f>DEGREES(F1252)</f>
        <v/>
      </c>
      <c r="H1252" s="15" t="n">
        <v>13.59755602623621</v>
      </c>
      <c r="I1252" s="16">
        <f>DEGREES(H1252)</f>
        <v/>
      </c>
      <c r="J1252" s="17" t="n">
        <v>-0.9487313196724232</v>
      </c>
      <c r="K1252" s="17" t="n">
        <v>0.3982501354845625</v>
      </c>
      <c r="L1252" s="18">
        <f>$B$5*$B$3*$B$6*SIN(F1252)</f>
        <v/>
      </c>
      <c r="M1252" s="18">
        <f>$B$9*K1252*(SIN(F1252))^2 + $B$8*($B$10+K1252*COS(F1252))*COS(F1252)</f>
        <v/>
      </c>
      <c r="N1252" s="18">
        <f>0.5*$B$9*(J1252^2 + (K1252*SIN(F1252))^2) + 0.5*$B$8*($B$10 + K1252*COS(F1252))^2</f>
        <v/>
      </c>
      <c r="O1252" s="18">
        <f>$B$3*$B$6*$B$5*COS(F1252)</f>
        <v/>
      </c>
      <c r="P1252" s="18">
        <f>N1252+O1252</f>
        <v/>
      </c>
      <c r="Q1252" s="19">
        <f>ABS(P1252-$P$3)</f>
        <v/>
      </c>
    </row>
    <row r="1253">
      <c r="D1253" s="6" t="n">
        <v>1251</v>
      </c>
      <c r="E1253" s="7" t="n">
        <v>12.50893495353824</v>
      </c>
      <c r="F1253" s="8" t="n">
        <v>1.481436847759421</v>
      </c>
      <c r="G1253" s="9">
        <f>DEGREES(F1253)</f>
        <v/>
      </c>
      <c r="H1253" s="8" t="n">
        <v>13.60178250924578</v>
      </c>
      <c r="I1253" s="9">
        <f>DEGREES(H1253)</f>
        <v/>
      </c>
      <c r="J1253" s="10" t="n">
        <v>-0.9912641334615162</v>
      </c>
      <c r="K1253" s="10" t="n">
        <v>0.4467973951773786</v>
      </c>
      <c r="L1253" s="11">
        <f>$B$5*$B$3*$B$6*SIN(F1253)</f>
        <v/>
      </c>
      <c r="M1253" s="11">
        <f>$B$9*K1253*(SIN(F1253))^2 + $B$8*($B$10+K1253*COS(F1253))*COS(F1253)</f>
        <v/>
      </c>
      <c r="N1253" s="11">
        <f>0.5*$B$9*(J1253^2 + (K1253*SIN(F1253))^2) + 0.5*$B$8*($B$10 + K1253*COS(F1253))^2</f>
        <v/>
      </c>
      <c r="O1253" s="11">
        <f>$B$3*$B$6*$B$5*COS(F1253)</f>
        <v/>
      </c>
      <c r="P1253" s="11">
        <f>N1253+O1253</f>
        <v/>
      </c>
      <c r="Q1253" s="12">
        <f>ABS(P1253-$P$3)</f>
        <v/>
      </c>
    </row>
    <row r="1254">
      <c r="D1254" s="13" t="n">
        <v>1252</v>
      </c>
      <c r="E1254" s="14" t="n">
        <v>12.51894210150107</v>
      </c>
      <c r="F1254" s="15" t="n">
        <v>1.471317228610419</v>
      </c>
      <c r="G1254" s="16">
        <f>DEGREES(F1254)</f>
        <v/>
      </c>
      <c r="H1254" s="15" t="n">
        <v>13.60650520324492</v>
      </c>
      <c r="I1254" s="16">
        <f>DEGREES(H1254)</f>
        <v/>
      </c>
      <c r="J1254" s="17" t="n">
        <v>-1.030684711924055</v>
      </c>
      <c r="K1254" s="17" t="n">
        <v>0.497395490922385</v>
      </c>
      <c r="L1254" s="18">
        <f>$B$5*$B$3*$B$6*SIN(F1254)</f>
        <v/>
      </c>
      <c r="M1254" s="18">
        <f>$B$9*K1254*(SIN(F1254))^2 + $B$8*($B$10+K1254*COS(F1254))*COS(F1254)</f>
        <v/>
      </c>
      <c r="N1254" s="18">
        <f>0.5*$B$9*(J1254^2 + (K1254*SIN(F1254))^2) + 0.5*$B$8*($B$10 + K1254*COS(F1254))^2</f>
        <v/>
      </c>
      <c r="O1254" s="18">
        <f>$B$3*$B$6*$B$5*COS(F1254)</f>
        <v/>
      </c>
      <c r="P1254" s="18">
        <f>N1254+O1254</f>
        <v/>
      </c>
      <c r="Q1254" s="19">
        <f>ABS(P1254-$P$3)</f>
        <v/>
      </c>
    </row>
    <row r="1255">
      <c r="D1255" s="6" t="n">
        <v>1253</v>
      </c>
      <c r="E1255" s="7" t="n">
        <v>12.5289492494639</v>
      </c>
      <c r="F1255" s="8" t="n">
        <v>1.460819214444832</v>
      </c>
      <c r="G1255" s="9">
        <f>DEGREES(F1255)</f>
        <v/>
      </c>
      <c r="H1255" s="8" t="n">
        <v>13.61174384154546</v>
      </c>
      <c r="I1255" s="9">
        <f>DEGREES(H1255)</f>
        <v/>
      </c>
      <c r="J1255" s="10" t="n">
        <v>-1.066869287728258</v>
      </c>
      <c r="K1255" s="10" t="n">
        <v>0.5498855617503228</v>
      </c>
      <c r="L1255" s="11">
        <f>$B$5*$B$3*$B$6*SIN(F1255)</f>
        <v/>
      </c>
      <c r="M1255" s="11">
        <f>$B$9*K1255*(SIN(F1255))^2 + $B$8*($B$10+K1255*COS(F1255))*COS(F1255)</f>
        <v/>
      </c>
      <c r="N1255" s="11">
        <f>0.5*$B$9*(J1255^2 + (K1255*SIN(F1255))^2) + 0.5*$B$8*($B$10 + K1255*COS(F1255))^2</f>
        <v/>
      </c>
      <c r="O1255" s="11">
        <f>$B$3*$B$6*$B$5*COS(F1255)</f>
        <v/>
      </c>
      <c r="P1255" s="11">
        <f>N1255+O1255</f>
        <v/>
      </c>
      <c r="Q1255" s="12">
        <f>ABS(P1255-$P$3)</f>
        <v/>
      </c>
    </row>
    <row r="1256">
      <c r="D1256" s="13" t="n">
        <v>1254</v>
      </c>
      <c r="E1256" s="14" t="n">
        <v>12.53895639742673</v>
      </c>
      <c r="F1256" s="15" t="n">
        <v>1.449975765489353</v>
      </c>
      <c r="G1256" s="16">
        <f>DEGREES(F1256)</f>
        <v/>
      </c>
      <c r="H1256" s="15" t="n">
        <v>13.61751653756798</v>
      </c>
      <c r="I1256" s="16">
        <f>DEGREES(H1256)</f>
        <v/>
      </c>
      <c r="J1256" s="17" t="n">
        <v>-1.09970425350015</v>
      </c>
      <c r="K1256" s="17" t="n">
        <v>0.6041028065277197</v>
      </c>
      <c r="L1256" s="18">
        <f>$B$5*$B$3*$B$6*SIN(F1256)</f>
        <v/>
      </c>
      <c r="M1256" s="18">
        <f>$B$9*K1256*(SIN(F1256))^2 + $B$8*($B$10+K1256*COS(F1256))*COS(F1256)</f>
        <v/>
      </c>
      <c r="N1256" s="18">
        <f>0.5*$B$9*(J1256^2 + (K1256*SIN(F1256))^2) + 0.5*$B$8*($B$10 + K1256*COS(F1256))^2</f>
        <v/>
      </c>
      <c r="O1256" s="18">
        <f>$B$3*$B$6*$B$5*COS(F1256)</f>
        <v/>
      </c>
      <c r="P1256" s="18">
        <f>N1256+O1256</f>
        <v/>
      </c>
      <c r="Q1256" s="19">
        <f>ABS(P1256-$P$3)</f>
        <v/>
      </c>
    </row>
    <row r="1257">
      <c r="D1257" s="6" t="n">
        <v>1255</v>
      </c>
      <c r="E1257" s="7" t="n">
        <v>12.54896354538957</v>
      </c>
      <c r="F1257" s="8" t="n">
        <v>1.43882092651949</v>
      </c>
      <c r="G1257" s="9">
        <f>DEGREES(F1257)</f>
        <v/>
      </c>
      <c r="H1257" s="8" t="n">
        <v>13.62383972797181</v>
      </c>
      <c r="I1257" s="9">
        <f>DEGREES(H1257)</f>
        <v/>
      </c>
      <c r="J1257" s="10" t="n">
        <v>-1.1290865185125</v>
      </c>
      <c r="K1257" s="10" t="n">
        <v>0.6598770013770349</v>
      </c>
      <c r="L1257" s="11">
        <f>$B$5*$B$3*$B$6*SIN(F1257)</f>
        <v/>
      </c>
      <c r="M1257" s="11">
        <f>$B$9*K1257*(SIN(F1257))^2 + $B$8*($B$10+K1257*COS(F1257))*COS(F1257)</f>
        <v/>
      </c>
      <c r="N1257" s="11">
        <f>0.5*$B$9*(J1257^2 + (K1257*SIN(F1257))^2) + 0.5*$B$8*($B$10 + K1257*COS(F1257))^2</f>
        <v/>
      </c>
      <c r="O1257" s="11">
        <f>$B$3*$B$6*$B$5*COS(F1257)</f>
        <v/>
      </c>
      <c r="P1257" s="11">
        <f>N1257+O1257</f>
        <v/>
      </c>
      <c r="Q1257" s="12">
        <f>ABS(P1257-$P$3)</f>
        <v/>
      </c>
    </row>
    <row r="1258">
      <c r="D1258" s="13" t="n">
        <v>1256</v>
      </c>
      <c r="E1258" s="14" t="n">
        <v>12.55897069335239</v>
      </c>
      <c r="F1258" s="15" t="n">
        <v>1.42738971997047</v>
      </c>
      <c r="G1258" s="16">
        <f>DEGREES(F1258)</f>
        <v/>
      </c>
      <c r="H1258" s="15" t="n">
        <v>13.63072812104942</v>
      </c>
      <c r="I1258" s="16">
        <f>DEGREES(H1258)</f>
        <v/>
      </c>
      <c r="J1258" s="17" t="n">
        <v>-1.154923832354879</v>
      </c>
      <c r="K1258" s="17" t="n">
        <v>0.717033034122134</v>
      </c>
      <c r="L1258" s="18">
        <f>$B$5*$B$3*$B$6*SIN(F1258)</f>
        <v/>
      </c>
      <c r="M1258" s="18">
        <f>$B$9*K1258*(SIN(F1258))^2 + $B$8*($B$10+K1258*COS(F1258))*COS(F1258)</f>
        <v/>
      </c>
      <c r="N1258" s="18">
        <f>0.5*$B$9*(J1258^2 + (K1258*SIN(F1258))^2) + 0.5*$B$8*($B$10 + K1258*COS(F1258))^2</f>
        <v/>
      </c>
      <c r="O1258" s="18">
        <f>$B$3*$B$6*$B$5*COS(F1258)</f>
        <v/>
      </c>
      <c r="P1258" s="18">
        <f>N1258+O1258</f>
        <v/>
      </c>
      <c r="Q1258" s="19">
        <f>ABS(P1258-$P$3)</f>
        <v/>
      </c>
    </row>
    <row r="1259">
      <c r="D1259" s="6" t="n">
        <v>1257</v>
      </c>
      <c r="E1259" s="7" t="n">
        <v>12.56897784131523</v>
      </c>
      <c r="F1259" s="8" t="n">
        <v>1.415718035978581</v>
      </c>
      <c r="G1259" s="9">
        <f>DEGREES(F1259)</f>
        <v/>
      </c>
      <c r="H1259" s="8" t="n">
        <v>13.63819465054737</v>
      </c>
      <c r="I1259" s="9">
        <f>DEGREES(H1259)</f>
        <v/>
      </c>
      <c r="J1259" s="10" t="n">
        <v>-1.177135074568906</v>
      </c>
      <c r="K1259" s="10" t="n">
        <v>0.7753914540815783</v>
      </c>
      <c r="L1259" s="11">
        <f>$B$5*$B$3*$B$6*SIN(F1259)</f>
        <v/>
      </c>
      <c r="M1259" s="11">
        <f>$B$9*K1259*(SIN(F1259))^2 + $B$8*($B$10+K1259*COS(F1259))*COS(F1259)</f>
        <v/>
      </c>
      <c r="N1259" s="11">
        <f>0.5*$B$9*(J1259^2 + (K1259*SIN(F1259))^2) + 0.5*$B$8*($B$10 + K1259*COS(F1259))^2</f>
        <v/>
      </c>
      <c r="O1259" s="11">
        <f>$B$3*$B$6*$B$5*COS(F1259)</f>
        <v/>
      </c>
      <c r="P1259" s="11">
        <f>N1259+O1259</f>
        <v/>
      </c>
      <c r="Q1259" s="12">
        <f>ABS(P1259-$P$3)</f>
        <v/>
      </c>
    </row>
    <row r="1260">
      <c r="D1260" s="13" t="n">
        <v>1258</v>
      </c>
      <c r="E1260" s="14" t="n">
        <v>12.57898498927806</v>
      </c>
      <c r="F1260" s="15" t="n">
        <v>1.403842519698241</v>
      </c>
      <c r="G1260" s="16">
        <f>DEGREES(F1260)</f>
        <v/>
      </c>
      <c r="H1260" s="15" t="n">
        <v>13.64625043505868</v>
      </c>
      <c r="I1260" s="16">
        <f>DEGREES(H1260)</f>
        <v/>
      </c>
      <c r="J1260" s="17" t="n">
        <v>-1.195650509339138</v>
      </c>
      <c r="K1260" s="17" t="n">
        <v>0.8347690354832757</v>
      </c>
      <c r="L1260" s="18">
        <f>$B$5*$B$3*$B$6*SIN(F1260)</f>
        <v/>
      </c>
      <c r="M1260" s="18">
        <f>$B$9*K1260*(SIN(F1260))^2 + $B$8*($B$10+K1260*COS(F1260))*COS(F1260)</f>
        <v/>
      </c>
      <c r="N1260" s="18">
        <f>0.5*$B$9*(J1260^2 + (K1260*SIN(F1260))^2) + 0.5*$B$8*($B$10 + K1260*COS(F1260))^2</f>
        <v/>
      </c>
      <c r="O1260" s="18">
        <f>$B$3*$B$6*$B$5*COS(F1260)</f>
        <v/>
      </c>
      <c r="P1260" s="18">
        <f>N1260+O1260</f>
        <v/>
      </c>
      <c r="Q1260" s="19">
        <f>ABS(P1260-$P$3)</f>
        <v/>
      </c>
    </row>
    <row r="1261">
      <c r="D1261" s="6" t="n">
        <v>1259</v>
      </c>
      <c r="E1261" s="7" t="n">
        <v>12.58899213724089</v>
      </c>
      <c r="F1261" s="8" t="n">
        <v>1.391800456248565</v>
      </c>
      <c r="G1261" s="9">
        <f>DEGREES(F1261)</f>
        <v/>
      </c>
      <c r="H1261" s="8" t="n">
        <v>13.65490474311421</v>
      </c>
      <c r="I1261" s="9">
        <f>DEGREES(H1261)</f>
        <v/>
      </c>
      <c r="J1261" s="10" t="n">
        <v>-1.210412004440034</v>
      </c>
      <c r="K1261" s="10" t="n">
        <v>0.89497935273166</v>
      </c>
      <c r="L1261" s="11">
        <f>$B$5*$B$3*$B$6*SIN(F1261)</f>
        <v/>
      </c>
      <c r="M1261" s="11">
        <f>$B$9*K1261*(SIN(F1261))^2 + $B$8*($B$10+K1261*COS(F1261))*COS(F1261)</f>
        <v/>
      </c>
      <c r="N1261" s="11">
        <f>0.5*$B$9*(J1261^2 + (K1261*SIN(F1261))^2) + 0.5*$B$8*($B$10 + K1261*COS(F1261))^2</f>
        <v/>
      </c>
      <c r="O1261" s="11">
        <f>$B$3*$B$6*$B$5*COS(F1261)</f>
        <v/>
      </c>
      <c r="P1261" s="11">
        <f>N1261+O1261</f>
        <v/>
      </c>
      <c r="Q1261" s="12">
        <f>ABS(P1261-$P$3)</f>
        <v/>
      </c>
    </row>
    <row r="1262">
      <c r="D1262" s="13" t="n">
        <v>1260</v>
      </c>
      <c r="E1262" s="14" t="n">
        <v>12.59899928520372</v>
      </c>
      <c r="F1262" s="15" t="n">
        <v>1.37962965365065</v>
      </c>
      <c r="G1262" s="16">
        <f>DEGREES(F1262)</f>
        <v/>
      </c>
      <c r="H1262" s="15" t="n">
        <v>13.66416496408258</v>
      </c>
      <c r="I1262" s="16">
        <f>DEGREES(H1262)</f>
        <v/>
      </c>
      <c r="J1262" s="17" t="n">
        <v>-1.221373213751547</v>
      </c>
      <c r="K1262" s="17" t="n">
        <v>0.9558333657212346</v>
      </c>
      <c r="L1262" s="18">
        <f>$B$5*$B$3*$B$6*SIN(F1262)</f>
        <v/>
      </c>
      <c r="M1262" s="18">
        <f>$B$9*K1262*(SIN(F1262))^2 + $B$8*($B$10+K1262*COS(F1262))*COS(F1262)</f>
        <v/>
      </c>
      <c r="N1262" s="18">
        <f>0.5*$B$9*(J1262^2 + (K1262*SIN(F1262))^2) + 0.5*$B$8*($B$10 + K1262*COS(F1262))^2</f>
        <v/>
      </c>
      <c r="O1262" s="18">
        <f>$B$3*$B$6*$B$5*COS(F1262)</f>
        <v/>
      </c>
      <c r="P1262" s="18">
        <f>N1262+O1262</f>
        <v/>
      </c>
      <c r="Q1262" s="19">
        <f>ABS(P1262-$P$3)</f>
        <v/>
      </c>
    </row>
    <row r="1263">
      <c r="D1263" s="6" t="n">
        <v>1261</v>
      </c>
      <c r="E1263" s="7" t="n">
        <v>12.60900643316655</v>
      </c>
      <c r="F1263" s="8" t="n">
        <v>1.367368324123137</v>
      </c>
      <c r="G1263" s="9">
        <f>DEGREES(F1263)</f>
        <v/>
      </c>
      <c r="H1263" s="8" t="n">
        <v>13.67403658497008</v>
      </c>
      <c r="I1263" s="9">
        <f>DEGREES(H1263)</f>
        <v/>
      </c>
      <c r="J1263" s="10" t="n">
        <v>-1.228499722770329</v>
      </c>
      <c r="K1263" s="10" t="n">
        <v>1.017140013358799</v>
      </c>
      <c r="L1263" s="11">
        <f>$B$5*$B$3*$B$6*SIN(F1263)</f>
        <v/>
      </c>
      <c r="M1263" s="11">
        <f>$B$9*K1263*(SIN(F1263))^2 + $B$8*($B$10+K1263*COS(F1263))*COS(F1263)</f>
        <v/>
      </c>
      <c r="N1263" s="11">
        <f>0.5*$B$9*(J1263^2 + (K1263*SIN(F1263))^2) + 0.5*$B$8*($B$10 + K1263*COS(F1263))^2</f>
        <v/>
      </c>
      <c r="O1263" s="11">
        <f>$B$3*$B$6*$B$5*COS(F1263)</f>
        <v/>
      </c>
      <c r="P1263" s="11">
        <f>N1263+O1263</f>
        <v/>
      </c>
      <c r="Q1263" s="12">
        <f>ABS(P1263-$P$3)</f>
        <v/>
      </c>
    </row>
    <row r="1264">
      <c r="D1264" s="13" t="n">
        <v>1262</v>
      </c>
      <c r="E1264" s="14" t="n">
        <v>12.61901358112938</v>
      </c>
      <c r="F1264" s="15" t="n">
        <v>1.355054964108718</v>
      </c>
      <c r="G1264" s="16">
        <f>DEGREES(F1264)</f>
        <v/>
      </c>
      <c r="H1264" s="15" t="n">
        <v>13.68452317319326</v>
      </c>
      <c r="I1264" s="16">
        <f>DEGREES(H1264)</f>
        <v/>
      </c>
      <c r="J1264" s="17" t="n">
        <v>-1.231769156659669</v>
      </c>
      <c r="K1264" s="17" t="n">
        <v>1.078706813430895</v>
      </c>
      <c r="L1264" s="18">
        <f>$B$5*$B$3*$B$6*SIN(F1264)</f>
        <v/>
      </c>
      <c r="M1264" s="18">
        <f>$B$9*K1264*(SIN(F1264))^2 + $B$8*($B$10+K1264*COS(F1264))*COS(F1264)</f>
        <v/>
      </c>
      <c r="N1264" s="18">
        <f>0.5*$B$9*(J1264^2 + (K1264*SIN(F1264))^2) + 0.5*$B$8*($B$10 + K1264*COS(F1264))^2</f>
        <v/>
      </c>
      <c r="O1264" s="18">
        <f>$B$3*$B$6*$B$5*COS(F1264)</f>
        <v/>
      </c>
      <c r="P1264" s="18">
        <f>N1264+O1264</f>
        <v/>
      </c>
      <c r="Q1264" s="19">
        <f>ABS(P1264-$P$3)</f>
        <v/>
      </c>
    </row>
    <row r="1265">
      <c r="D1265" s="6" t="n">
        <v>1263</v>
      </c>
      <c r="E1265" s="7" t="n">
        <v>12.62902072909221</v>
      </c>
      <c r="F1265" s="8" t="n">
        <v>1.342728233408279</v>
      </c>
      <c r="G1265" s="9">
        <f>DEGREES(F1265)</f>
        <v/>
      </c>
      <c r="H1265" s="8" t="n">
        <v>13.69562636537851</v>
      </c>
      <c r="I1265" s="9">
        <f>DEGREES(H1265)</f>
        <v/>
      </c>
      <c r="J1265" s="10" t="n">
        <v>-1.231171250498941</v>
      </c>
      <c r="K1265" s="10" t="n">
        <v>1.140340466933089</v>
      </c>
      <c r="L1265" s="11">
        <f>$B$5*$B$3*$B$6*SIN(F1265)</f>
        <v/>
      </c>
      <c r="M1265" s="11">
        <f>$B$9*K1265*(SIN(F1265))^2 + $B$8*($B$10+K1265*COS(F1265))*COS(F1265)</f>
        <v/>
      </c>
      <c r="N1265" s="11">
        <f>0.5*$B$9*(J1265^2 + (K1265*SIN(F1265))^2) + 0.5*$B$8*($B$10 + K1265*COS(F1265))^2</f>
        <v/>
      </c>
      <c r="O1265" s="11">
        <f>$B$3*$B$6*$B$5*COS(F1265)</f>
        <v/>
      </c>
      <c r="P1265" s="11">
        <f>N1265+O1265</f>
        <v/>
      </c>
      <c r="Q1265" s="12">
        <f>ABS(P1265-$P$3)</f>
        <v/>
      </c>
    </row>
    <row r="1266">
      <c r="D1266" s="13" t="n">
        <v>1264</v>
      </c>
      <c r="E1266" s="14" t="n">
        <v>12.63902787705504</v>
      </c>
      <c r="F1266" s="15" t="n">
        <v>1.330426833802155</v>
      </c>
      <c r="G1266" s="16">
        <f>DEGREES(F1266)</f>
        <v/>
      </c>
      <c r="H1266" s="15" t="n">
        <v>13.70734586222356</v>
      </c>
      <c r="I1266" s="16">
        <f>DEGREES(H1266)</f>
        <v/>
      </c>
      <c r="J1266" s="17" t="n">
        <v>-1.226707881511999</v>
      </c>
      <c r="K1266" s="17" t="n">
        <v>1.201847464963708</v>
      </c>
      <c r="L1266" s="18">
        <f>$B$5*$B$3*$B$6*SIN(F1266)</f>
        <v/>
      </c>
      <c r="M1266" s="18">
        <f>$B$9*K1266*(SIN(F1266))^2 + $B$8*($B$10+K1266*COS(F1266))*COS(F1266)</f>
        <v/>
      </c>
      <c r="N1266" s="18">
        <f>0.5*$B$9*(J1266^2 + (K1266*SIN(F1266))^2) + 0.5*$B$8*($B$10 + K1266*COS(F1266))^2</f>
        <v/>
      </c>
      <c r="O1266" s="18">
        <f>$B$3*$B$6*$B$5*COS(F1266)</f>
        <v/>
      </c>
      <c r="P1266" s="18">
        <f>N1266+O1266</f>
        <v/>
      </c>
      <c r="Q1266" s="19">
        <f>ABS(P1266-$P$3)</f>
        <v/>
      </c>
    </row>
    <row r="1267">
      <c r="D1267" s="6" t="n">
        <v>1265</v>
      </c>
      <c r="E1267" s="7" t="n">
        <v>12.64903502501787</v>
      </c>
      <c r="F1267" s="8" t="n">
        <v>1.318189387539584</v>
      </c>
      <c r="G1267" s="9">
        <f>DEGREES(F1267)</f>
        <v/>
      </c>
      <c r="H1267" s="8" t="n">
        <v>13.71967942943718</v>
      </c>
      <c r="I1267" s="9">
        <f>DEGREES(H1267)</f>
        <v/>
      </c>
      <c r="J1267" s="10" t="n">
        <v>-1.218393063173324</v>
      </c>
      <c r="K1267" s="10" t="n">
        <v>1.263034696276561</v>
      </c>
      <c r="L1267" s="11">
        <f>$B$5*$B$3*$B$6*SIN(F1267)</f>
        <v/>
      </c>
      <c r="M1267" s="11">
        <f>$B$9*K1267*(SIN(F1267))^2 + $B$8*($B$10+K1267*COS(F1267))*COS(F1267)</f>
        <v/>
      </c>
      <c r="N1267" s="11">
        <f>0.5*$B$9*(J1267^2 + (K1267*SIN(F1267))^2) + 0.5*$B$8*($B$10 + K1267*COS(F1267))^2</f>
        <v/>
      </c>
      <c r="O1267" s="11">
        <f>$B$3*$B$6*$B$5*COS(F1267)</f>
        <v/>
      </c>
      <c r="P1267" s="11">
        <f>N1267+O1267</f>
        <v/>
      </c>
      <c r="Q1267" s="12">
        <f>ABS(P1267-$P$3)</f>
        <v/>
      </c>
    </row>
    <row r="1268">
      <c r="D1268" s="13" t="n">
        <v>1266</v>
      </c>
      <c r="E1268" s="14" t="n">
        <v>12.6590421729807</v>
      </c>
      <c r="F1268" s="15" t="n">
        <v>1.306054316077846</v>
      </c>
      <c r="G1268" s="16">
        <f>DEGREES(F1268)</f>
        <v/>
      </c>
      <c r="H1268" s="15" t="n">
        <v>13.73262290475415</v>
      </c>
      <c r="I1268" s="16">
        <f>DEGREES(H1268)</f>
        <v/>
      </c>
      <c r="J1268" s="17" t="n">
        <v>-1.206252901210428</v>
      </c>
      <c r="K1268" s="17" t="n">
        <v>1.323710053585251</v>
      </c>
      <c r="L1268" s="18">
        <f>$B$5*$B$3*$B$6*SIN(F1268)</f>
        <v/>
      </c>
      <c r="M1268" s="18">
        <f>$B$9*K1268*(SIN(F1268))^2 + $B$8*($B$10+K1268*COS(F1268))*COS(F1268)</f>
        <v/>
      </c>
      <c r="N1268" s="18">
        <f>0.5*$B$9*(J1268^2 + (K1268*SIN(F1268))^2) + 0.5*$B$8*($B$10 + K1268*COS(F1268))^2</f>
        <v/>
      </c>
      <c r="O1268" s="18">
        <f>$B$3*$B$6*$B$5*COS(F1268)</f>
        <v/>
      </c>
      <c r="P1268" s="18">
        <f>N1268+O1268</f>
        <v/>
      </c>
      <c r="Q1268" s="19">
        <f>ABS(P1268-$P$3)</f>
        <v/>
      </c>
    </row>
    <row r="1269">
      <c r="D1269" s="6" t="n">
        <v>1267</v>
      </c>
      <c r="E1269" s="7" t="n">
        <v>12.66904932094353</v>
      </c>
      <c r="F1269" s="8" t="n">
        <v>1.294059719451864</v>
      </c>
      <c r="G1269" s="9">
        <f>DEGREES(F1269)</f>
        <v/>
      </c>
      <c r="H1269" s="8" t="n">
        <v>13.74617021100334</v>
      </c>
      <c r="I1269" s="9">
        <f>DEGREES(H1269)</f>
        <v/>
      </c>
      <c r="J1269" s="10" t="n">
        <v>-1.19032551164069</v>
      </c>
      <c r="K1269" s="10" t="n">
        <v>1.383683036715164</v>
      </c>
      <c r="L1269" s="11">
        <f>$B$5*$B$3*$B$6*SIN(F1269)</f>
        <v/>
      </c>
      <c r="M1269" s="11">
        <f>$B$9*K1269*(SIN(F1269))^2 + $B$8*($B$10+K1269*COS(F1269))*COS(F1269)</f>
        <v/>
      </c>
      <c r="N1269" s="11">
        <f>0.5*$B$9*(J1269^2 + (K1269*SIN(F1269))^2) + 0.5*$B$8*($B$10 + K1269*COS(F1269))^2</f>
        <v/>
      </c>
      <c r="O1269" s="11">
        <f>$B$3*$B$6*$B$5*COS(F1269)</f>
        <v/>
      </c>
      <c r="P1269" s="11">
        <f>N1269+O1269</f>
        <v/>
      </c>
      <c r="Q1269" s="12">
        <f>ABS(P1269-$P$3)</f>
        <v/>
      </c>
    </row>
    <row r="1270">
      <c r="D1270" s="13" t="n">
        <v>1268</v>
      </c>
      <c r="E1270" s="14" t="n">
        <v>12.67905646890636</v>
      </c>
      <c r="F1270" s="15" t="n">
        <v>1.282243256652905</v>
      </c>
      <c r="G1270" s="16">
        <f>DEGREES(F1270)</f>
        <v/>
      </c>
      <c r="H1270" s="15" t="n">
        <v>13.76031337518796</v>
      </c>
      <c r="I1270" s="16">
        <f>DEGREES(H1270)</f>
        <v/>
      </c>
      <c r="J1270" s="17" t="n">
        <v>-1.170660901099889</v>
      </c>
      <c r="K1270" s="17" t="n">
        <v>1.442765350709956</v>
      </c>
      <c r="L1270" s="18">
        <f>$B$5*$B$3*$B$6*SIN(F1270)</f>
        <v/>
      </c>
      <c r="M1270" s="18">
        <f>$B$9*K1270*(SIN(F1270))^2 + $B$8*($B$10+K1270*COS(F1270))*COS(F1270)</f>
        <v/>
      </c>
      <c r="N1270" s="18">
        <f>0.5*$B$9*(J1270^2 + (K1270*SIN(F1270))^2) + 0.5*$B$8*($B$10 + K1270*COS(F1270))^2</f>
        <v/>
      </c>
      <c r="O1270" s="18">
        <f>$B$3*$B$6*$B$5*COS(F1270)</f>
        <v/>
      </c>
      <c r="P1270" s="18">
        <f>N1270+O1270</f>
        <v/>
      </c>
      <c r="Q1270" s="19">
        <f>ABS(P1270-$P$3)</f>
        <v/>
      </c>
    </row>
    <row r="1271">
      <c r="D1271" s="6" t="n">
        <v>1269</v>
      </c>
      <c r="E1271" s="7" t="n">
        <v>12.68906361686919</v>
      </c>
      <c r="F1271" s="8" t="n">
        <v>1.270642027392045</v>
      </c>
      <c r="G1271" s="9">
        <f>DEGREES(F1271)</f>
        <v/>
      </c>
      <c r="H1271" s="8" t="n">
        <v>13.77504255351813</v>
      </c>
      <c r="I1271" s="9">
        <f>DEGREES(H1271)</f>
        <v/>
      </c>
      <c r="J1271" s="10" t="n">
        <v>-1.147320809838201</v>
      </c>
      <c r="K1271" s="10" t="n">
        <v>1.500771497014258</v>
      </c>
      <c r="L1271" s="11">
        <f>$B$5*$B$3*$B$6*SIN(F1271)</f>
        <v/>
      </c>
      <c r="M1271" s="11">
        <f>$B$9*K1271*(SIN(F1271))^2 + $B$8*($B$10+K1271*COS(F1271))*COS(F1271)</f>
        <v/>
      </c>
      <c r="N1271" s="11">
        <f>0.5*$B$9*(J1271^2 + (K1271*SIN(F1271))^2) + 0.5*$B$8*($B$10 + K1271*COS(F1271))^2</f>
        <v/>
      </c>
      <c r="O1271" s="11">
        <f>$B$3*$B$6*$B$5*COS(F1271)</f>
        <v/>
      </c>
      <c r="P1271" s="11">
        <f>N1271+O1271</f>
        <v/>
      </c>
      <c r="Q1271" s="12">
        <f>ABS(P1271-$P$3)</f>
        <v/>
      </c>
    </row>
    <row r="1272">
      <c r="D1272" s="13" t="n">
        <v>1270</v>
      </c>
      <c r="E1272" s="14" t="n">
        <v>12.69907076483202</v>
      </c>
      <c r="F1272" s="15" t="n">
        <v>1.259292455619598</v>
      </c>
      <c r="G1272" s="16">
        <f>DEGREES(F1272)</f>
        <v/>
      </c>
      <c r="H1272" s="15" t="n">
        <v>13.79034606231703</v>
      </c>
      <c r="I1272" s="16">
        <f>DEGREES(H1272)</f>
        <v/>
      </c>
      <c r="J1272" s="17" t="n">
        <v>-1.120378517876677</v>
      </c>
      <c r="K1272" s="17" t="n">
        <v>1.557519355876495</v>
      </c>
      <c r="L1272" s="18">
        <f>$B$5*$B$3*$B$6*SIN(F1272)</f>
        <v/>
      </c>
      <c r="M1272" s="18">
        <f>$B$9*K1272*(SIN(F1272))^2 + $B$8*($B$10+K1272*COS(F1272))*COS(F1272)</f>
        <v/>
      </c>
      <c r="N1272" s="18">
        <f>0.5*$B$9*(J1272^2 + (K1272*SIN(F1272))^2) + 0.5*$B$8*($B$10 + K1272*COS(F1272))^2</f>
        <v/>
      </c>
      <c r="O1272" s="18">
        <f>$B$3*$B$6*$B$5*COS(F1272)</f>
        <v/>
      </c>
      <c r="P1272" s="18">
        <f>N1272+O1272</f>
        <v/>
      </c>
      <c r="Q1272" s="19">
        <f>ABS(P1272-$P$3)</f>
        <v/>
      </c>
    </row>
    <row r="1273">
      <c r="D1273" s="6" t="n">
        <v>1271</v>
      </c>
      <c r="E1273" s="7" t="n">
        <v>12.70907791279485</v>
      </c>
      <c r="F1273" s="8" t="n">
        <v>1.248230175166163</v>
      </c>
      <c r="G1273" s="9">
        <f>DEGREES(F1273)</f>
        <v/>
      </c>
      <c r="H1273" s="8" t="n">
        <v>13.8062104147037</v>
      </c>
      <c r="I1273" s="9">
        <f>DEGREES(H1273)</f>
        <v/>
      </c>
      <c r="J1273" s="10" t="n">
        <v>-1.089918614932622</v>
      </c>
      <c r="K1273" s="10" t="n">
        <v>1.612830758143669</v>
      </c>
      <c r="L1273" s="11">
        <f>$B$5*$B$3*$B$6*SIN(F1273)</f>
        <v/>
      </c>
      <c r="M1273" s="11">
        <f>$B$9*K1273*(SIN(F1273))^2 + $B$8*($B$10+K1273*COS(F1273))*COS(F1273)</f>
        <v/>
      </c>
      <c r="N1273" s="11">
        <f>0.5*$B$9*(J1273^2 + (K1273*SIN(F1273))^2) + 0.5*$B$8*($B$10 + K1273*COS(F1273))^2</f>
        <v/>
      </c>
      <c r="O1273" s="11">
        <f>$B$3*$B$6*$B$5*COS(F1273)</f>
        <v/>
      </c>
      <c r="P1273" s="11">
        <f>N1273+O1273</f>
        <v/>
      </c>
      <c r="Q1273" s="12">
        <f>ABS(P1273-$P$3)</f>
        <v/>
      </c>
    </row>
    <row r="1274">
      <c r="D1274" s="13" t="n">
        <v>1272</v>
      </c>
      <c r="E1274" s="14" t="n">
        <v>12.71908506075768</v>
      </c>
      <c r="F1274" s="15" t="n">
        <v>1.237489917864409</v>
      </c>
      <c r="G1274" s="16">
        <f>DEGREES(F1274)</f>
        <v/>
      </c>
      <c r="H1274" s="15" t="n">
        <v>13.82262036293735</v>
      </c>
      <c r="I1274" s="16">
        <f>DEGREES(H1274)</f>
        <v/>
      </c>
      <c r="J1274" s="17" t="n">
        <v>-1.056036734836385</v>
      </c>
      <c r="K1274" s="17" t="n">
        <v>1.666532044652436</v>
      </c>
      <c r="L1274" s="18">
        <f>$B$5*$B$3*$B$6*SIN(F1274)</f>
        <v/>
      </c>
      <c r="M1274" s="18">
        <f>$B$9*K1274*(SIN(F1274))^2 + $B$8*($B$10+K1274*COS(F1274))*COS(F1274)</f>
        <v/>
      </c>
      <c r="N1274" s="18">
        <f>0.5*$B$9*(J1274^2 + (K1274*SIN(F1274))^2) + 0.5*$B$8*($B$10 + K1274*COS(F1274))^2</f>
        <v/>
      </c>
      <c r="O1274" s="18">
        <f>$B$3*$B$6*$B$5*COS(F1274)</f>
        <v/>
      </c>
      <c r="P1274" s="18">
        <f>N1274+O1274</f>
        <v/>
      </c>
      <c r="Q1274" s="19">
        <f>ABS(P1274-$P$3)</f>
        <v/>
      </c>
    </row>
    <row r="1275">
      <c r="D1275" s="6" t="n">
        <v>1273</v>
      </c>
      <c r="E1275" s="7" t="n">
        <v>12.72909220872052</v>
      </c>
      <c r="F1275" s="8" t="n">
        <v>1.227105404502837</v>
      </c>
      <c r="G1275" s="9">
        <f>DEGREES(F1275)</f>
        <v/>
      </c>
      <c r="H1275" s="8" t="n">
        <v>13.83955894629005</v>
      </c>
      <c r="I1275" s="9">
        <f>DEGREES(H1275)</f>
        <v/>
      </c>
      <c r="J1275" s="10" t="n">
        <v>-1.018839255273393</v>
      </c>
      <c r="K1275" s="10" t="n">
        <v>1.7184546114603</v>
      </c>
      <c r="L1275" s="11">
        <f>$B$5*$B$3*$B$6*SIN(F1275)</f>
        <v/>
      </c>
      <c r="M1275" s="11">
        <f>$B$9*K1275*(SIN(F1275))^2 + $B$8*($B$10+K1275*COS(F1275))*COS(F1275)</f>
        <v/>
      </c>
      <c r="N1275" s="11">
        <f>0.5*$B$9*(J1275^2 + (K1275*SIN(F1275))^2) + 0.5*$B$8*($B$10 + K1275*COS(F1275))^2</f>
        <v/>
      </c>
      <c r="O1275" s="11">
        <f>$B$3*$B$6*$B$5*COS(F1275)</f>
        <v/>
      </c>
      <c r="P1275" s="11">
        <f>N1275+O1275</f>
        <v/>
      </c>
      <c r="Q1275" s="12">
        <f>ABS(P1275-$P$3)</f>
        <v/>
      </c>
    </row>
    <row r="1276">
      <c r="D1276" s="13" t="n">
        <v>1274</v>
      </c>
      <c r="E1276" s="14" t="n">
        <v>12.73909935668335</v>
      </c>
      <c r="F1276" s="15" t="n">
        <v>1.217109238953863</v>
      </c>
      <c r="G1276" s="16">
        <f>DEGREES(F1276)</f>
        <v/>
      </c>
      <c r="H1276" s="15" t="n">
        <v>13.85700754429778</v>
      </c>
      <c r="I1276" s="16">
        <f>DEGREES(H1276)</f>
        <v/>
      </c>
      <c r="J1276" s="17" t="n">
        <v>-0.9784429637940828</v>
      </c>
      <c r="K1276" s="17" t="n">
        <v>1.768435439205167</v>
      </c>
      <c r="L1276" s="18">
        <f>$B$5*$B$3*$B$6*SIN(F1276)</f>
        <v/>
      </c>
      <c r="M1276" s="18">
        <f>$B$9*K1276*(SIN(F1276))^2 + $B$8*($B$10+K1276*COS(F1276))*COS(F1276)</f>
        <v/>
      </c>
      <c r="N1276" s="18">
        <f>0.5*$B$9*(J1276^2 + (K1276*SIN(F1276))^2) + 0.5*$B$8*($B$10 + K1276*COS(F1276))^2</f>
        <v/>
      </c>
      <c r="O1276" s="18">
        <f>$B$3*$B$6*$B$5*COS(F1276)</f>
        <v/>
      </c>
      <c r="P1276" s="18">
        <f>N1276+O1276</f>
        <v/>
      </c>
      <c r="Q1276" s="19">
        <f>ABS(P1276-$P$3)</f>
        <v/>
      </c>
    </row>
    <row r="1277">
      <c r="D1277" s="6" t="n">
        <v>1275</v>
      </c>
      <c r="E1277" s="7" t="n">
        <v>12.74910650464618</v>
      </c>
      <c r="F1277" s="8" t="n">
        <v>1.207532805808633</v>
      </c>
      <c r="G1277" s="9">
        <f>DEGREES(F1277)</f>
        <v/>
      </c>
      <c r="H1277" s="8" t="n">
        <v>13.87494593522236</v>
      </c>
      <c r="I1277" s="9">
        <f>DEGREES(H1277)</f>
        <v/>
      </c>
      <c r="J1277" s="10" t="n">
        <v>-0.9349746911402639</v>
      </c>
      <c r="K1277" s="10" t="n">
        <v>1.816317604931319</v>
      </c>
      <c r="L1277" s="11">
        <f>$B$5*$B$3*$B$6*SIN(F1277)</f>
        <v/>
      </c>
      <c r="M1277" s="11">
        <f>$B$9*K1277*(SIN(F1277))^2 + $B$8*($B$10+K1277*COS(F1277))*COS(F1277)</f>
        <v/>
      </c>
      <c r="N1277" s="11">
        <f>0.5*$B$9*(J1277^2 + (K1277*SIN(F1277))^2) + 0.5*$B$8*($B$10 + K1277*COS(F1277))^2</f>
        <v/>
      </c>
      <c r="O1277" s="11">
        <f>$B$3*$B$6*$B$5*COS(F1277)</f>
        <v/>
      </c>
      <c r="P1277" s="11">
        <f>N1277+O1277</f>
        <v/>
      </c>
      <c r="Q1277" s="12">
        <f>ABS(P1277-$P$3)</f>
        <v/>
      </c>
    </row>
    <row r="1278">
      <c r="D1278" s="13" t="n">
        <v>1276</v>
      </c>
      <c r="E1278" s="14" t="n">
        <v>12.75911365260901</v>
      </c>
      <c r="F1278" s="15" t="n">
        <v>1.198406171839998</v>
      </c>
      <c r="G1278" s="16">
        <f>DEGREES(F1278)</f>
        <v/>
      </c>
      <c r="H1278" s="15" t="n">
        <v>13.89335235954092</v>
      </c>
      <c r="I1278" s="16">
        <f>DEGREES(H1278)</f>
        <v/>
      </c>
      <c r="J1278" s="17" t="n">
        <v>-0.8885709130394127</v>
      </c>
      <c r="K1278" s="17" t="n">
        <v>1.861950774774494</v>
      </c>
      <c r="L1278" s="18">
        <f>$B$5*$B$3*$B$6*SIN(F1278)</f>
        <v/>
      </c>
      <c r="M1278" s="18">
        <f>$B$9*K1278*(SIN(F1278))^2 + $B$8*($B$10+K1278*COS(F1278))*COS(F1278)</f>
        <v/>
      </c>
      <c r="N1278" s="18">
        <f>0.5*$B$9*(J1278^2 + (K1278*SIN(F1278))^2) + 0.5*$B$8*($B$10 + K1278*COS(F1278))^2</f>
        <v/>
      </c>
      <c r="O1278" s="18">
        <f>$B$3*$B$6*$B$5*COS(F1278)</f>
        <v/>
      </c>
      <c r="P1278" s="18">
        <f>N1278+O1278</f>
        <v/>
      </c>
      <c r="Q1278" s="19">
        <f>ABS(P1278-$P$3)</f>
        <v/>
      </c>
    </row>
    <row r="1279">
      <c r="D1279" s="6" t="n">
        <v>1277</v>
      </c>
      <c r="E1279" s="7" t="n">
        <v>12.76912080057184</v>
      </c>
      <c r="F1279" s="8" t="n">
        <v>1.189757991602983</v>
      </c>
      <c r="G1279" s="9">
        <f>DEGREES(F1279)</f>
        <v/>
      </c>
      <c r="H1279" s="8" t="n">
        <v>13.91220358826345</v>
      </c>
      <c r="I1279" s="9">
        <f>DEGREES(H1279)</f>
        <v/>
      </c>
      <c r="J1279" s="10" t="n">
        <v>-0.8393773217168932</v>
      </c>
      <c r="K1279" s="10" t="n">
        <v>1.905191675959568</v>
      </c>
      <c r="L1279" s="11">
        <f>$B$5*$B$3*$B$6*SIN(F1279)</f>
        <v/>
      </c>
      <c r="M1279" s="11">
        <f>$B$9*K1279*(SIN(F1279))^2 + $B$8*($B$10+K1279*COS(F1279))*COS(F1279)</f>
        <v/>
      </c>
      <c r="N1279" s="11">
        <f>0.5*$B$9*(J1279^2 + (K1279*SIN(F1279))^2) + 0.5*$B$8*($B$10 + K1279*COS(F1279))^2</f>
        <v/>
      </c>
      <c r="O1279" s="11">
        <f>$B$3*$B$6*$B$5*COS(F1279)</f>
        <v/>
      </c>
      <c r="P1279" s="11">
        <f>N1279+O1279</f>
        <v/>
      </c>
      <c r="Q1279" s="12">
        <f>ABS(P1279-$P$3)</f>
        <v/>
      </c>
    </row>
    <row r="1280">
      <c r="D1280" s="13" t="n">
        <v>1278</v>
      </c>
      <c r="E1280" s="14" t="n">
        <v>12.77912794853467</v>
      </c>
      <c r="F1280" s="15" t="n">
        <v>1.18161541746912</v>
      </c>
      <c r="G1280" s="16">
        <f>DEGREES(F1280)</f>
        <v/>
      </c>
      <c r="H1280" s="15" t="n">
        <v>13.931474995864</v>
      </c>
      <c r="I1280" s="16">
        <f>DEGREES(H1280)</f>
        <v/>
      </c>
      <c r="J1280" s="17" t="n">
        <v>-0.7875483684713559</v>
      </c>
      <c r="K1280" s="17" t="n">
        <v>1.945904546628884</v>
      </c>
      <c r="L1280" s="18">
        <f>$B$5*$B$3*$B$6*SIN(F1280)</f>
        <v/>
      </c>
      <c r="M1280" s="18">
        <f>$B$9*K1280*(SIN(F1280))^2 + $B$8*($B$10+K1280*COS(F1280))*COS(F1280)</f>
        <v/>
      </c>
      <c r="N1280" s="18">
        <f>0.5*$B$9*(J1280^2 + (K1280*SIN(F1280))^2) + 0.5*$B$8*($B$10 + K1280*COS(F1280))^2</f>
        <v/>
      </c>
      <c r="O1280" s="18">
        <f>$B$3*$B$6*$B$5*COS(F1280)</f>
        <v/>
      </c>
      <c r="P1280" s="18">
        <f>N1280+O1280</f>
        <v/>
      </c>
      <c r="Q1280" s="19">
        <f>ABS(P1280-$P$3)</f>
        <v/>
      </c>
    </row>
    <row r="1281">
      <c r="D1281" s="6" t="n">
        <v>1279</v>
      </c>
      <c r="E1281" s="7" t="n">
        <v>12.7891350964975</v>
      </c>
      <c r="F1281" s="8" t="n">
        <v>1.174004014377172</v>
      </c>
      <c r="G1281" s="9">
        <f>DEGREES(F1281)</f>
        <v/>
      </c>
      <c r="H1281" s="8" t="n">
        <v>13.95114063759658</v>
      </c>
      <c r="I1281" s="9">
        <f>DEGREES(H1281)</f>
        <v/>
      </c>
      <c r="J1281" s="10" t="n">
        <v>-0.73324677874983</v>
      </c>
      <c r="K1281" s="10" t="n">
        <v>1.983961562088623</v>
      </c>
      <c r="L1281" s="11">
        <f>$B$5*$B$3*$B$6*SIN(F1281)</f>
        <v/>
      </c>
      <c r="M1281" s="11">
        <f>$B$9*K1281*(SIN(F1281))^2 + $B$8*($B$10+K1281*COS(F1281))*COS(F1281)</f>
        <v/>
      </c>
      <c r="N1281" s="11">
        <f>0.5*$B$9*(J1281^2 + (K1281*SIN(F1281))^2) + 0.5*$B$8*($B$10 + K1281*COS(F1281))^2</f>
        <v/>
      </c>
      <c r="O1281" s="11">
        <f>$B$3*$B$6*$B$5*COS(F1281)</f>
        <v/>
      </c>
      <c r="P1281" s="11">
        <f>N1281+O1281</f>
        <v/>
      </c>
      <c r="Q1281" s="12">
        <f>ABS(P1281-$P$3)</f>
        <v/>
      </c>
    </row>
    <row r="1282">
      <c r="D1282" s="13" t="n">
        <v>1280</v>
      </c>
      <c r="E1282" s="14" t="n">
        <v>12.79914224446033</v>
      </c>
      <c r="F1282" s="15" t="n">
        <v>1.166947679567833</v>
      </c>
      <c r="G1282" s="16">
        <f>DEGREES(F1282)</f>
        <v/>
      </c>
      <c r="H1282" s="15" t="n">
        <v>13.97117333095282</v>
      </c>
      <c r="I1282" s="16">
        <f>DEGREES(H1282)</f>
        <v/>
      </c>
      <c r="J1282" s="17" t="n">
        <v>-0.6766430412445977</v>
      </c>
      <c r="K1282" s="17" t="n">
        <v>2.019243236135319</v>
      </c>
      <c r="L1282" s="18">
        <f>$B$5*$B$3*$B$6*SIN(F1282)</f>
        <v/>
      </c>
      <c r="M1282" s="18">
        <f>$B$9*K1282*(SIN(F1282))^2 + $B$8*($B$10+K1282*COS(F1282))*COS(F1282)</f>
        <v/>
      </c>
      <c r="N1282" s="18">
        <f>0.5*$B$9*(J1282^2 + (K1282*SIN(F1282))^2) + 0.5*$B$8*($B$10 + K1282*COS(F1282))^2</f>
        <v/>
      </c>
      <c r="O1282" s="18">
        <f>$B$3*$B$6*$B$5*COS(F1282)</f>
        <v/>
      </c>
      <c r="P1282" s="18">
        <f>N1282+O1282</f>
        <v/>
      </c>
      <c r="Q1282" s="19">
        <f>ABS(P1282-$P$3)</f>
        <v/>
      </c>
    </row>
    <row r="1283">
      <c r="D1283" s="6" t="n">
        <v>1281</v>
      </c>
      <c r="E1283" s="7" t="n">
        <v>12.80914939242316</v>
      </c>
      <c r="F1283" s="8" t="n">
        <v>1.160468567554443</v>
      </c>
      <c r="G1283" s="9">
        <f>DEGREES(F1283)</f>
        <v/>
      </c>
      <c r="H1283" s="8" t="n">
        <v>13.99154474100601</v>
      </c>
      <c r="I1283" s="9">
        <f>DEGREES(H1283)</f>
        <v/>
      </c>
      <c r="J1283" s="10" t="n">
        <v>-0.6179148726161665</v>
      </c>
      <c r="K1283" s="10" t="n">
        <v>2.051638796202266</v>
      </c>
      <c r="L1283" s="11">
        <f>$B$5*$B$3*$B$6*SIN(F1283)</f>
        <v/>
      </c>
      <c r="M1283" s="11">
        <f>$B$9*K1283*(SIN(F1283))^2 + $B$8*($B$10+K1283*COS(F1283))*COS(F1283)</f>
        <v/>
      </c>
      <c r="N1283" s="11">
        <f>0.5*$B$9*(J1283^2 + (K1283*SIN(F1283))^2) + 0.5*$B$8*($B$10 + K1283*COS(F1283))^2</f>
        <v/>
      </c>
      <c r="O1283" s="11">
        <f>$B$3*$B$6*$B$5*COS(F1283)</f>
        <v/>
      </c>
      <c r="P1283" s="11">
        <f>N1283+O1283</f>
        <v/>
      </c>
      <c r="Q1283" s="12">
        <f>ABS(P1283-$P$3)</f>
        <v/>
      </c>
    </row>
    <row r="1284">
      <c r="D1284" s="13" t="n">
        <v>1282</v>
      </c>
      <c r="E1284" s="14" t="n">
        <v>12.81915654038599</v>
      </c>
      <c r="F1284" s="15" t="n">
        <v>1.154587020565288</v>
      </c>
      <c r="G1284" s="16">
        <f>DEGREES(F1284)</f>
        <v/>
      </c>
      <c r="H1284" s="15" t="n">
        <v>14.01222546937312</v>
      </c>
      <c r="I1284" s="16">
        <f>DEGREES(H1284)</f>
        <v/>
      </c>
      <c r="J1284" s="17" t="n">
        <v>-0.5572466595228446</v>
      </c>
      <c r="K1284" s="17" t="n">
        <v>2.081046531148043</v>
      </c>
      <c r="L1284" s="18">
        <f>$B$5*$B$3*$B$6*SIN(F1284)</f>
        <v/>
      </c>
      <c r="M1284" s="18">
        <f>$B$9*K1284*(SIN(F1284))^2 + $B$8*($B$10+K1284*COS(F1284))*COS(F1284)</f>
        <v/>
      </c>
      <c r="N1284" s="18">
        <f>0.5*$B$9*(J1284^2 + (K1284*SIN(F1284))^2) + 0.5*$B$8*($B$10 + K1284*COS(F1284))^2</f>
        <v/>
      </c>
      <c r="O1284" s="18">
        <f>$B$3*$B$6*$B$5*COS(F1284)</f>
        <v/>
      </c>
      <c r="P1284" s="18">
        <f>N1284+O1284</f>
        <v/>
      </c>
      <c r="Q1284" s="19">
        <f>ABS(P1284-$P$3)</f>
        <v/>
      </c>
    </row>
    <row r="1285">
      <c r="D1285" s="6" t="n">
        <v>1283</v>
      </c>
      <c r="E1285" s="7" t="n">
        <v>12.82916368834882</v>
      </c>
      <c r="F1285" s="8" t="n">
        <v>1.149321504675852</v>
      </c>
      <c r="G1285" s="9">
        <f>DEGREES(F1285)</f>
        <v/>
      </c>
      <c r="H1285" s="8" t="n">
        <v>14.03318514651585</v>
      </c>
      <c r="I1285" s="9">
        <f>DEGREES(H1285)</f>
        <v/>
      </c>
      <c r="J1285" s="10" t="n">
        <v>-0.494828879708772</v>
      </c>
      <c r="K1285" s="10" t="n">
        <v>2.107374110595222</v>
      </c>
      <c r="L1285" s="11">
        <f>$B$5*$B$3*$B$6*SIN(F1285)</f>
        <v/>
      </c>
      <c r="M1285" s="11">
        <f>$B$9*K1285*(SIN(F1285))^2 + $B$8*($B$10+K1285*COS(F1285))*COS(F1285)</f>
        <v/>
      </c>
      <c r="N1285" s="11">
        <f>0.5*$B$9*(J1285^2 + (K1285*SIN(F1285))^2) + 0.5*$B$8*($B$10 + K1285*COS(F1285))^2</f>
        <v/>
      </c>
      <c r="O1285" s="11">
        <f>$B$3*$B$6*$B$5*COS(F1285)</f>
        <v/>
      </c>
      <c r="P1285" s="11">
        <f>N1285+O1285</f>
        <v/>
      </c>
      <c r="Q1285" s="12">
        <f>ABS(P1285-$P$3)</f>
        <v/>
      </c>
    </row>
    <row r="1286">
      <c r="D1286" s="13" t="n">
        <v>1284</v>
      </c>
      <c r="E1286" s="14" t="n">
        <v>12.83917083631165</v>
      </c>
      <c r="F1286" s="15" t="n">
        <v>1.144688551831569</v>
      </c>
      <c r="G1286" s="16">
        <f>DEGREES(F1286)</f>
        <v/>
      </c>
      <c r="H1286" s="15" t="n">
        <v>14.05439252709078</v>
      </c>
      <c r="I1286" s="16">
        <f>DEGREES(H1286)</f>
        <v/>
      </c>
      <c r="J1286" s="17" t="n">
        <v>-0.4308575039679943</v>
      </c>
      <c r="K1286" s="17" t="n">
        <v>2.13053887481664</v>
      </c>
      <c r="L1286" s="18">
        <f>$B$5*$B$3*$B$6*SIN(F1286)</f>
        <v/>
      </c>
      <c r="M1286" s="18">
        <f>$B$9*K1286*(SIN(F1286))^2 + $B$8*($B$10+K1286*COS(F1286))*COS(F1286)</f>
        <v/>
      </c>
      <c r="N1286" s="18">
        <f>0.5*$B$9*(J1286^2 + (K1286*SIN(F1286))^2) + 0.5*$B$8*($B$10 + K1286*COS(F1286))^2</f>
        <v/>
      </c>
      <c r="O1286" s="18">
        <f>$B$3*$B$6*$B$5*COS(F1286)</f>
        <v/>
      </c>
      <c r="P1286" s="18">
        <f>N1286+O1286</f>
        <v/>
      </c>
      <c r="Q1286" s="19">
        <f>ABS(P1286-$P$3)</f>
        <v/>
      </c>
    </row>
    <row r="1287">
      <c r="D1287" s="6" t="n">
        <v>1285</v>
      </c>
      <c r="E1287" s="7" t="n">
        <v>12.84917798427448</v>
      </c>
      <c r="F1287" s="8" t="n">
        <v>1.140702707943079</v>
      </c>
      <c r="G1287" s="9">
        <f>DEGREES(F1287)</f>
        <v/>
      </c>
      <c r="H1287" s="8" t="n">
        <v>14.07581558804916</v>
      </c>
      <c r="I1287" s="9">
        <f>DEGREES(H1287)</f>
        <v/>
      </c>
      <c r="J1287" s="10" t="n">
        <v>-0.3655333808622102</v>
      </c>
      <c r="K1287" s="10" t="n">
        <v>2.150468094259086</v>
      </c>
      <c r="L1287" s="11">
        <f>$B$5*$B$3*$B$6*SIN(F1287)</f>
        <v/>
      </c>
      <c r="M1287" s="11">
        <f>$B$9*K1287*(SIN(F1287))^2 + $B$8*($B$10+K1287*COS(F1287))*COS(F1287)</f>
        <v/>
      </c>
      <c r="N1287" s="11">
        <f>0.5*$B$9*(J1287^2 + (K1287*SIN(F1287))^2) + 0.5*$B$8*($B$10 + K1287*COS(F1287))^2</f>
        <v/>
      </c>
      <c r="O1287" s="11">
        <f>$B$3*$B$6*$B$5*COS(F1287)</f>
        <v/>
      </c>
      <c r="P1287" s="11">
        <f>N1287+O1287</f>
        <v/>
      </c>
      <c r="Q1287" s="12">
        <f>ABS(P1287-$P$3)</f>
        <v/>
      </c>
    </row>
    <row r="1288">
      <c r="D1288" s="13" t="n">
        <v>1286</v>
      </c>
      <c r="E1288" s="14" t="n">
        <v>12.85918513223731</v>
      </c>
      <c r="F1288" s="15" t="n">
        <v>1.137376487216979</v>
      </c>
      <c r="G1288" s="16">
        <f>DEGREES(F1288)</f>
        <v/>
      </c>
      <c r="H1288" s="15" t="n">
        <v>14.09742162917852</v>
      </c>
      <c r="I1288" s="16">
        <f>DEGREES(H1288)</f>
        <v/>
      </c>
      <c r="J1288" s="17" t="n">
        <v>-0.2990616061239738</v>
      </c>
      <c r="K1288" s="17" t="n">
        <v>2.167099197889586</v>
      </c>
      <c r="L1288" s="18">
        <f>$B$5*$B$3*$B$6*SIN(F1288)</f>
        <v/>
      </c>
      <c r="M1288" s="18">
        <f>$B$9*K1288*(SIN(F1288))^2 + $B$8*($B$10+K1288*COS(F1288))*COS(F1288)</f>
        <v/>
      </c>
      <c r="N1288" s="18">
        <f>0.5*$B$9*(J1288^2 + (K1288*SIN(F1288))^2) + 0.5*$B$8*($B$10 + K1288*COS(F1288))^2</f>
        <v/>
      </c>
      <c r="O1288" s="18">
        <f>$B$3*$B$6*$B$5*COS(F1288)</f>
        <v/>
      </c>
      <c r="P1288" s="18">
        <f>N1288+O1288</f>
        <v/>
      </c>
      <c r="Q1288" s="19">
        <f>ABS(P1288-$P$3)</f>
        <v/>
      </c>
    </row>
    <row r="1289">
      <c r="D1289" s="6" t="n">
        <v>1287</v>
      </c>
      <c r="E1289" s="7" t="n">
        <v>12.86919228020014</v>
      </c>
      <c r="F1289" s="8" t="n">
        <v>1.134720332865424</v>
      </c>
      <c r="G1289" s="9">
        <f>DEGREES(F1289)</f>
        <v/>
      </c>
      <c r="H1289" s="8" t="n">
        <v>14.11917737577035</v>
      </c>
      <c r="I1289" s="9">
        <f>DEGREES(H1289)</f>
        <v/>
      </c>
      <c r="J1289" s="10" t="n">
        <v>-0.2316508787252105</v>
      </c>
      <c r="K1289" s="10" t="n">
        <v>2.180379969647365</v>
      </c>
      <c r="L1289" s="11">
        <f>$B$5*$B$3*$B$6*SIN(F1289)</f>
        <v/>
      </c>
      <c r="M1289" s="11">
        <f>$B$9*K1289*(SIN(F1289))^2 + $B$8*($B$10+K1289*COS(F1289))*COS(F1289)</f>
        <v/>
      </c>
      <c r="N1289" s="11">
        <f>0.5*$B$9*(J1289^2 + (K1289*SIN(F1289))^2) + 0.5*$B$8*($B$10 + K1289*COS(F1289))^2</f>
        <v/>
      </c>
      <c r="O1289" s="11">
        <f>$B$3*$B$6*$B$5*COS(F1289)</f>
        <v/>
      </c>
      <c r="P1289" s="11">
        <f>N1289+O1289</f>
        <v/>
      </c>
      <c r="Q1289" s="12">
        <f>ABS(P1289-$P$3)</f>
        <v/>
      </c>
    </row>
    <row r="1290">
      <c r="D1290" s="13" t="n">
        <v>1288</v>
      </c>
      <c r="E1290" s="14" t="n">
        <v>12.87919942816298</v>
      </c>
      <c r="F1290" s="15" t="n">
        <v>1.132742584317962</v>
      </c>
      <c r="G1290" s="16">
        <f>DEGREES(F1290)</f>
        <v/>
      </c>
      <c r="H1290" s="15" t="n">
        <v>14.14104908309139</v>
      </c>
      <c r="I1290" s="16">
        <f>DEGREES(H1290)</f>
        <v/>
      </c>
      <c r="J1290" s="17" t="n">
        <v>-0.1635128456327758</v>
      </c>
      <c r="K1290" s="17" t="n">
        <v>2.190268712384675</v>
      </c>
      <c r="L1290" s="18">
        <f>$B$5*$B$3*$B$6*SIN(F1290)</f>
        <v/>
      </c>
      <c r="M1290" s="18">
        <f>$B$9*K1290*(SIN(F1290))^2 + $B$8*($B$10+K1290*COS(F1290))*COS(F1290)</f>
        <v/>
      </c>
      <c r="N1290" s="18">
        <f>0.5*$B$9*(J1290^2 + (K1290*SIN(F1290))^2) + 0.5*$B$8*($B$10 + K1290*COS(F1290))^2</f>
        <v/>
      </c>
      <c r="O1290" s="18">
        <f>$B$3*$B$6*$B$5*COS(F1290)</f>
        <v/>
      </c>
      <c r="P1290" s="18">
        <f>N1290+O1290</f>
        <v/>
      </c>
      <c r="Q1290" s="19">
        <f>ABS(P1290-$P$3)</f>
        <v/>
      </c>
    </row>
    <row r="1291">
      <c r="D1291" s="6" t="n">
        <v>1289</v>
      </c>
      <c r="E1291" s="7" t="n">
        <v>12.8892065761258</v>
      </c>
      <c r="F1291" s="8" t="n">
        <v>1.131449451038538</v>
      </c>
      <c r="G1291" s="9">
        <f>DEGREES(F1291)</f>
        <v/>
      </c>
      <c r="H1291" s="8" t="n">
        <v>14.16300264233081</v>
      </c>
      <c r="I1291" s="9">
        <f>DEGREES(H1291)</f>
        <v/>
      </c>
      <c r="J1291" s="10" t="n">
        <v>-0.09486143730830429</v>
      </c>
      <c r="K1291" s="10" t="n">
        <v>2.196734378781792</v>
      </c>
      <c r="L1291" s="11">
        <f>$B$5*$B$3*$B$6*SIN(F1291)</f>
        <v/>
      </c>
      <c r="M1291" s="11">
        <f>$B$9*K1291*(SIN(F1291))^2 + $B$8*($B$10+K1291*COS(F1291))*COS(F1291)</f>
        <v/>
      </c>
      <c r="N1291" s="11">
        <f>0.5*$B$9*(J1291^2 + (K1291*SIN(F1291))^2) + 0.5*$B$8*($B$10 + K1291*COS(F1291))^2</f>
        <v/>
      </c>
      <c r="O1291" s="11">
        <f>$B$3*$B$6*$B$5*COS(F1291)</f>
        <v/>
      </c>
      <c r="P1291" s="11">
        <f>N1291+O1291</f>
        <v/>
      </c>
      <c r="Q1291" s="12">
        <f>ABS(P1291-$P$3)</f>
        <v/>
      </c>
    </row>
    <row r="1292">
      <c r="D1292" s="13" t="n">
        <v>1290</v>
      </c>
      <c r="E1292" s="14" t="n">
        <v>12.89921372408864</v>
      </c>
      <c r="F1292" s="15" t="n">
        <v>1.130844993029869</v>
      </c>
      <c r="G1292" s="16">
        <f>DEGREES(F1292)</f>
        <v/>
      </c>
      <c r="H1292" s="15" t="n">
        <v>14.18500368769032</v>
      </c>
      <c r="I1292" s="16">
        <f>DEGREES(H1292)</f>
        <v/>
      </c>
      <c r="J1292" s="17" t="n">
        <v>-0.02591219603865314</v>
      </c>
      <c r="K1292" s="17" t="n">
        <v>2.199756668825137</v>
      </c>
      <c r="L1292" s="18">
        <f>$B$5*$B$3*$B$6*SIN(F1292)</f>
        <v/>
      </c>
      <c r="M1292" s="18">
        <f>$B$9*K1292*(SIN(F1292))^2 + $B$8*($B$10+K1292*COS(F1292))*COS(F1292)</f>
        <v/>
      </c>
      <c r="N1292" s="18">
        <f>0.5*$B$9*(J1292^2 + (K1292*SIN(F1292))^2) + 0.5*$B$8*($B$10 + K1292*COS(F1292))^2</f>
        <v/>
      </c>
      <c r="O1292" s="18">
        <f>$B$3*$B$6*$B$5*COS(F1292)</f>
        <v/>
      </c>
      <c r="P1292" s="18">
        <f>N1292+O1292</f>
        <v/>
      </c>
      <c r="Q1292" s="19">
        <f>ABS(P1292-$P$3)</f>
        <v/>
      </c>
    </row>
    <row r="1293">
      <c r="D1293" s="6" t="n">
        <v>1291</v>
      </c>
      <c r="E1293" s="7" t="n">
        <v>12.90922087205147</v>
      </c>
      <c r="F1293" s="8" t="n">
        <v>1.130931108086402</v>
      </c>
      <c r="G1293" s="9">
        <f>DEGREES(F1293)</f>
        <v/>
      </c>
      <c r="H1293" s="8" t="n">
        <v>14.20701770428121</v>
      </c>
      <c r="I1293" s="9">
        <f>DEGREES(H1293)</f>
        <v/>
      </c>
      <c r="J1293" s="10" t="n">
        <v>0.04311840079424106</v>
      </c>
      <c r="K1293" s="10" t="n">
        <v>2.199326093542474</v>
      </c>
      <c r="L1293" s="11">
        <f>$B$5*$B$3*$B$6*SIN(F1293)</f>
        <v/>
      </c>
      <c r="M1293" s="11">
        <f>$B$9*K1293*(SIN(F1293))^2 + $B$8*($B$10+K1293*COS(F1293))*COS(F1293)</f>
        <v/>
      </c>
      <c r="N1293" s="11">
        <f>0.5*$B$9*(J1293^2 + (K1293*SIN(F1293))^2) + 0.5*$B$8*($B$10 + K1293*COS(F1293))^2</f>
        <v/>
      </c>
      <c r="O1293" s="11">
        <f>$B$3*$B$6*$B$5*COS(F1293)</f>
        <v/>
      </c>
      <c r="P1293" s="11">
        <f>N1293+O1293</f>
        <v/>
      </c>
      <c r="Q1293" s="12">
        <f>ABS(P1293-$P$3)</f>
        <v/>
      </c>
    </row>
    <row r="1294">
      <c r="D1294" s="13" t="n">
        <v>1292</v>
      </c>
      <c r="E1294" s="14" t="n">
        <v>12.9192280200143</v>
      </c>
      <c r="F1294" s="15" t="n">
        <v>1.131707525835879</v>
      </c>
      <c r="G1294" s="16">
        <f>DEGREES(F1294)</f>
        <v/>
      </c>
      <c r="H1294" s="15" t="n">
        <v>14.22901013648948</v>
      </c>
      <c r="I1294" s="16">
        <f>DEGREES(H1294)</f>
        <v/>
      </c>
      <c r="J1294" s="17" t="n">
        <v>0.1120136203793897</v>
      </c>
      <c r="K1294" s="17" t="n">
        <v>2.195444004795089</v>
      </c>
      <c r="L1294" s="18">
        <f>$B$5*$B$3*$B$6*SIN(F1294)</f>
        <v/>
      </c>
      <c r="M1294" s="18">
        <f>$B$9*K1294*(SIN(F1294))^2 + $B$8*($B$10+K1294*COS(F1294))*COS(F1294)</f>
        <v/>
      </c>
      <c r="N1294" s="18">
        <f>0.5*$B$9*(J1294^2 + (K1294*SIN(F1294))^2) + 0.5*$B$8*($B$10 + K1294*COS(F1294))^2</f>
        <v/>
      </c>
      <c r="O1294" s="18">
        <f>$B$3*$B$6*$B$5*COS(F1294)</f>
        <v/>
      </c>
      <c r="P1294" s="18">
        <f>N1294+O1294</f>
        <v/>
      </c>
      <c r="Q1294" s="19">
        <f>ABS(P1294-$P$3)</f>
        <v/>
      </c>
    </row>
    <row r="1295">
      <c r="D1295" s="6" t="n">
        <v>1293</v>
      </c>
      <c r="E1295" s="7" t="n">
        <v>12.92923516797713</v>
      </c>
      <c r="F1295" s="8" t="n">
        <v>1.133171808588217</v>
      </c>
      <c r="G1295" s="9">
        <f>DEGREES(F1295)</f>
        <v/>
      </c>
      <c r="H1295" s="8" t="n">
        <v>14.25094649646884</v>
      </c>
      <c r="I1295" s="9">
        <f>DEGREES(H1295)</f>
        <v/>
      </c>
      <c r="J1295" s="10" t="n">
        <v>0.1805571549447406</v>
      </c>
      <c r="K1295" s="10" t="n">
        <v>2.188122591033399</v>
      </c>
      <c r="L1295" s="11">
        <f>$B$5*$B$3*$B$6*SIN(F1295)</f>
        <v/>
      </c>
      <c r="M1295" s="11">
        <f>$B$9*K1295*(SIN(F1295))^2 + $B$8*($B$10+K1295*COS(F1295))*COS(F1295)</f>
        <v/>
      </c>
      <c r="N1295" s="11">
        <f>0.5*$B$9*(J1295^2 + (K1295*SIN(F1295))^2) + 0.5*$B$8*($B$10 + K1295*COS(F1295))^2</f>
        <v/>
      </c>
      <c r="O1295" s="11">
        <f>$B$3*$B$6*$B$5*COS(F1295)</f>
        <v/>
      </c>
      <c r="P1295" s="11">
        <f>N1295+O1295</f>
        <v/>
      </c>
      <c r="Q1295" s="12">
        <f>ABS(P1295-$P$3)</f>
        <v/>
      </c>
    </row>
    <row r="1296">
      <c r="D1296" s="13" t="n">
        <v>1294</v>
      </c>
      <c r="E1296" s="14" t="n">
        <v>12.93924231593996</v>
      </c>
      <c r="F1296" s="15" t="n">
        <v>1.135319358989032</v>
      </c>
      <c r="G1296" s="16">
        <f>DEGREES(F1296)</f>
        <v/>
      </c>
      <c r="H1296" s="15" t="n">
        <v>14.27279247242086</v>
      </c>
      <c r="I1296" s="16">
        <f>DEGREES(H1296)</f>
        <v/>
      </c>
      <c r="J1296" s="17" t="n">
        <v>0.2485338008906868</v>
      </c>
      <c r="K1296" s="17" t="n">
        <v>2.177384839029323</v>
      </c>
      <c r="L1296" s="18">
        <f>$B$5*$B$3*$B$6*SIN(F1296)</f>
        <v/>
      </c>
      <c r="M1296" s="18">
        <f>$B$9*K1296*(SIN(F1296))^2 + $B$8*($B$10+K1296*COS(F1296))*COS(F1296)</f>
        <v/>
      </c>
      <c r="N1296" s="18">
        <f>0.5*$B$9*(J1296^2 + (K1296*SIN(F1296))^2) + 0.5*$B$8*($B$10 + K1296*COS(F1296))^2</f>
        <v/>
      </c>
      <c r="O1296" s="18">
        <f>$B$3*$B$6*$B$5*COS(F1296)</f>
        <v/>
      </c>
      <c r="P1296" s="18">
        <f>N1296+O1296</f>
        <v/>
      </c>
      <c r="Q1296" s="19">
        <f>ABS(P1296-$P$3)</f>
        <v/>
      </c>
    </row>
    <row r="1297">
      <c r="D1297" s="6" t="n">
        <v>1295</v>
      </c>
      <c r="E1297" s="7" t="n">
        <v>12.94924946390279</v>
      </c>
      <c r="F1297" s="8" t="n">
        <v>1.138143434453782</v>
      </c>
      <c r="G1297" s="9">
        <f>DEGREES(F1297)</f>
        <v/>
      </c>
      <c r="H1297" s="8" t="n">
        <v>14.29451403632254</v>
      </c>
      <c r="I1297" s="9">
        <f>DEGREES(H1297)</f>
        <v/>
      </c>
      <c r="J1297" s="10" t="n">
        <v>0.3157301344568302</v>
      </c>
      <c r="K1297" s="10" t="n">
        <v>2.163264461705575</v>
      </c>
      <c r="L1297" s="11">
        <f>$B$5*$B$3*$B$6*SIN(F1297)</f>
        <v/>
      </c>
      <c r="M1297" s="11">
        <f>$B$9*K1297*(SIN(F1297))^2 + $B$8*($B$10+K1297*COS(F1297))*COS(F1297)</f>
        <v/>
      </c>
      <c r="N1297" s="11">
        <f>0.5*$B$9*(J1297^2 + (K1297*SIN(F1297))^2) + 0.5*$B$8*($B$10 + K1297*COS(F1297))^2</f>
        <v/>
      </c>
      <c r="O1297" s="11">
        <f>$B$3*$B$6*$B$5*COS(F1297)</f>
        <v/>
      </c>
      <c r="P1297" s="11">
        <f>N1297+O1297</f>
        <v/>
      </c>
      <c r="Q1297" s="12">
        <f>ABS(P1297-$P$3)</f>
        <v/>
      </c>
    </row>
    <row r="1298">
      <c r="D1298" s="13" t="n">
        <v>1296</v>
      </c>
      <c r="E1298" s="14" t="n">
        <v>12.95925661186562</v>
      </c>
      <c r="F1298" s="15" t="n">
        <v>1.141635168337212</v>
      </c>
      <c r="G1298" s="16">
        <f>DEGREES(F1298)</f>
        <v/>
      </c>
      <c r="H1298" s="15" t="n">
        <v>14.31607755076276</v>
      </c>
      <c r="I1298" s="16">
        <f>DEGREES(H1298)</f>
        <v/>
      </c>
      <c r="J1298" s="17" t="n">
        <v>0.3819351818007503</v>
      </c>
      <c r="K1298" s="17" t="n">
        <v>2.145805792288423</v>
      </c>
      <c r="L1298" s="18">
        <f>$B$5*$B$3*$B$6*SIN(F1298)</f>
        <v/>
      </c>
      <c r="M1298" s="18">
        <f>$B$9*K1298*(SIN(F1298))^2 + $B$8*($B$10+K1298*COS(F1298))*COS(F1298)</f>
        <v/>
      </c>
      <c r="N1298" s="18">
        <f>0.5*$B$9*(J1298^2 + (K1298*SIN(F1298))^2) + 0.5*$B$8*($B$10 + K1298*COS(F1298))^2</f>
        <v/>
      </c>
      <c r="O1298" s="18">
        <f>$B$3*$B$6*$B$5*COS(F1298)</f>
        <v/>
      </c>
      <c r="P1298" s="18">
        <f>N1298+O1298</f>
        <v/>
      </c>
      <c r="Q1298" s="19">
        <f>ABS(P1298-$P$3)</f>
        <v/>
      </c>
    </row>
    <row r="1299">
      <c r="D1299" s="6" t="n">
        <v>1297</v>
      </c>
      <c r="E1299" s="7" t="n">
        <v>12.96926375982845</v>
      </c>
      <c r="F1299" s="8" t="n">
        <v>1.145783597771629</v>
      </c>
      <c r="G1299" s="9">
        <f>DEGREES(F1299)</f>
        <v/>
      </c>
      <c r="H1299" s="8" t="n">
        <v>14.33744987455246</v>
      </c>
      <c r="I1299" s="9">
        <f>DEGREES(H1299)</f>
        <v/>
      </c>
      <c r="J1299" s="10" t="n">
        <v>0.446941081384603</v>
      </c>
      <c r="K1299" s="10" t="n">
        <v>2.125063645116337</v>
      </c>
      <c r="L1299" s="11">
        <f>$B$5*$B$3*$B$6*SIN(F1299)</f>
        <v/>
      </c>
      <c r="M1299" s="11">
        <f>$B$9*K1299*(SIN(F1299))^2 + $B$8*($B$10+K1299*COS(F1299))*COS(F1299)</f>
        <v/>
      </c>
      <c r="N1299" s="11">
        <f>0.5*$B$9*(J1299^2 + (K1299*SIN(F1299))^2) + 0.5*$B$8*($B$10 + K1299*COS(F1299))^2</f>
        <v/>
      </c>
      <c r="O1299" s="11">
        <f>$B$3*$B$6*$B$5*COS(F1299)</f>
        <v/>
      </c>
      <c r="P1299" s="11">
        <f>N1299+O1299</f>
        <v/>
      </c>
      <c r="Q1299" s="12">
        <f>ABS(P1299-$P$3)</f>
        <v/>
      </c>
    </row>
    <row r="1300">
      <c r="D1300" s="13" t="n">
        <v>1298</v>
      </c>
      <c r="E1300" s="14" t="n">
        <v>12.97927090779128</v>
      </c>
      <c r="F1300" s="15" t="n">
        <v>1.150575698086614</v>
      </c>
      <c r="G1300" s="16">
        <f>DEGREES(F1300)</f>
        <v/>
      </c>
      <c r="H1300" s="15" t="n">
        <v>14.3585984667768</v>
      </c>
      <c r="I1300" s="16">
        <f>DEGREES(H1300)</f>
        <v/>
      </c>
      <c r="J1300" s="17" t="n">
        <v>0.5105437365904539</v>
      </c>
      <c r="K1300" s="17" t="n">
        <v>2.101103143541412</v>
      </c>
      <c r="L1300" s="18">
        <f>$B$5*$B$3*$B$6*SIN(F1300)</f>
        <v/>
      </c>
      <c r="M1300" s="18">
        <f>$B$9*K1300*(SIN(F1300))^2 + $B$8*($B$10+K1300*COS(F1300))*COS(F1300)</f>
        <v/>
      </c>
      <c r="N1300" s="18">
        <f>0.5*$B$9*(J1300^2 + (K1300*SIN(F1300))^2) + 0.5*$B$8*($B$10 + K1300*COS(F1300))^2</f>
        <v/>
      </c>
      <c r="O1300" s="18">
        <f>$B$3*$B$6*$B$5*COS(F1300)</f>
        <v/>
      </c>
      <c r="P1300" s="18">
        <f>N1300+O1300</f>
        <v/>
      </c>
      <c r="Q1300" s="19">
        <f>ABS(P1300-$P$3)</f>
        <v/>
      </c>
    </row>
    <row r="1301">
      <c r="D1301" s="6" t="n">
        <v>1299</v>
      </c>
      <c r="E1301" s="7" t="n">
        <v>12.98927805575411</v>
      </c>
      <c r="F1301" s="8" t="n">
        <v>1.155996423702103</v>
      </c>
      <c r="G1301" s="9">
        <f>DEGREES(F1301)</f>
        <v/>
      </c>
      <c r="H1301" s="8" t="n">
        <v>14.37949148896263</v>
      </c>
      <c r="I1301" s="9">
        <f>DEGREES(H1301)</f>
        <v/>
      </c>
      <c r="J1301" s="10" t="n">
        <v>0.5725434565148741</v>
      </c>
      <c r="K1301" s="10" t="n">
        <v>2.073999515463968</v>
      </c>
      <c r="L1301" s="11">
        <f>$B$5*$B$3*$B$6*SIN(F1301)</f>
        <v/>
      </c>
      <c r="M1301" s="11">
        <f>$B$9*K1301*(SIN(F1301))^2 + $B$8*($B$10+K1301*COS(F1301))*COS(F1301)</f>
        <v/>
      </c>
      <c r="N1301" s="11">
        <f>0.5*$B$9*(J1301^2 + (K1301*SIN(F1301))^2) + 0.5*$B$8*($B$10 + K1301*COS(F1301))^2</f>
        <v/>
      </c>
      <c r="O1301" s="11">
        <f>$B$3*$B$6*$B$5*COS(F1301)</f>
        <v/>
      </c>
      <c r="P1301" s="11">
        <f>N1301+O1301</f>
        <v/>
      </c>
      <c r="Q1301" s="12">
        <f>ABS(P1301-$P$3)</f>
        <v/>
      </c>
    </row>
    <row r="1302">
      <c r="D1302" s="13" t="n">
        <v>1300</v>
      </c>
      <c r="E1302" s="14" t="n">
        <v>12.99928520371694</v>
      </c>
      <c r="F1302" s="15" t="n">
        <v>1.162028755366424</v>
      </c>
      <c r="G1302" s="16">
        <f>DEGREES(F1302)</f>
        <v/>
      </c>
      <c r="H1302" s="15" t="n">
        <v>14.40009790504064</v>
      </c>
      <c r="I1302" s="16">
        <f>DEGREES(H1302)</f>
        <v/>
      </c>
      <c r="J1302" s="17" t="n">
        <v>0.6327455829309393</v>
      </c>
      <c r="K1302" s="17" t="n">
        <v>2.043837857142361</v>
      </c>
      <c r="L1302" s="18">
        <f>$B$5*$B$3*$B$6*SIN(F1302)</f>
        <v/>
      </c>
      <c r="M1302" s="18">
        <f>$B$9*K1302*(SIN(F1302))^2 + $B$8*($B$10+K1302*COS(F1302))*COS(F1302)</f>
        <v/>
      </c>
      <c r="N1302" s="18">
        <f>0.5*$B$9*(J1302^2 + (K1302*SIN(F1302))^2) + 0.5*$B$8*($B$10 + K1302*COS(F1302))^2</f>
        <v/>
      </c>
      <c r="O1302" s="18">
        <f>$B$3*$B$6*$B$5*COS(F1302)</f>
        <v/>
      </c>
      <c r="P1302" s="18">
        <f>N1302+O1302</f>
        <v/>
      </c>
      <c r="Q1302" s="19">
        <f>ABS(P1302-$P$3)</f>
        <v/>
      </c>
    </row>
    <row r="1303">
      <c r="D1303" s="6" t="n">
        <v>1301</v>
      </c>
      <c r="E1303" s="7" t="n">
        <v>13.00929235167977</v>
      </c>
      <c r="F1303" s="8" t="n">
        <v>1.168653753591026</v>
      </c>
      <c r="G1303" s="9">
        <f>DEGREES(F1303)</f>
        <v/>
      </c>
      <c r="H1303" s="8" t="n">
        <v>14.42038757878806</v>
      </c>
      <c r="I1303" s="9">
        <f>DEGREES(H1303)</f>
        <v/>
      </c>
      <c r="J1303" s="10" t="n">
        <v>0.6909611014496077</v>
      </c>
      <c r="K1303" s="10" t="n">
        <v>2.010712866019353</v>
      </c>
      <c r="L1303" s="11">
        <f>$B$5*$B$3*$B$6*SIN(F1303)</f>
        <v/>
      </c>
      <c r="M1303" s="11">
        <f>$B$9*K1303*(SIN(F1303))^2 + $B$8*($B$10+K1303*COS(F1303))*COS(F1303)</f>
        <v/>
      </c>
      <c r="N1303" s="11">
        <f>0.5*$B$9*(J1303^2 + (K1303*SIN(F1303))^2) + 0.5*$B$8*($B$10 + K1303*COS(F1303))^2</f>
        <v/>
      </c>
      <c r="O1303" s="11">
        <f>$B$3*$B$6*$B$5*COS(F1303)</f>
        <v/>
      </c>
      <c r="P1303" s="11">
        <f>N1303+O1303</f>
        <v/>
      </c>
      <c r="Q1303" s="12">
        <f>ABS(P1303-$P$3)</f>
        <v/>
      </c>
    </row>
    <row r="1304">
      <c r="D1304" s="13" t="n">
        <v>1302</v>
      </c>
      <c r="E1304" s="14" t="n">
        <v>13.0192994996426</v>
      </c>
      <c r="F1304" s="15" t="n">
        <v>1.175850618114087</v>
      </c>
      <c r="G1304" s="16">
        <f>DEGREES(F1304)</f>
        <v/>
      </c>
      <c r="H1304" s="15" t="n">
        <v>14.44033136844634</v>
      </c>
      <c r="I1304" s="16">
        <f>DEGREES(H1304)</f>
        <v/>
      </c>
      <c r="J1304" s="17" t="n">
        <v>0.7470072349611839</v>
      </c>
      <c r="K1304" s="17" t="n">
        <v>1.974728543404046</v>
      </c>
      <c r="L1304" s="18">
        <f>$B$5*$B$3*$B$6*SIN(F1304)</f>
        <v/>
      </c>
      <c r="M1304" s="18">
        <f>$B$9*K1304*(SIN(F1304))^2 + $B$8*($B$10+K1304*COS(F1304))*COS(F1304)</f>
        <v/>
      </c>
      <c r="N1304" s="18">
        <f>0.5*$B$9*(J1304^2 + (K1304*SIN(F1304))^2) + 0.5*$B$8*($B$10 + K1304*COS(F1304))^2</f>
        <v/>
      </c>
      <c r="O1304" s="18">
        <f>$B$3*$B$6*$B$5*COS(F1304)</f>
        <v/>
      </c>
      <c r="P1304" s="18">
        <f>N1304+O1304</f>
        <v/>
      </c>
      <c r="Q1304" s="19">
        <f>ABS(P1304-$P$3)</f>
        <v/>
      </c>
    </row>
    <row r="1305">
      <c r="D1305" s="6" t="n">
        <v>1303</v>
      </c>
      <c r="E1305" s="7" t="n">
        <v>13.02930664760543</v>
      </c>
      <c r="F1305" s="8" t="n">
        <v>1.183596753206324</v>
      </c>
      <c r="G1305" s="9">
        <f>DEGREES(F1305)</f>
        <v/>
      </c>
      <c r="H1305" s="8" t="n">
        <v>14.45990121821639</v>
      </c>
      <c r="I1305" s="9">
        <f>DEGREES(H1305)</f>
        <v/>
      </c>
      <c r="J1305" s="10" t="n">
        <v>0.8007080174937884</v>
      </c>
      <c r="K1305" s="10" t="n">
        <v>1.935997867942863</v>
      </c>
      <c r="L1305" s="11">
        <f>$B$5*$B$3*$B$6*SIN(F1305)</f>
        <v/>
      </c>
      <c r="M1305" s="11">
        <f>$B$9*K1305*(SIN(F1305))^2 + $B$8*($B$10+K1305*COS(F1305))*COS(F1305)</f>
        <v/>
      </c>
      <c r="N1305" s="11">
        <f>0.5*$B$9*(J1305^2 + (K1305*SIN(F1305))^2) + 0.5*$B$8*($B$10 + K1305*COS(F1305))^2</f>
        <v/>
      </c>
      <c r="O1305" s="11">
        <f>$B$3*$B$6*$B$5*COS(F1305)</f>
        <v/>
      </c>
      <c r="P1305" s="11">
        <f>N1305+O1305</f>
        <v/>
      </c>
      <c r="Q1305" s="12">
        <f>ABS(P1305-$P$3)</f>
        <v/>
      </c>
    </row>
    <row r="1306">
      <c r="D1306" s="13" t="n">
        <v>1304</v>
      </c>
      <c r="E1306" s="14" t="n">
        <v>13.03931379556826</v>
      </c>
      <c r="F1306" s="15" t="n">
        <v>1.191867838613961</v>
      </c>
      <c r="G1306" s="16">
        <f>DEGREES(F1306)</f>
        <v/>
      </c>
      <c r="H1306" s="15" t="n">
        <v>14.47907024634435</v>
      </c>
      <c r="I1306" s="16">
        <f>DEGREES(H1306)</f>
        <v/>
      </c>
      <c r="J1306" s="17" t="n">
        <v>0.8518948466872025</v>
      </c>
      <c r="K1306" s="17" t="n">
        <v>1.89464244090468</v>
      </c>
      <c r="L1306" s="18">
        <f>$B$5*$B$3*$B$6*SIN(F1306)</f>
        <v/>
      </c>
      <c r="M1306" s="18">
        <f>$B$9*K1306*(SIN(F1306))^2 + $B$8*($B$10+K1306*COS(F1306))*COS(F1306)</f>
        <v/>
      </c>
      <c r="N1306" s="18">
        <f>0.5*$B$9*(J1306^2 + (K1306*SIN(F1306))^2) + 0.5*$B$8*($B$10 + K1306*COS(F1306))^2</f>
        <v/>
      </c>
      <c r="O1306" s="18">
        <f>$B$3*$B$6*$B$5*COS(F1306)</f>
        <v/>
      </c>
      <c r="P1306" s="18">
        <f>N1306+O1306</f>
        <v/>
      </c>
      <c r="Q1306" s="19">
        <f>ABS(P1306-$P$3)</f>
        <v/>
      </c>
    </row>
    <row r="1307">
      <c r="D1307" s="6" t="n">
        <v>1305</v>
      </c>
      <c r="E1307" s="7" t="n">
        <v>13.04932094353109</v>
      </c>
      <c r="F1307" s="8" t="n">
        <v>1.200637905916149</v>
      </c>
      <c r="G1307" s="9">
        <f>DEGREES(F1307)</f>
        <v/>
      </c>
      <c r="H1307" s="8" t="n">
        <v>14.49781282952126</v>
      </c>
      <c r="I1307" s="9">
        <f>DEGREES(H1307)</f>
        <v/>
      </c>
      <c r="J1307" s="10" t="n">
        <v>0.900407013147579</v>
      </c>
      <c r="K1307" s="10" t="n">
        <v>1.850792104393736</v>
      </c>
      <c r="L1307" s="11">
        <f>$B$5*$B$3*$B$6*SIN(F1307)</f>
        <v/>
      </c>
      <c r="M1307" s="11">
        <f>$B$9*K1307*(SIN(F1307))^2 + $B$8*($B$10+K1307*COS(F1307))*COS(F1307)</f>
        <v/>
      </c>
      <c r="N1307" s="11">
        <f>0.5*$B$9*(J1307^2 + (K1307*SIN(F1307))^2) + 0.5*$B$8*($B$10 + K1307*COS(F1307))^2</f>
        <v/>
      </c>
      <c r="O1307" s="11">
        <f>$B$3*$B$6*$B$5*COS(F1307)</f>
        <v/>
      </c>
      <c r="P1307" s="11">
        <f>N1307+O1307</f>
        <v/>
      </c>
      <c r="Q1307" s="12">
        <f>ABS(P1307-$P$3)</f>
        <v/>
      </c>
    </row>
    <row r="1308">
      <c r="D1308" s="13" t="n">
        <v>1306</v>
      </c>
      <c r="E1308" s="14" t="n">
        <v>13.05932809149393</v>
      </c>
      <c r="F1308" s="15" t="n">
        <v>1.209879420057044</v>
      </c>
      <c r="G1308" s="16">
        <f>DEGREES(F1308)</f>
        <v/>
      </c>
      <c r="H1308" s="15" t="n">
        <v>14.51610468333156</v>
      </c>
      <c r="I1308" s="16">
        <f>DEGREES(H1308)</f>
        <v/>
      </c>
      <c r="J1308" s="17" t="n">
        <v>0.9460922050206585</v>
      </c>
      <c r="K1308" s="17" t="n">
        <v>1.804584533689264</v>
      </c>
      <c r="L1308" s="18">
        <f>$B$5*$B$3*$B$6*SIN(F1308)</f>
        <v/>
      </c>
      <c r="M1308" s="18">
        <f>$B$9*K1308*(SIN(F1308))^2 + $B$8*($B$10+K1308*COS(F1308))*COS(F1308)</f>
        <v/>
      </c>
      <c r="N1308" s="18">
        <f>0.5*$B$9*(J1308^2 + (K1308*SIN(F1308))^2) + 0.5*$B$8*($B$10 + K1308*COS(F1308))^2</f>
        <v/>
      </c>
      <c r="O1308" s="18">
        <f>$B$3*$B$6*$B$5*COS(F1308)</f>
        <v/>
      </c>
      <c r="P1308" s="18">
        <f>N1308+O1308</f>
        <v/>
      </c>
      <c r="Q1308" s="19">
        <f>ABS(P1308-$P$3)</f>
        <v/>
      </c>
    </row>
    <row r="1309">
      <c r="D1309" s="6" t="n">
        <v>1307</v>
      </c>
      <c r="E1309" s="7" t="n">
        <v>13.06933523945676</v>
      </c>
      <c r="F1309" s="8" t="n">
        <v>1.219563365796592</v>
      </c>
      <c r="G1309" s="9">
        <f>DEGREES(F1309)</f>
        <v/>
      </c>
      <c r="H1309" s="8" t="n">
        <v>14.53392293849804</v>
      </c>
      <c r="I1309" s="9">
        <f>DEGREES(H1309)</f>
        <v/>
      </c>
      <c r="J1309" s="10" t="n">
        <v>0.9888069861996738</v>
      </c>
      <c r="K1309" s="10" t="n">
        <v>1.756164804991524</v>
      </c>
      <c r="L1309" s="11">
        <f>$B$5*$B$3*$B$6*SIN(F1309)</f>
        <v/>
      </c>
      <c r="M1309" s="11">
        <f>$B$9*K1309*(SIN(F1309))^2 + $B$8*($B$10+K1309*COS(F1309))*COS(F1309)</f>
        <v/>
      </c>
      <c r="N1309" s="11">
        <f>0.5*$B$9*(J1309^2 + (K1309*SIN(F1309))^2) + 0.5*$B$8*($B$10 + K1309*COS(F1309))^2</f>
        <v/>
      </c>
      <c r="O1309" s="11">
        <f>$B$3*$B$6*$B$5*COS(F1309)</f>
        <v/>
      </c>
      <c r="P1309" s="11">
        <f>N1309+O1309</f>
        <v/>
      </c>
      <c r="Q1309" s="12">
        <f>ABS(P1309-$P$3)</f>
        <v/>
      </c>
    </row>
    <row r="1310">
      <c r="D1310" s="13" t="n">
        <v>1308</v>
      </c>
      <c r="E1310" s="14" t="n">
        <v>13.07934238741959</v>
      </c>
      <c r="F1310" s="15" t="n">
        <v>1.229659338808633</v>
      </c>
      <c r="G1310" s="16">
        <f>DEGREES(F1310)</f>
        <v/>
      </c>
      <c r="H1310" s="15" t="n">
        <v>14.55124621268363</v>
      </c>
      <c r="I1310" s="16">
        <f>DEGREES(H1310)</f>
        <v/>
      </c>
      <c r="J1310" s="17" t="n">
        <v>1.028417246666486</v>
      </c>
      <c r="K1310" s="17" t="n">
        <v>1.705684939931315</v>
      </c>
      <c r="L1310" s="18">
        <f>$B$5*$B$3*$B$6*SIN(F1310)</f>
        <v/>
      </c>
      <c r="M1310" s="18">
        <f>$B$9*K1310*(SIN(F1310))^2 + $B$8*($B$10+K1310*COS(F1310))*COS(F1310)</f>
        <v/>
      </c>
      <c r="N1310" s="18">
        <f>0.5*$B$9*(J1310^2 + (K1310*SIN(F1310))^2) + 0.5*$B$8*($B$10 + K1310*COS(F1310))^2</f>
        <v/>
      </c>
      <c r="O1310" s="18">
        <f>$B$3*$B$6*$B$5*COS(F1310)</f>
        <v/>
      </c>
      <c r="P1310" s="18">
        <f>N1310+O1310</f>
        <v/>
      </c>
      <c r="Q1310" s="19">
        <f>ABS(P1310-$P$3)</f>
        <v/>
      </c>
    </row>
    <row r="1311">
      <c r="D1311" s="6" t="n">
        <v>1309</v>
      </c>
      <c r="E1311" s="7" t="n">
        <v>13.08934953538242</v>
      </c>
      <c r="F1311" s="8" t="n">
        <v>1.240135641140216</v>
      </c>
      <c r="G1311" s="9">
        <f>DEGREES(F1311)</f>
        <v/>
      </c>
      <c r="H1311" s="8" t="n">
        <v>14.5680546776247</v>
      </c>
      <c r="I1311" s="9">
        <f>DEGREES(H1311)</f>
        <v/>
      </c>
      <c r="J1311" s="10" t="n">
        <v>1.064798623551737</v>
      </c>
      <c r="K1311" s="10" t="n">
        <v>1.653303428273402</v>
      </c>
      <c r="L1311" s="11">
        <f>$B$5*$B$3*$B$6*SIN(F1311)</f>
        <v/>
      </c>
      <c r="M1311" s="11">
        <f>$B$9*K1311*(SIN(F1311))^2 + $B$8*($B$10+K1311*COS(F1311))*COS(F1311)</f>
        <v/>
      </c>
      <c r="N1311" s="11">
        <f>0.5*$B$9*(J1311^2 + (K1311*SIN(F1311))^2) + 0.5*$B$8*($B$10 + K1311*COS(F1311))^2</f>
        <v/>
      </c>
      <c r="O1311" s="11">
        <f>$B$3*$B$6*$B$5*COS(F1311)</f>
        <v/>
      </c>
      <c r="P1311" s="11">
        <f>N1311+O1311</f>
        <v/>
      </c>
      <c r="Q1311" s="12">
        <f>ABS(P1311-$P$3)</f>
        <v/>
      </c>
    </row>
    <row r="1312">
      <c r="D1312" s="13" t="n">
        <v>1310</v>
      </c>
      <c r="E1312" s="14" t="n">
        <v>13.09935668334525</v>
      </c>
      <c r="F1312" s="15" t="n">
        <v>1.250959380732495</v>
      </c>
      <c r="G1312" s="16">
        <f>DEGREES(F1312)</f>
        <v/>
      </c>
      <c r="H1312" s="15" t="n">
        <v>14.58433012138519</v>
      </c>
      <c r="I1312" s="16">
        <f>DEGREES(H1312)</f>
        <v/>
      </c>
      <c r="J1312" s="17" t="n">
        <v>1.097836891592401</v>
      </c>
      <c r="K1312" s="17" t="n">
        <v>1.599184730312006</v>
      </c>
      <c r="L1312" s="18">
        <f>$B$5*$B$3*$B$6*SIN(F1312)</f>
        <v/>
      </c>
      <c r="M1312" s="18">
        <f>$B$9*K1312*(SIN(F1312))^2 + $B$8*($B$10+K1312*COS(F1312))*COS(F1312)</f>
        <v/>
      </c>
      <c r="N1312" s="18">
        <f>0.5*$B$9*(J1312^2 + (K1312*SIN(F1312))^2) + 0.5*$B$8*($B$10 + K1312*COS(F1312))^2</f>
        <v/>
      </c>
      <c r="O1312" s="18">
        <f>$B$3*$B$6*$B$5*COS(F1312)</f>
        <v/>
      </c>
      <c r="P1312" s="18">
        <f>N1312+O1312</f>
        <v/>
      </c>
      <c r="Q1312" s="19">
        <f>ABS(P1312-$P$3)</f>
        <v/>
      </c>
    </row>
    <row r="1313">
      <c r="D1313" s="6" t="n">
        <v>1311</v>
      </c>
      <c r="E1313" s="7" t="n">
        <v>13.10936383130808</v>
      </c>
      <c r="F1313" s="8" t="n">
        <v>1.262096574690713</v>
      </c>
      <c r="G1313" s="9">
        <f>DEGREES(F1313)</f>
        <v/>
      </c>
      <c r="H1313" s="8" t="n">
        <v>14.60005600553592</v>
      </c>
      <c r="I1313" s="9">
        <f>DEGREES(H1313)</f>
        <v/>
      </c>
      <c r="J1313" s="10" t="n">
        <v>1.127428321760609</v>
      </c>
      <c r="K1313" s="10" t="n">
        <v>1.543498760520918</v>
      </c>
      <c r="L1313" s="11">
        <f>$B$5*$B$3*$B$6*SIN(F1313)</f>
        <v/>
      </c>
      <c r="M1313" s="11">
        <f>$B$9*K1313*(SIN(F1313))^2 + $B$8*($B$10+K1313*COS(F1313))*COS(F1313)</f>
        <v/>
      </c>
      <c r="N1313" s="11">
        <f>0.5*$B$9*(J1313^2 + (K1313*SIN(F1313))^2) + 0.5*$B$8*($B$10 + K1313*COS(F1313))^2</f>
        <v/>
      </c>
      <c r="O1313" s="11">
        <f>$B$3*$B$6*$B$5*COS(F1313)</f>
        <v/>
      </c>
      <c r="P1313" s="11">
        <f>N1313+O1313</f>
        <v/>
      </c>
      <c r="Q1313" s="12">
        <f>ABS(P1313-$P$3)</f>
        <v/>
      </c>
    </row>
    <row r="1314">
      <c r="D1314" s="13" t="n">
        <v>1312</v>
      </c>
      <c r="E1314" s="14" t="n">
        <v>13.11937097927091</v>
      </c>
      <c r="F1314" s="15" t="n">
        <v>1.273512255979036</v>
      </c>
      <c r="G1314" s="16">
        <f>DEGREES(F1314)</f>
        <v/>
      </c>
      <c r="H1314" s="15" t="n">
        <v>14.61521751707967</v>
      </c>
      <c r="I1314" s="16">
        <f>DEGREES(H1314)</f>
        <v/>
      </c>
      <c r="J1314" s="17" t="n">
        <v>1.153480006937842</v>
      </c>
      <c r="K1314" s="17" t="n">
        <v>1.486420354079305</v>
      </c>
      <c r="L1314" s="18">
        <f>$B$5*$B$3*$B$6*SIN(F1314)</f>
        <v/>
      </c>
      <c r="M1314" s="18">
        <f>$B$9*K1314*(SIN(F1314))^2 + $B$8*($B$10+K1314*COS(F1314))*COS(F1314)</f>
        <v/>
      </c>
      <c r="N1314" s="18">
        <f>0.5*$B$9*(J1314^2 + (K1314*SIN(F1314))^2) + 0.5*$B$8*($B$10 + K1314*COS(F1314))^2</f>
        <v/>
      </c>
      <c r="O1314" s="18">
        <f>$B$3*$B$6*$B$5*COS(F1314)</f>
        <v/>
      </c>
      <c r="P1314" s="18">
        <f>N1314+O1314</f>
        <v/>
      </c>
      <c r="Q1314" s="19">
        <f>ABS(P1314-$P$3)</f>
        <v/>
      </c>
    </row>
    <row r="1315">
      <c r="D1315" s="6" t="n">
        <v>1313</v>
      </c>
      <c r="E1315" s="7" t="n">
        <v>13.12937812723374</v>
      </c>
      <c r="F1315" s="8" t="n">
        <v>1.285170583205262</v>
      </c>
      <c r="G1315" s="9">
        <f>DEGREES(F1315)</f>
        <v/>
      </c>
      <c r="H1315" s="8" t="n">
        <v>14.62980161495902</v>
      </c>
      <c r="I1315" s="9">
        <f>DEGREES(H1315)</f>
        <v/>
      </c>
      <c r="J1315" s="10" t="n">
        <v>1.175910153611968</v>
      </c>
      <c r="K1315" s="10" t="n">
        <v>1.428128717948175</v>
      </c>
      <c r="L1315" s="11">
        <f>$B$5*$B$3*$B$6*SIN(F1315)</f>
        <v/>
      </c>
      <c r="M1315" s="11">
        <f>$B$9*K1315*(SIN(F1315))^2 + $B$8*($B$10+K1315*COS(F1315))*COS(F1315)</f>
        <v/>
      </c>
      <c r="N1315" s="11">
        <f>0.5*$B$9*(J1315^2 + (K1315*SIN(F1315))^2) + 0.5*$B$8*($B$10 + K1315*COS(F1315))^2</f>
        <v/>
      </c>
      <c r="O1315" s="11">
        <f>$B$3*$B$6*$B$5*COS(F1315)</f>
        <v/>
      </c>
      <c r="P1315" s="11">
        <f>N1315+O1315</f>
        <v/>
      </c>
      <c r="Q1315" s="12">
        <f>ABS(P1315-$P$3)</f>
        <v/>
      </c>
    </row>
    <row r="1316">
      <c r="D1316" s="13" t="n">
        <v>1314</v>
      </c>
      <c r="E1316" s="14" t="n">
        <v>13.13938527519657</v>
      </c>
      <c r="F1316" s="15" t="n">
        <v>1.297034953150716</v>
      </c>
      <c r="G1316" s="16">
        <f>DEGREES(F1316)</f>
        <v/>
      </c>
      <c r="H1316" s="15" t="n">
        <v>14.64379707100088</v>
      </c>
      <c r="I1316" s="16">
        <f>DEGREES(H1316)</f>
        <v/>
      </c>
      <c r="J1316" s="17" t="n">
        <v>1.194648338681311</v>
      </c>
      <c r="K1316" s="17" t="n">
        <v>1.368806868220903</v>
      </c>
      <c r="L1316" s="18">
        <f>$B$5*$B$3*$B$6*SIN(F1316)</f>
        <v/>
      </c>
      <c r="M1316" s="18">
        <f>$B$9*K1316*(SIN(F1316))^2 + $B$8*($B$10+K1316*COS(F1316))*COS(F1316)</f>
        <v/>
      </c>
      <c r="N1316" s="18">
        <f>0.5*$B$9*(J1316^2 + (K1316*SIN(F1316))^2) + 0.5*$B$8*($B$10 + K1316*COS(F1316))^2</f>
        <v/>
      </c>
      <c r="O1316" s="18">
        <f>$B$3*$B$6*$B$5*COS(F1316)</f>
        <v/>
      </c>
      <c r="P1316" s="18">
        <f>N1316+O1316</f>
        <v/>
      </c>
      <c r="Q1316" s="19">
        <f>ABS(P1316-$P$3)</f>
        <v/>
      </c>
    </row>
    <row r="1317">
      <c r="D1317" s="6" t="n">
        <v>1315</v>
      </c>
      <c r="E1317" s="7" t="n">
        <v>13.1493924231594</v>
      </c>
      <c r="F1317" s="8" t="n">
        <v>1.309068115692021</v>
      </c>
      <c r="G1317" s="9">
        <f>DEGREES(F1317)</f>
        <v/>
      </c>
      <c r="H1317" s="8" t="n">
        <v>14.65719450516913</v>
      </c>
      <c r="I1317" s="9">
        <f>DEGREES(H1317)</f>
        <v/>
      </c>
      <c r="J1317" s="10" t="n">
        <v>1.209635730559454</v>
      </c>
      <c r="K1317" s="10" t="n">
        <v>1.308641055514381</v>
      </c>
      <c r="L1317" s="11">
        <f>$B$5*$B$3*$B$6*SIN(F1317)</f>
        <v/>
      </c>
      <c r="M1317" s="11">
        <f>$B$9*K1317*(SIN(F1317))^2 + $B$8*($B$10+K1317*COS(F1317))*COS(F1317)</f>
        <v/>
      </c>
      <c r="N1317" s="11">
        <f>0.5*$B$9*(J1317^2 + (K1317*SIN(F1317))^2) + 0.5*$B$8*($B$10 + K1317*COS(F1317))^2</f>
        <v/>
      </c>
      <c r="O1317" s="11">
        <f>$B$3*$B$6*$B$5*COS(F1317)</f>
        <v/>
      </c>
      <c r="P1317" s="11">
        <f>N1317+O1317</f>
        <v/>
      </c>
      <c r="Q1317" s="12">
        <f>ABS(P1317-$P$3)</f>
        <v/>
      </c>
    </row>
    <row r="1318">
      <c r="D1318" s="13" t="n">
        <v>1316</v>
      </c>
      <c r="E1318" s="14" t="n">
        <v>13.15939957112223</v>
      </c>
      <c r="F1318" s="15" t="n">
        <v>1.321232290753929</v>
      </c>
      <c r="G1318" s="16">
        <f>DEGREES(F1318)</f>
        <v/>
      </c>
      <c r="H1318" s="15" t="n">
        <v>14.66998641501484</v>
      </c>
      <c r="I1318" s="16">
        <f>DEGREES(H1318)</f>
        <v/>
      </c>
      <c r="J1318" s="17" t="n">
        <v>1.220825273886598</v>
      </c>
      <c r="K1318" s="17" t="n">
        <v>1.24782018020484</v>
      </c>
      <c r="L1318" s="18">
        <f>$B$5*$B$3*$B$6*SIN(F1318)</f>
        <v/>
      </c>
      <c r="M1318" s="18">
        <f>$B$9*K1318*(SIN(F1318))^2 + $B$8*($B$10+K1318*COS(F1318))*COS(F1318)</f>
        <v/>
      </c>
      <c r="N1318" s="18">
        <f>0.5*$B$9*(J1318^2 + (K1318*SIN(F1318))^2) + 0.5*$B$8*($B$10 + K1318*COS(F1318))^2</f>
        <v/>
      </c>
      <c r="O1318" s="18">
        <f>$B$3*$B$6*$B$5*COS(F1318)</f>
        <v/>
      </c>
      <c r="P1318" s="18">
        <f>N1318+O1318</f>
        <v/>
      </c>
      <c r="Q1318" s="19">
        <f>ABS(P1318-$P$3)</f>
        <v/>
      </c>
    </row>
    <row r="1319">
      <c r="D1319" s="6" t="n">
        <v>1317</v>
      </c>
      <c r="E1319" s="7" t="n">
        <v>13.16940671908506</v>
      </c>
      <c r="F1319" s="8" t="n">
        <v>1.33348928692603</v>
      </c>
      <c r="G1319" s="9">
        <f>DEGREES(F1319)</f>
        <v/>
      </c>
      <c r="H1319" s="8" t="n">
        <v>14.68216719923138</v>
      </c>
      <c r="I1319" s="9">
        <f>DEGREES(H1319)</f>
        <v/>
      </c>
      <c r="J1319" s="10" t="n">
        <v>1.228181837267533</v>
      </c>
      <c r="K1319" s="10" t="n">
        <v>1.186535199344333</v>
      </c>
      <c r="L1319" s="11">
        <f>$B$5*$B$3*$B$6*SIN(F1319)</f>
        <v/>
      </c>
      <c r="M1319" s="11">
        <f>$B$9*K1319*(SIN(F1319))^2 + $B$8*($B$10+K1319*COS(F1319))*COS(F1319)</f>
        <v/>
      </c>
      <c r="N1319" s="11">
        <f>0.5*$B$9*(J1319^2 + (K1319*SIN(F1319))^2) + 0.5*$B$8*($B$10 + K1319*COS(F1319))^2</f>
        <v/>
      </c>
      <c r="O1319" s="11">
        <f>$B$3*$B$6*$B$5*COS(F1319)</f>
        <v/>
      </c>
      <c r="P1319" s="11">
        <f>N1319+O1319</f>
        <v/>
      </c>
      <c r="Q1319" s="12">
        <f>ABS(P1319-$P$3)</f>
        <v/>
      </c>
    </row>
    <row r="1320">
      <c r="D1320" s="13" t="n">
        <v>1318</v>
      </c>
      <c r="E1320" s="14" t="n">
        <v>13.17941386704789</v>
      </c>
      <c r="F1320" s="15" t="n">
        <v>1.345800621370905</v>
      </c>
      <c r="G1320" s="16">
        <f>DEGREES(F1320)</f>
        <v/>
      </c>
      <c r="H1320" s="15" t="n">
        <v>14.69373317524063</v>
      </c>
      <c r="I1320" s="16">
        <f>DEGREES(H1320)</f>
        <v/>
      </c>
      <c r="J1320" s="17" t="n">
        <v>1.231682323572378</v>
      </c>
      <c r="K1320" s="17" t="n">
        <v>1.124978527119957</v>
      </c>
      <c r="L1320" s="18">
        <f>$B$5*$B$3*$B$6*SIN(F1320)</f>
        <v/>
      </c>
      <c r="M1320" s="18">
        <f>$B$9*K1320*(SIN(F1320))^2 + $B$8*($B$10+K1320*COS(F1320))*COS(F1320)</f>
        <v/>
      </c>
      <c r="N1320" s="18">
        <f>0.5*$B$9*(J1320^2 + (K1320*SIN(F1320))^2) + 0.5*$B$8*($B$10 + K1320*COS(F1320))^2</f>
        <v/>
      </c>
      <c r="O1320" s="18">
        <f>$B$3*$B$6*$B$5*COS(F1320)</f>
        <v/>
      </c>
      <c r="P1320" s="18">
        <f>N1320+O1320</f>
        <v/>
      </c>
      <c r="Q1320" s="19">
        <f>ABS(P1320-$P$3)</f>
        <v/>
      </c>
    </row>
    <row r="1321">
      <c r="D1321" s="6" t="n">
        <v>1319</v>
      </c>
      <c r="E1321" s="7" t="n">
        <v>13.18942101501072</v>
      </c>
      <c r="F1321" s="8" t="n">
        <v>1.358127640647283</v>
      </c>
      <c r="G1321" s="9">
        <f>DEGREES(F1321)</f>
        <v/>
      </c>
      <c r="H1321" s="8" t="n">
        <v>14.70468259075507</v>
      </c>
      <c r="I1321" s="9">
        <f>DEGREES(H1321)</f>
        <v/>
      </c>
      <c r="J1321" s="10" t="n">
        <v>1.231315742453788</v>
      </c>
      <c r="K1321" s="10" t="n">
        <v>1.063343430738068</v>
      </c>
      <c r="L1321" s="11">
        <f>$B$5*$B$3*$B$6*SIN(F1321)</f>
        <v/>
      </c>
      <c r="M1321" s="11">
        <f>$B$9*K1321*(SIN(F1321))^2 + $B$8*($B$10+K1321*COS(F1321))*COS(F1321)</f>
        <v/>
      </c>
      <c r="N1321" s="11">
        <f>0.5*$B$9*(J1321^2 + (K1321*SIN(F1321))^2) + 0.5*$B$8*($B$10 + K1321*COS(F1321))^2</f>
        <v/>
      </c>
      <c r="O1321" s="11">
        <f>$B$3*$B$6*$B$5*COS(F1321)</f>
        <v/>
      </c>
      <c r="P1321" s="11">
        <f>N1321+O1321</f>
        <v/>
      </c>
      <c r="Q1321" s="12">
        <f>ABS(P1321-$P$3)</f>
        <v/>
      </c>
    </row>
    <row r="1322">
      <c r="D1322" s="13" t="n">
        <v>1320</v>
      </c>
      <c r="E1322" s="14" t="n">
        <v>13.19942816297355</v>
      </c>
      <c r="F1322" s="15" t="n">
        <v>1.370431642068788</v>
      </c>
      <c r="G1322" s="16">
        <f>DEGREES(F1322)</f>
        <v/>
      </c>
      <c r="H1322" s="15" t="n">
        <v>14.71501562927935</v>
      </c>
      <c r="I1322" s="16">
        <f>DEGREES(H1322)</f>
        <v/>
      </c>
      <c r="J1322" s="17" t="n">
        <v>1.227083244852938</v>
      </c>
      <c r="K1322" s="17" t="n">
        <v>1.001823423630543</v>
      </c>
      <c r="L1322" s="18">
        <f>$B$5*$B$3*$B$6*SIN(F1322)</f>
        <v/>
      </c>
      <c r="M1322" s="18">
        <f>$B$9*K1322*(SIN(F1322))^2 + $B$8*($B$10+K1322*COS(F1322))*COS(F1322)</f>
        <v/>
      </c>
      <c r="N1322" s="18">
        <f>0.5*$B$9*(J1322^2 + (K1322*SIN(F1322))^2) + 0.5*$B$8*($B$10 + K1322*COS(F1322))^2</f>
        <v/>
      </c>
      <c r="O1322" s="18">
        <f>$B$3*$B$6*$B$5*COS(F1322)</f>
        <v/>
      </c>
      <c r="P1322" s="18">
        <f>N1322+O1322</f>
        <v/>
      </c>
      <c r="Q1322" s="19">
        <f>ABS(P1322-$P$3)</f>
        <v/>
      </c>
    </row>
    <row r="1323">
      <c r="D1323" s="6" t="n">
        <v>1321</v>
      </c>
      <c r="E1323" s="7" t="n">
        <v>13.20943531093638</v>
      </c>
      <c r="F1323" s="8" t="n">
        <v>1.382673995217362</v>
      </c>
      <c r="G1323" s="9">
        <f>DEGREES(F1323)</f>
        <v/>
      </c>
      <c r="H1323" s="8" t="n">
        <v>14.72473440953416</v>
      </c>
      <c r="I1323" s="9">
        <f>DEGREES(H1323)</f>
        <v/>
      </c>
      <c r="J1323" s="10" t="n">
        <v>1.218998119385961</v>
      </c>
      <c r="K1323" s="10" t="n">
        <v>0.9406116578876746</v>
      </c>
      <c r="L1323" s="11">
        <f>$B$5*$B$3*$B$6*SIN(F1323)</f>
        <v/>
      </c>
      <c r="M1323" s="11">
        <f>$B$9*K1323*(SIN(F1323))^2 + $B$8*($B$10+K1323*COS(F1323))*COS(F1323)</f>
        <v/>
      </c>
      <c r="N1323" s="11">
        <f>0.5*$B$9*(J1323^2 + (K1323*SIN(F1323))^2) + 0.5*$B$8*($B$10 + K1323*COS(F1323))^2</f>
        <v/>
      </c>
      <c r="O1323" s="11">
        <f>$B$3*$B$6*$B$5*COS(F1323)</f>
        <v/>
      </c>
      <c r="P1323" s="11">
        <f>N1323+O1323</f>
        <v/>
      </c>
      <c r="Q1323" s="12">
        <f>ABS(P1323-$P$3)</f>
        <v/>
      </c>
    </row>
    <row r="1324">
      <c r="D1324" s="13" t="n">
        <v>1322</v>
      </c>
      <c r="E1324" s="14" t="n">
        <v>13.21944245889921</v>
      </c>
      <c r="F1324" s="15" t="n">
        <v>1.394816263229756</v>
      </c>
      <c r="G1324" s="16">
        <f>DEGREES(F1324)</f>
        <v/>
      </c>
      <c r="H1324" s="15" t="n">
        <v>14.73384297880415</v>
      </c>
      <c r="I1324" s="16">
        <f>DEGREES(H1324)</f>
        <v/>
      </c>
      <c r="J1324" s="17" t="n">
        <v>1.207085750622157</v>
      </c>
      <c r="K1324" s="17" t="n">
        <v>0.8799003178257014</v>
      </c>
      <c r="L1324" s="18">
        <f>$B$5*$B$3*$B$6*SIN(F1324)</f>
        <v/>
      </c>
      <c r="M1324" s="18">
        <f>$B$9*K1324*(SIN(F1324))^2 + $B$8*($B$10+K1324*COS(F1324))*COS(F1324)</f>
        <v/>
      </c>
      <c r="N1324" s="18">
        <f>0.5*$B$9*(J1324^2 + (K1324*SIN(F1324))^2) + 0.5*$B$8*($B$10 + K1324*COS(F1324))^2</f>
        <v/>
      </c>
      <c r="O1324" s="18">
        <f>$B$3*$B$6*$B$5*COS(F1324)</f>
        <v/>
      </c>
      <c r="P1324" s="18">
        <f>N1324+O1324</f>
        <v/>
      </c>
      <c r="Q1324" s="19">
        <f>ABS(P1324-$P$3)</f>
        <v/>
      </c>
    </row>
    <row r="1325">
      <c r="D1325" s="6" t="n">
        <v>1323</v>
      </c>
      <c r="E1325" s="7" t="n">
        <v>13.22944960686205</v>
      </c>
      <c r="F1325" s="8" t="n">
        <v>1.406820323476305</v>
      </c>
      <c r="G1325" s="9">
        <f>DEGREES(F1325)</f>
        <v/>
      </c>
      <c r="H1325" s="8" t="n">
        <v>14.74234730023081</v>
      </c>
      <c r="I1325" s="9">
        <f>DEGREES(H1325)</f>
        <v/>
      </c>
      <c r="J1325" s="10" t="n">
        <v>1.191383539385025</v>
      </c>
      <c r="K1325" s="10" t="n">
        <v>0.8198800165929576</v>
      </c>
      <c r="L1325" s="11">
        <f>$B$5*$B$3*$B$6*SIN(F1325)</f>
        <v/>
      </c>
      <c r="M1325" s="11">
        <f>$B$9*K1325*(SIN(F1325))^2 + $B$8*($B$10+K1325*COS(F1325))*COS(F1325)</f>
        <v/>
      </c>
      <c r="N1325" s="11">
        <f>0.5*$B$9*(J1325^2 + (K1325*SIN(F1325))^2) + 0.5*$B$8*($B$10 + K1325*COS(F1325))^2</f>
        <v/>
      </c>
      <c r="O1325" s="11">
        <f>$B$3*$B$6*$B$5*COS(F1325)</f>
        <v/>
      </c>
      <c r="P1325" s="11">
        <f>N1325+O1325</f>
        <v/>
      </c>
      <c r="Q1325" s="12">
        <f>ABS(P1325-$P$3)</f>
        <v/>
      </c>
    </row>
    <row r="1326">
      <c r="D1326" s="13" t="n">
        <v>1324</v>
      </c>
      <c r="E1326" s="14" t="n">
        <v>13.23945675482488</v>
      </c>
      <c r="F1326" s="15" t="n">
        <v>1.41864848725316</v>
      </c>
      <c r="G1326" s="16">
        <f>DEGREES(F1326)</f>
        <v/>
      </c>
      <c r="H1326" s="15" t="n">
        <v>14.75025523409025</v>
      </c>
      <c r="I1326" s="16">
        <f>DEGREES(H1326)</f>
        <v/>
      </c>
      <c r="J1326" s="17" t="n">
        <v>1.171940785326265</v>
      </c>
      <c r="K1326" s="17" t="n">
        <v>0.760739197708684</v>
      </c>
      <c r="L1326" s="18">
        <f>$B$5*$B$3*$B$6*SIN(F1326)</f>
        <v/>
      </c>
      <c r="M1326" s="18">
        <f>$B$9*K1326*(SIN(F1326))^2 + $B$8*($B$10+K1326*COS(F1326))*COS(F1326)</f>
        <v/>
      </c>
      <c r="N1326" s="18">
        <f>0.5*$B$9*(J1326^2 + (K1326*SIN(F1326))^2) + 0.5*$B$8*($B$10 + K1326*COS(F1326))^2</f>
        <v/>
      </c>
      <c r="O1326" s="18">
        <f>$B$3*$B$6*$B$5*COS(F1326)</f>
        <v/>
      </c>
      <c r="P1326" s="18">
        <f>N1326+O1326</f>
        <v/>
      </c>
      <c r="Q1326" s="19">
        <f>ABS(P1326-$P$3)</f>
        <v/>
      </c>
    </row>
    <row r="1327">
      <c r="D1327" s="6" t="n">
        <v>1325</v>
      </c>
      <c r="E1327" s="7" t="n">
        <v>13.24946390278771</v>
      </c>
      <c r="F1327" s="8" t="n">
        <v>1.430263618112116</v>
      </c>
      <c r="G1327" s="9">
        <f>DEGREES(F1327)</f>
        <v/>
      </c>
      <c r="H1327" s="8" t="n">
        <v>14.75757651311454</v>
      </c>
      <c r="I1327" s="9">
        <f>DEGREES(H1327)</f>
        <v/>
      </c>
      <c r="J1327" s="10" t="n">
        <v>1.14881853214147</v>
      </c>
      <c r="K1327" s="10" t="n">
        <v>0.702663543413901</v>
      </c>
      <c r="L1327" s="11">
        <f>$B$5*$B$3*$B$6*SIN(F1327)</f>
        <v/>
      </c>
      <c r="M1327" s="11">
        <f>$B$9*K1327*(SIN(F1327))^2 + $B$8*($B$10+K1327*COS(F1327))*COS(F1327)</f>
        <v/>
      </c>
      <c r="N1327" s="11">
        <f>0.5*$B$9*(J1327^2 + (K1327*SIN(F1327))^2) + 0.5*$B$8*($B$10 + K1327*COS(F1327))^2</f>
        <v/>
      </c>
      <c r="O1327" s="11">
        <f>$B$3*$B$6*$B$5*COS(F1327)</f>
        <v/>
      </c>
      <c r="P1327" s="11">
        <f>N1327+O1327</f>
        <v/>
      </c>
      <c r="Q1327" s="12">
        <f>ABS(P1327-$P$3)</f>
        <v/>
      </c>
    </row>
    <row r="1328">
      <c r="D1328" s="13" t="n">
        <v>1326</v>
      </c>
      <c r="E1328" s="14" t="n">
        <v>13.25947105075054</v>
      </c>
      <c r="F1328" s="15" t="n">
        <v>1.441629248456536</v>
      </c>
      <c r="G1328" s="16">
        <f>DEGREES(F1328)</f>
        <v/>
      </c>
      <c r="H1328" s="15" t="n">
        <v>14.76432271193425</v>
      </c>
      <c r="I1328" s="16">
        <f>DEGREES(H1328)</f>
        <v/>
      </c>
      <c r="J1328" s="17" t="n">
        <v>1.122089375913521</v>
      </c>
      <c r="K1328" s="17" t="n">
        <v>0.6458353916918053</v>
      </c>
      <c r="L1328" s="18">
        <f>$B$5*$B$3*$B$6*SIN(F1328)</f>
        <v/>
      </c>
      <c r="M1328" s="18">
        <f>$B$9*K1328*(SIN(F1328))^2 + $B$8*($B$10+K1328*COS(F1328))*COS(F1328)</f>
        <v/>
      </c>
      <c r="N1328" s="18">
        <f>0.5*$B$9*(J1328^2 + (K1328*SIN(F1328))^2) + 0.5*$B$8*($B$10 + K1328*COS(F1328))^2</f>
        <v/>
      </c>
      <c r="O1328" s="18">
        <f>$B$3*$B$6*$B$5*COS(F1328)</f>
        <v/>
      </c>
      <c r="P1328" s="18">
        <f>N1328+O1328</f>
        <v/>
      </c>
      <c r="Q1328" s="19">
        <f>ABS(P1328-$P$3)</f>
        <v/>
      </c>
    </row>
    <row r="1329">
      <c r="D1329" s="6" t="n">
        <v>1327</v>
      </c>
      <c r="E1329" s="7" t="n">
        <v>13.26947819871337</v>
      </c>
      <c r="F1329" s="8" t="n">
        <v>1.452709694037304</v>
      </c>
      <c r="G1329" s="9">
        <f>DEGREES(F1329)</f>
        <v/>
      </c>
      <c r="H1329" s="8" t="n">
        <v>14.77050721073798</v>
      </c>
      <c r="I1329" s="9">
        <f>DEGREES(H1329)</f>
        <v/>
      </c>
      <c r="J1329" s="10" t="n">
        <v>1.091837237185365</v>
      </c>
      <c r="K1329" s="10" t="n">
        <v>0.5904331637879607</v>
      </c>
      <c r="L1329" s="11">
        <f>$B$5*$B$3*$B$6*SIN(F1329)</f>
        <v/>
      </c>
      <c r="M1329" s="11">
        <f>$B$9*K1329*(SIN(F1329))^2 + $B$8*($B$10+K1329*COS(F1329))*COS(F1329)</f>
        <v/>
      </c>
      <c r="N1329" s="11">
        <f>0.5*$B$9*(J1329^2 + (K1329*SIN(F1329))^2) + 0.5*$B$8*($B$10 + K1329*COS(F1329))^2</f>
        <v/>
      </c>
      <c r="O1329" s="11">
        <f>$B$3*$B$6*$B$5*COS(F1329)</f>
        <v/>
      </c>
      <c r="P1329" s="11">
        <f>N1329+O1329</f>
        <v/>
      </c>
      <c r="Q1329" s="12">
        <f>ABS(P1329-$P$3)</f>
        <v/>
      </c>
    </row>
    <row r="1330">
      <c r="D1330" s="13" t="n">
        <v>1328</v>
      </c>
      <c r="E1330" s="14" t="n">
        <v>13.2794853466762</v>
      </c>
      <c r="F1330" s="15" t="n">
        <v>1.463470165989379</v>
      </c>
      <c r="G1330" s="16">
        <f>DEGREES(F1330)</f>
        <v/>
      </c>
      <c r="H1330" s="15" t="n">
        <v>14.7761451532631</v>
      </c>
      <c r="I1330" s="16">
        <f>DEGREES(H1330)</f>
        <v/>
      </c>
      <c r="J1330" s="17" t="n">
        <v>1.058157097477722</v>
      </c>
      <c r="K1330" s="17" t="n">
        <v>0.5366308040275883</v>
      </c>
      <c r="L1330" s="18">
        <f>$B$5*$B$3*$B$6*SIN(F1330)</f>
        <v/>
      </c>
      <c r="M1330" s="18">
        <f>$B$9*K1330*(SIN(F1330))^2 + $B$8*($B$10+K1330*COS(F1330))*COS(F1330)</f>
        <v/>
      </c>
      <c r="N1330" s="18">
        <f>0.5*$B$9*(J1330^2 + (K1330*SIN(F1330))^2) + 0.5*$B$8*($B$10 + K1330*COS(F1330))^2</f>
        <v/>
      </c>
      <c r="O1330" s="18">
        <f>$B$3*$B$6*$B$5*COS(F1330)</f>
        <v/>
      </c>
      <c r="P1330" s="18">
        <f>N1330+O1330</f>
        <v/>
      </c>
      <c r="Q1330" s="19">
        <f>ABS(P1330-$P$3)</f>
        <v/>
      </c>
    </row>
    <row r="1331">
      <c r="D1331" s="6" t="n">
        <v>1329</v>
      </c>
      <c r="E1331" s="7" t="n">
        <v>13.28949249463903</v>
      </c>
      <c r="F1331" s="8" t="n">
        <v>1.47387688005707</v>
      </c>
      <c r="G1331" s="9">
        <f>DEGREES(F1331)</f>
        <v/>
      </c>
      <c r="H1331" s="8" t="n">
        <v>14.78125339924949</v>
      </c>
      <c r="I1331" s="9">
        <f>DEGREES(H1331)</f>
        <v/>
      </c>
      <c r="J1331" s="10" t="n">
        <v>1.021154701079185</v>
      </c>
      <c r="K1331" s="10" t="n">
        <v>0.4845972336891321</v>
      </c>
      <c r="L1331" s="11">
        <f>$B$5*$B$3*$B$6*SIN(F1331)</f>
        <v/>
      </c>
      <c r="M1331" s="11">
        <f>$B$9*K1331*(SIN(F1331))^2 + $B$8*($B$10+K1331*COS(F1331))*COS(F1331)</f>
        <v/>
      </c>
      <c r="N1331" s="11">
        <f>0.5*$B$9*(J1331^2 + (K1331*SIN(F1331))^2) + 0.5*$B$8*($B$10 + K1331*COS(F1331))^2</f>
        <v/>
      </c>
      <c r="O1331" s="11">
        <f>$B$3*$B$6*$B$5*COS(F1331)</f>
        <v/>
      </c>
      <c r="P1331" s="11">
        <f>N1331+O1331</f>
        <v/>
      </c>
      <c r="Q1331" s="12">
        <f>ABS(P1331-$P$3)</f>
        <v/>
      </c>
    </row>
    <row r="1332">
      <c r="D1332" s="13" t="n">
        <v>1330</v>
      </c>
      <c r="E1332" s="14" t="n">
        <v>13.29949964260186</v>
      </c>
      <c r="F1332" s="15" t="n">
        <v>1.483897162665224</v>
      </c>
      <c r="G1332" s="16">
        <f>DEGREES(F1332)</f>
        <v/>
      </c>
      <c r="H1332" s="15" t="n">
        <v>14.78585047150567</v>
      </c>
      <c r="I1332" s="16">
        <f>DEGREES(H1332)</f>
        <v/>
      </c>
      <c r="J1332" s="17" t="n">
        <v>0.9809462230447963</v>
      </c>
      <c r="K1332" s="17" t="n">
        <v>0.4344958206483648</v>
      </c>
      <c r="L1332" s="18">
        <f>$B$5*$B$3*$B$6*SIN(F1332)</f>
        <v/>
      </c>
      <c r="M1332" s="18">
        <f>$B$9*K1332*(SIN(F1332))^2 + $B$8*($B$10+K1332*COS(F1332))*COS(F1332)</f>
        <v/>
      </c>
      <c r="N1332" s="18">
        <f>0.5*$B$9*(J1332^2 + (K1332*SIN(F1332))^2) + 0.5*$B$8*($B$10 + K1332*COS(F1332))^2</f>
        <v/>
      </c>
      <c r="O1332" s="18">
        <f>$B$3*$B$6*$B$5*COS(F1332)</f>
        <v/>
      </c>
      <c r="P1332" s="18">
        <f>N1332+O1332</f>
        <v/>
      </c>
      <c r="Q1332" s="19">
        <f>ABS(P1332-$P$3)</f>
        <v/>
      </c>
    </row>
    <row r="1333">
      <c r="D1333" s="6" t="n">
        <v>1331</v>
      </c>
      <c r="E1333" s="7" t="n">
        <v>13.30950679056469</v>
      </c>
      <c r="F1333" s="8" t="n">
        <v>1.493499553503257</v>
      </c>
      <c r="G1333" s="9">
        <f>DEGREES(F1333)</f>
        <v/>
      </c>
      <c r="H1333" s="8" t="n">
        <v>14.7899564977534</v>
      </c>
      <c r="I1333" s="9">
        <f>DEGREES(H1333)</f>
        <v/>
      </c>
      <c r="J1333" s="10" t="n">
        <v>0.9376579044454414</v>
      </c>
      <c r="K1333" s="10" t="n">
        <v>0.3864838664581965</v>
      </c>
      <c r="L1333" s="11">
        <f>$B$5*$B$3*$B$6*SIN(F1333)</f>
        <v/>
      </c>
      <c r="M1333" s="11">
        <f>$B$9*K1333*(SIN(F1333))^2 + $B$8*($B$10+K1333*COS(F1333))*COS(F1333)</f>
        <v/>
      </c>
      <c r="N1333" s="11">
        <f>0.5*$B$9*(J1333^2 + (K1333*SIN(F1333))^2) + 0.5*$B$8*($B$10 + K1333*COS(F1333))^2</f>
        <v/>
      </c>
      <c r="O1333" s="11">
        <f>$B$3*$B$6*$B$5*COS(F1333)</f>
        <v/>
      </c>
      <c r="P1333" s="11">
        <f>N1333+O1333</f>
        <v/>
      </c>
      <c r="Q1333" s="12">
        <f>ABS(P1333-$P$3)</f>
        <v/>
      </c>
    </row>
    <row r="1334">
      <c r="D1334" s="13" t="n">
        <v>1332</v>
      </c>
      <c r="E1334" s="14" t="n">
        <v>13.31951393852752</v>
      </c>
      <c r="F1334" s="15" t="n">
        <v>1.502653904299909</v>
      </c>
      <c r="G1334" s="16">
        <f>DEGREES(F1334)</f>
        <v/>
      </c>
      <c r="H1334" s="15" t="n">
        <v>14.79359314743345</v>
      </c>
      <c r="I1334" s="16">
        <f>DEGREES(H1334)</f>
        <v/>
      </c>
      <c r="J1334" s="17" t="n">
        <v>0.8914256560135215</v>
      </c>
      <c r="K1334" s="17" t="n">
        <v>0.3407121124749393</v>
      </c>
      <c r="L1334" s="18">
        <f>$B$5*$B$3*$B$6*SIN(F1334)</f>
        <v/>
      </c>
      <c r="M1334" s="18">
        <f>$B$9*K1334*(SIN(F1334))^2 + $B$8*($B$10+K1334*COS(F1334))*COS(F1334)</f>
        <v/>
      </c>
      <c r="N1334" s="18">
        <f>0.5*$B$9*(J1334^2 + (K1334*SIN(F1334))^2) + 0.5*$B$8*($B$10 + K1334*COS(F1334))^2</f>
        <v/>
      </c>
      <c r="O1334" s="18">
        <f>$B$3*$B$6*$B$5*COS(F1334)</f>
        <v/>
      </c>
      <c r="P1334" s="18">
        <f>N1334+O1334</f>
        <v/>
      </c>
      <c r="Q1334" s="19">
        <f>ABS(P1334-$P$3)</f>
        <v/>
      </c>
    </row>
    <row r="1335">
      <c r="D1335" s="6" t="n">
        <v>1333</v>
      </c>
      <c r="E1335" s="7" t="n">
        <v>13.32952108649035</v>
      </c>
      <c r="F1335" s="8" t="n">
        <v>1.51133147347866</v>
      </c>
      <c r="G1335" s="9">
        <f>DEGREES(F1335)</f>
        <v/>
      </c>
      <c r="H1335" s="8" t="n">
        <v>14.7967835636708</v>
      </c>
      <c r="I1335" s="9">
        <f>DEGREES(H1335)</f>
        <v/>
      </c>
      <c r="J1335" s="10" t="n">
        <v>0.8423946314290087</v>
      </c>
      <c r="K1335" s="10" t="n">
        <v>0.2973242665811811</v>
      </c>
      <c r="L1335" s="11">
        <f>$B$5*$B$3*$B$6*SIN(F1335)</f>
        <v/>
      </c>
      <c r="M1335" s="11">
        <f>$B$9*K1335*(SIN(F1335))^2 + $B$8*($B$10+K1335*COS(F1335))*COS(F1335)</f>
        <v/>
      </c>
      <c r="N1335" s="11">
        <f>0.5*$B$9*(J1335^2 + (K1335*SIN(F1335))^2) + 0.5*$B$8*($B$10 + K1335*COS(F1335))^2</f>
        <v/>
      </c>
      <c r="O1335" s="11">
        <f>$B$3*$B$6*$B$5*COS(F1335)</f>
        <v/>
      </c>
      <c r="P1335" s="11">
        <f>N1335+O1335</f>
        <v/>
      </c>
      <c r="Q1335" s="12">
        <f>ABS(P1335-$P$3)</f>
        <v/>
      </c>
    </row>
    <row r="1336">
      <c r="D1336" s="13" t="n">
        <v>1334</v>
      </c>
      <c r="E1336" s="14" t="n">
        <v>13.33952823445318</v>
      </c>
      <c r="F1336" s="15" t="n">
        <v>1.519505016396601</v>
      </c>
      <c r="G1336" s="16">
        <f>DEGREES(F1336)</f>
        <v/>
      </c>
      <c r="H1336" s="15" t="n">
        <v>14.79955229061308</v>
      </c>
      <c r="I1336" s="16">
        <f>DEGREES(H1336)</f>
        <v/>
      </c>
      <c r="J1336" s="17" t="n">
        <v>0.7907187715858169</v>
      </c>
      <c r="K1336" s="17" t="n">
        <v>0.2564565519914778</v>
      </c>
      <c r="L1336" s="18">
        <f>$B$5*$B$3*$B$6*SIN(F1336)</f>
        <v/>
      </c>
      <c r="M1336" s="18">
        <f>$B$9*K1336*(SIN(F1336))^2 + $B$8*($B$10+K1336*COS(F1336))*COS(F1336)</f>
        <v/>
      </c>
      <c r="N1336" s="18">
        <f>0.5*$B$9*(J1336^2 + (K1336*SIN(F1336))^2) + 0.5*$B$8*($B$10 + K1336*COS(F1336))^2</f>
        <v/>
      </c>
      <c r="O1336" s="18">
        <f>$B$3*$B$6*$B$5*COS(F1336)</f>
        <v/>
      </c>
      <c r="P1336" s="18">
        <f>N1336+O1336</f>
        <v/>
      </c>
      <c r="Q1336" s="19">
        <f>ABS(P1336-$P$3)</f>
        <v/>
      </c>
    </row>
    <row r="1337">
      <c r="D1337" s="6" t="n">
        <v>1335</v>
      </c>
      <c r="E1337" s="7" t="n">
        <v>13.34953538241601</v>
      </c>
      <c r="F1337" s="8" t="n">
        <v>1.527148870883423</v>
      </c>
      <c r="G1337" s="9">
        <f>DEGREES(F1337)</f>
        <v/>
      </c>
      <c r="H1337" s="8" t="n">
        <v>14.80192519637019</v>
      </c>
      <c r="I1337" s="9">
        <f>DEGREES(H1337)</f>
        <v/>
      </c>
      <c r="J1337" s="10" t="n">
        <v>0.7365603212692717</v>
      </c>
      <c r="K1337" s="10" t="n">
        <v>0.2182372795573664</v>
      </c>
      <c r="L1337" s="11">
        <f>$B$5*$B$3*$B$6*SIN(F1337)</f>
        <v/>
      </c>
      <c r="M1337" s="11">
        <f>$B$9*K1337*(SIN(F1337))^2 + $B$8*($B$10+K1337*COS(F1337))*COS(F1337)</f>
        <v/>
      </c>
      <c r="N1337" s="11">
        <f>0.5*$B$9*(J1337^2 + (K1337*SIN(F1337))^2) + 0.5*$B$8*($B$10 + K1337*COS(F1337))^2</f>
        <v/>
      </c>
      <c r="O1337" s="11">
        <f>$B$3*$B$6*$B$5*COS(F1337)</f>
        <v/>
      </c>
      <c r="P1337" s="11">
        <f>N1337+O1337</f>
        <v/>
      </c>
      <c r="Q1337" s="12">
        <f>ABS(P1337-$P$3)</f>
        <v/>
      </c>
    </row>
    <row r="1338">
      <c r="D1338" s="13" t="n">
        <v>1336</v>
      </c>
      <c r="E1338" s="14" t="n">
        <v>13.35954253037884</v>
      </c>
      <c r="F1338" s="15" t="n">
        <v>1.534239037811991</v>
      </c>
      <c r="G1338" s="16">
        <f>DEGREES(F1338)</f>
        <v/>
      </c>
      <c r="H1338" s="15" t="n">
        <v>14.80392939179717</v>
      </c>
      <c r="I1338" s="16">
        <f>DEGREES(H1338)</f>
        <v/>
      </c>
      <c r="J1338" s="17" t="n">
        <v>0.6800893197621612</v>
      </c>
      <c r="K1338" s="17" t="n">
        <v>0.1827864449145302</v>
      </c>
      <c r="L1338" s="18">
        <f>$B$5*$B$3*$B$6*SIN(F1338)</f>
        <v/>
      </c>
      <c r="M1338" s="18">
        <f>$B$9*K1338*(SIN(F1338))^2 + $B$8*($B$10+K1338*COS(F1338))*COS(F1338)</f>
        <v/>
      </c>
      <c r="N1338" s="18">
        <f>0.5*$B$9*(J1338^2 + (K1338*SIN(F1338))^2) + 0.5*$B$8*($B$10 + K1338*COS(F1338))^2</f>
        <v/>
      </c>
      <c r="O1338" s="18">
        <f>$B$3*$B$6*$B$5*COS(F1338)</f>
        <v/>
      </c>
      <c r="P1338" s="18">
        <f>N1338+O1338</f>
        <v/>
      </c>
      <c r="Q1338" s="19">
        <f>ABS(P1338-$P$3)</f>
        <v/>
      </c>
    </row>
    <row r="1339">
      <c r="D1339" s="6" t="n">
        <v>1337</v>
      </c>
      <c r="E1339" s="7" t="n">
        <v>13.36954967834167</v>
      </c>
      <c r="F1339" s="8" t="n">
        <v>1.540753256447508</v>
      </c>
      <c r="G1339" s="9">
        <f>DEGREES(F1339)</f>
        <v/>
      </c>
      <c r="H1339" s="8" t="n">
        <v>14.80559314537525</v>
      </c>
      <c r="I1339" s="9">
        <f>DEGREES(H1339)</f>
        <v/>
      </c>
      <c r="J1339" s="10" t="n">
        <v>0.6214830669786902</v>
      </c>
      <c r="K1339" s="10" t="n">
        <v>0.1502153517369421</v>
      </c>
      <c r="L1339" s="11">
        <f>$B$5*$B$3*$B$6*SIN(F1339)</f>
        <v/>
      </c>
      <c r="M1339" s="11">
        <f>$B$9*K1339*(SIN(F1339))^2 + $B$8*($B$10+K1339*COS(F1339))*COS(F1339)</f>
        <v/>
      </c>
      <c r="N1339" s="11">
        <f>0.5*$B$9*(J1339^2 + (K1339*SIN(F1339))^2) + 0.5*$B$8*($B$10 + K1339*COS(F1339))^2</f>
        <v/>
      </c>
      <c r="O1339" s="11">
        <f>$B$3*$B$6*$B$5*COS(F1339)</f>
        <v/>
      </c>
      <c r="P1339" s="11">
        <f>N1339+O1339</f>
        <v/>
      </c>
      <c r="Q1339" s="12">
        <f>ABS(P1339-$P$3)</f>
        <v/>
      </c>
    </row>
    <row r="1340">
      <c r="D1340" s="13" t="n">
        <v>1338</v>
      </c>
      <c r="E1340" s="14" t="n">
        <v>13.3795568263045</v>
      </c>
      <c r="F1340" s="15" t="n">
        <v>1.546671074338729</v>
      </c>
      <c r="G1340" s="16">
        <f>DEGREES(F1340)</f>
        <v/>
      </c>
      <c r="H1340" s="15" t="n">
        <v>14.80694579445831</v>
      </c>
      <c r="I1340" s="16">
        <f>DEGREES(H1340)</f>
        <v/>
      </c>
      <c r="J1340" s="17" t="n">
        <v>0.5609255668024991</v>
      </c>
      <c r="K1340" s="17" t="n">
        <v>0.1206262622808367</v>
      </c>
      <c r="L1340" s="18">
        <f>$B$5*$B$3*$B$6*SIN(F1340)</f>
        <v/>
      </c>
      <c r="M1340" s="18">
        <f>$B$9*K1340*(SIN(F1340))^2 + $B$8*($B$10+K1340*COS(F1340))*COS(F1340)</f>
        <v/>
      </c>
      <c r="N1340" s="18">
        <f>0.5*$B$9*(J1340^2 + (K1340*SIN(F1340))^2) + 0.5*$B$8*($B$10 + K1340*COS(F1340))^2</f>
        <v/>
      </c>
      <c r="O1340" s="18">
        <f>$B$3*$B$6*$B$5*COS(F1340)</f>
        <v/>
      </c>
      <c r="P1340" s="18">
        <f>N1340+O1340</f>
        <v/>
      </c>
      <c r="Q1340" s="19">
        <f>ABS(P1340-$P$3)</f>
        <v/>
      </c>
    </row>
    <row r="1341">
      <c r="D1341" s="6" t="n">
        <v>1339</v>
      </c>
      <c r="E1341" s="7" t="n">
        <v>13.38956397426733</v>
      </c>
      <c r="F1341" s="8" t="n">
        <v>1.551973911531759</v>
      </c>
      <c r="G1341" s="9">
        <f>DEGREES(F1341)</f>
        <v/>
      </c>
      <c r="H1341" s="8" t="n">
        <v>14.80801765316353</v>
      </c>
      <c r="I1341" s="9">
        <f>DEGREES(H1341)</f>
        <v/>
      </c>
      <c r="J1341" s="10" t="n">
        <v>0.4986069493764779</v>
      </c>
      <c r="K1341" s="10" t="n">
        <v>0.09411207631568774</v>
      </c>
      <c r="L1341" s="11">
        <f>$B$5*$B$3*$B$6*SIN(F1341)</f>
        <v/>
      </c>
      <c r="M1341" s="11">
        <f>$B$9*K1341*(SIN(F1341))^2 + $B$8*($B$10+K1341*COS(F1341))*COS(F1341)</f>
        <v/>
      </c>
      <c r="N1341" s="11">
        <f>0.5*$B$9*(J1341^2 + (K1341*SIN(F1341))^2) + 0.5*$B$8*($B$10 + K1341*COS(F1341))^2</f>
        <v/>
      </c>
      <c r="O1341" s="11">
        <f>$B$3*$B$6*$B$5*COS(F1341)</f>
        <v/>
      </c>
      <c r="P1341" s="11">
        <f>N1341+O1341</f>
        <v/>
      </c>
      <c r="Q1341" s="12">
        <f>ABS(P1341-$P$3)</f>
        <v/>
      </c>
    </row>
    <row r="1342">
      <c r="D1342" s="13" t="n">
        <v>1340</v>
      </c>
      <c r="E1342" s="14" t="n">
        <v>13.39957112223017</v>
      </c>
      <c r="F1342" s="15" t="n">
        <v>1.556645118904849</v>
      </c>
      <c r="G1342" s="16">
        <f>DEGREES(F1342)</f>
        <v/>
      </c>
      <c r="H1342" s="15" t="n">
        <v>14.80883991719524</v>
      </c>
      <c r="I1342" s="16">
        <f>DEGREES(H1342)</f>
        <v/>
      </c>
      <c r="J1342" s="17" t="n">
        <v>0.4347228741581909</v>
      </c>
      <c r="K1342" s="17" t="n">
        <v>0.07075603945023889</v>
      </c>
      <c r="L1342" s="18">
        <f>$B$5*$B$3*$B$6*SIN(F1342)</f>
        <v/>
      </c>
      <c r="M1342" s="18">
        <f>$B$9*K1342*(SIN(F1342))^2 + $B$8*($B$10+K1342*COS(F1342))*COS(F1342)</f>
        <v/>
      </c>
      <c r="N1342" s="18">
        <f>0.5*$B$9*(J1342^2 + (K1342*SIN(F1342))^2) + 0.5*$B$8*($B$10 + K1342*COS(F1342))^2</f>
        <v/>
      </c>
      <c r="O1342" s="18">
        <f>$B$3*$B$6*$B$5*COS(F1342)</f>
        <v/>
      </c>
      <c r="P1342" s="18">
        <f>N1342+O1342</f>
        <v/>
      </c>
      <c r="Q1342" s="19">
        <f>ABS(P1342-$P$3)</f>
        <v/>
      </c>
    </row>
    <row r="1343">
      <c r="D1343" s="6" t="n">
        <v>1341</v>
      </c>
      <c r="E1343" s="7" t="n">
        <v>13.409578270193</v>
      </c>
      <c r="F1343" s="8" t="n">
        <v>1.560670030441027</v>
      </c>
      <c r="G1343" s="9">
        <f>DEGREES(F1343)</f>
        <v/>
      </c>
      <c r="H1343" s="8" t="n">
        <v>14.80944456590093</v>
      </c>
      <c r="I1343" s="9">
        <f>DEGREES(H1343)</f>
        <v/>
      </c>
      <c r="J1343" s="10" t="n">
        <v>0.3694739156151167</v>
      </c>
      <c r="K1343" s="10" t="n">
        <v>0.05063148176934607</v>
      </c>
      <c r="L1343" s="11">
        <f>$B$5*$B$3*$B$6*SIN(F1343)</f>
        <v/>
      </c>
      <c r="M1343" s="11">
        <f>$B$9*K1343*(SIN(F1343))^2 + $B$8*($B$10+K1343*COS(F1343))*COS(F1343)</f>
        <v/>
      </c>
      <c r="N1343" s="11">
        <f>0.5*$B$9*(J1343^2 + (K1343*SIN(F1343))^2) + 0.5*$B$8*($B$10 + K1343*COS(F1343))^2</f>
        <v/>
      </c>
      <c r="O1343" s="11">
        <f>$B$3*$B$6*$B$5*COS(F1343)</f>
        <v/>
      </c>
      <c r="P1343" s="11">
        <f>N1343+O1343</f>
        <v/>
      </c>
      <c r="Q1343" s="12">
        <f>ABS(P1343-$P$3)</f>
        <v/>
      </c>
    </row>
    <row r="1344">
      <c r="D1344" s="13" t="n">
        <v>1342</v>
      </c>
      <c r="E1344" s="14" t="n">
        <v>13.41958541815583</v>
      </c>
      <c r="F1344" s="15" t="n">
        <v>1.564036009274452</v>
      </c>
      <c r="G1344" s="16">
        <f>DEGREES(F1344)</f>
        <v/>
      </c>
      <c r="H1344" s="15" t="n">
        <v>14.80986426186688</v>
      </c>
      <c r="I1344" s="16">
        <f>DEGREES(H1344)</f>
        <v/>
      </c>
      <c r="J1344" s="17" t="n">
        <v>0.3030649334884121</v>
      </c>
      <c r="K1344" s="17" t="n">
        <v>0.03380158760222263</v>
      </c>
      <c r="L1344" s="18">
        <f>$B$5*$B$3*$B$6*SIN(F1344)</f>
        <v/>
      </c>
      <c r="M1344" s="18">
        <f>$B$9*K1344*(SIN(F1344))^2 + $B$8*($B$10+K1344*COS(F1344))*COS(F1344)</f>
        <v/>
      </c>
      <c r="N1344" s="18">
        <f>0.5*$B$9*(J1344^2 + (K1344*SIN(F1344))^2) + 0.5*$B$8*($B$10 + K1344*COS(F1344))^2</f>
        <v/>
      </c>
      <c r="O1344" s="18">
        <f>$B$3*$B$6*$B$5*COS(F1344)</f>
        <v/>
      </c>
      <c r="P1344" s="18">
        <f>N1344+O1344</f>
        <v/>
      </c>
      <c r="Q1344" s="19">
        <f>ABS(P1344-$P$3)</f>
        <v/>
      </c>
    </row>
    <row r="1345">
      <c r="D1345" s="6" t="n">
        <v>1343</v>
      </c>
      <c r="E1345" s="7" t="n">
        <v>13.42959256611866</v>
      </c>
      <c r="F1345" s="8" t="n">
        <v>1.566732487365909</v>
      </c>
      <c r="G1345" s="9">
        <f>DEGREES(F1345)</f>
        <v/>
      </c>
      <c r="H1345" s="8" t="n">
        <v>14.81013224836865</v>
      </c>
      <c r="I1345" s="9">
        <f>DEGREES(H1345)</f>
        <v/>
      </c>
      <c r="J1345" s="10" t="n">
        <v>0.2357044296023635</v>
      </c>
      <c r="K1345" s="10" t="n">
        <v>0.02031919714493835</v>
      </c>
      <c r="L1345" s="11">
        <f>$B$5*$B$3*$B$6*SIN(F1345)</f>
        <v/>
      </c>
      <c r="M1345" s="11">
        <f>$B$9*K1345*(SIN(F1345))^2 + $B$8*($B$10+K1345*COS(F1345))*COS(F1345)</f>
        <v/>
      </c>
      <c r="N1345" s="11">
        <f>0.5*$B$9*(J1345^2 + (K1345*SIN(F1345))^2) + 0.5*$B$8*($B$10 + K1345*COS(F1345))^2</f>
        <v/>
      </c>
      <c r="O1345" s="11">
        <f>$B$3*$B$6*$B$5*COS(F1345)</f>
        <v/>
      </c>
      <c r="P1345" s="11">
        <f>N1345+O1345</f>
        <v/>
      </c>
      <c r="Q1345" s="12">
        <f>ABS(P1345-$P$3)</f>
        <v/>
      </c>
    </row>
    <row r="1346">
      <c r="D1346" s="13" t="n">
        <v>1344</v>
      </c>
      <c r="E1346" s="14" t="n">
        <v>13.43959971408149</v>
      </c>
      <c r="F1346" s="15" t="n">
        <v>1.568750998682894</v>
      </c>
      <c r="G1346" s="16">
        <f>DEGREES(F1346)</f>
        <v/>
      </c>
      <c r="H1346" s="15" t="n">
        <v>14.8102822449984</v>
      </c>
      <c r="I1346" s="16">
        <f>DEGREES(H1346)</f>
        <v/>
      </c>
      <c r="J1346" s="17" t="n">
        <v>0.1676038932389216</v>
      </c>
      <c r="K1346" s="17" t="n">
        <v>0.01022664056001155</v>
      </c>
      <c r="L1346" s="18">
        <f>$B$5*$B$3*$B$6*SIN(F1346)</f>
        <v/>
      </c>
      <c r="M1346" s="18">
        <f>$B$9*K1346*(SIN(F1346))^2 + $B$8*($B$10+K1346*COS(F1346))*COS(F1346)</f>
        <v/>
      </c>
      <c r="N1346" s="18">
        <f>0.5*$B$9*(J1346^2 + (K1346*SIN(F1346))^2) + 0.5*$B$8*($B$10 + K1346*COS(F1346))^2</f>
        <v/>
      </c>
      <c r="O1346" s="18">
        <f>$B$3*$B$6*$B$5*COS(F1346)</f>
        <v/>
      </c>
      <c r="P1346" s="18">
        <f>N1346+O1346</f>
        <v/>
      </c>
      <c r="Q1346" s="19">
        <f>ABS(P1346-$P$3)</f>
        <v/>
      </c>
    </row>
    <row r="1347">
      <c r="D1347" s="6" t="n">
        <v>1345</v>
      </c>
      <c r="E1347" s="7" t="n">
        <v>13.44960686204432</v>
      </c>
      <c r="F1347" s="8" t="n">
        <v>1.570085205780104</v>
      </c>
      <c r="G1347" s="9">
        <f>DEGREES(F1347)</f>
        <v/>
      </c>
      <c r="H1347" s="8" t="n">
        <v>14.81034834179668</v>
      </c>
      <c r="I1347" s="9">
        <f>DEGREES(H1347)</f>
        <v/>
      </c>
      <c r="J1347" s="10" t="n">
        <v>0.09897713713262797</v>
      </c>
      <c r="K1347" s="10" t="n">
        <v>0.003555605073962909</v>
      </c>
      <c r="L1347" s="11">
        <f>$B$5*$B$3*$B$6*SIN(F1347)</f>
        <v/>
      </c>
      <c r="M1347" s="11">
        <f>$B$9*K1347*(SIN(F1347))^2 + $B$8*($B$10+K1347*COS(F1347))*COS(F1347)</f>
        <v/>
      </c>
      <c r="N1347" s="11">
        <f>0.5*$B$9*(J1347^2 + (K1347*SIN(F1347))^2) + 0.5*$B$8*($B$10 + K1347*COS(F1347))^2</f>
        <v/>
      </c>
      <c r="O1347" s="11">
        <f>$B$3*$B$6*$B$5*COS(F1347)</f>
        <v/>
      </c>
      <c r="P1347" s="11">
        <f>N1347+O1347</f>
        <v/>
      </c>
      <c r="Q1347" s="12">
        <f>ABS(P1347-$P$3)</f>
        <v/>
      </c>
    </row>
    <row r="1348">
      <c r="D1348" s="13" t="n">
        <v>1346</v>
      </c>
      <c r="E1348" s="14" t="n">
        <v>13.45961401000715</v>
      </c>
      <c r="F1348" s="15" t="n">
        <v>1.570730919696876</v>
      </c>
      <c r="G1348" s="16">
        <f>DEGREES(F1348)</f>
        <v/>
      </c>
      <c r="H1348" s="15" t="n">
        <v>14.8103648922213</v>
      </c>
      <c r="I1348" s="16">
        <f>DEGREES(H1348)</f>
        <v/>
      </c>
      <c r="J1348" s="17" t="n">
        <v>0.03003962617068269</v>
      </c>
      <c r="K1348" s="17" t="n">
        <v>0.0003270354901034889</v>
      </c>
      <c r="L1348" s="18">
        <f>$B$5*$B$3*$B$6*SIN(F1348)</f>
        <v/>
      </c>
      <c r="M1348" s="18">
        <f>$B$9*K1348*(SIN(F1348))^2 + $B$8*($B$10+K1348*COS(F1348))*COS(F1348)</f>
        <v/>
      </c>
      <c r="N1348" s="18">
        <f>0.5*$B$9*(J1348^2 + (K1348*SIN(F1348))^2) + 0.5*$B$8*($B$10 + K1348*COS(F1348))^2</f>
        <v/>
      </c>
      <c r="O1348" s="18">
        <f>$B$3*$B$6*$B$5*COS(F1348)</f>
        <v/>
      </c>
      <c r="P1348" s="18">
        <f>N1348+O1348</f>
        <v/>
      </c>
      <c r="Q1348" s="19">
        <f>ABS(P1348-$P$3)</f>
        <v/>
      </c>
    </row>
    <row r="1349">
      <c r="D1349" s="6" t="n">
        <v>1347</v>
      </c>
      <c r="E1349" s="7" t="n">
        <v>13.46962115796998</v>
      </c>
      <c r="F1349" s="8" t="n">
        <v>1.570686113109115</v>
      </c>
      <c r="G1349" s="9">
        <f>DEGREES(F1349)</f>
        <v/>
      </c>
      <c r="H1349" s="8" t="n">
        <v>14.81036640528895</v>
      </c>
      <c r="I1349" s="9">
        <f>DEGREES(H1349)</f>
        <v/>
      </c>
      <c r="J1349" s="10" t="n">
        <v>-0.03899219909419088</v>
      </c>
      <c r="K1349" s="10" t="n">
        <v>0.00055106842890984</v>
      </c>
      <c r="L1349" s="11">
        <f>$B$5*$B$3*$B$6*SIN(F1349)</f>
        <v/>
      </c>
      <c r="M1349" s="11">
        <f>$B$9*K1349*(SIN(F1349))^2 + $B$8*($B$10+K1349*COS(F1349))*COS(F1349)</f>
        <v/>
      </c>
      <c r="N1349" s="11">
        <f>0.5*$B$9*(J1349^2 + (K1349*SIN(F1349))^2) + 0.5*$B$8*($B$10 + K1349*COS(F1349))^2</f>
        <v/>
      </c>
      <c r="O1349" s="11">
        <f>$B$3*$B$6*$B$5*COS(F1349)</f>
        <v/>
      </c>
      <c r="P1349" s="11">
        <f>N1349+O1349</f>
        <v/>
      </c>
      <c r="Q1349" s="12">
        <f>ABS(P1349-$P$3)</f>
        <v/>
      </c>
    </row>
    <row r="1350">
      <c r="D1350" s="13" t="n">
        <v>1348</v>
      </c>
      <c r="E1350" s="14" t="n">
        <v>13.47962830593281</v>
      </c>
      <c r="F1350" s="15" t="n">
        <v>1.569950926694406</v>
      </c>
      <c r="G1350" s="16">
        <f>DEGREES(F1350)</f>
        <v/>
      </c>
      <c r="H1350" s="15" t="n">
        <v>14.81038743722856</v>
      </c>
      <c r="I1350" s="16">
        <f>DEGREES(H1350)</f>
        <v/>
      </c>
      <c r="J1350" s="17" t="n">
        <v>-0.1079016019941243</v>
      </c>
      <c r="K1350" s="17" t="n">
        <v>0.004227000502451173</v>
      </c>
      <c r="L1350" s="18">
        <f>$B$5*$B$3*$B$6*SIN(F1350)</f>
        <v/>
      </c>
      <c r="M1350" s="18">
        <f>$B$9*K1350*(SIN(F1350))^2 + $B$8*($B$10+K1350*COS(F1350))*COS(F1350)</f>
        <v/>
      </c>
      <c r="N1350" s="18">
        <f>0.5*$B$9*(J1350^2 + (K1350*SIN(F1350))^2) + 0.5*$B$8*($B$10 + K1350*COS(F1350))^2</f>
        <v/>
      </c>
      <c r="O1350" s="18">
        <f>$B$3*$B$6*$B$5*COS(F1350)</f>
        <v/>
      </c>
      <c r="P1350" s="18">
        <f>N1350+O1350</f>
        <v/>
      </c>
      <c r="Q1350" s="19">
        <f>ABS(P1350-$P$3)</f>
        <v/>
      </c>
    </row>
    <row r="1351">
      <c r="D1351" s="6" t="n">
        <v>1349</v>
      </c>
      <c r="E1351" s="7" t="n">
        <v>13.48963545389564</v>
      </c>
      <c r="F1351" s="8" t="n">
        <v>1.568527668690337</v>
      </c>
      <c r="G1351" s="9">
        <f>DEGREES(F1351)</f>
        <v/>
      </c>
      <c r="H1351" s="8" t="n">
        <v>14.81046248298637</v>
      </c>
      <c r="I1351" s="9">
        <f>DEGREES(H1351)</f>
        <v/>
      </c>
      <c r="J1351" s="10" t="n">
        <v>-0.1764722302262887</v>
      </c>
      <c r="K1351" s="10" t="n">
        <v>0.01134329052279659</v>
      </c>
      <c r="L1351" s="11">
        <f>$B$5*$B$3*$B$6*SIN(F1351)</f>
        <v/>
      </c>
      <c r="M1351" s="11">
        <f>$B$9*K1351*(SIN(F1351))^2 + $B$8*($B$10+K1351*COS(F1351))*COS(F1351)</f>
        <v/>
      </c>
      <c r="N1351" s="11">
        <f>0.5*$B$9*(J1351^2 + (K1351*SIN(F1351))^2) + 0.5*$B$8*($B$10 + K1351*COS(F1351))^2</f>
        <v/>
      </c>
      <c r="O1351" s="11">
        <f>$B$3*$B$6*$B$5*COS(F1351)</f>
        <v/>
      </c>
      <c r="P1351" s="11">
        <f>N1351+O1351</f>
        <v/>
      </c>
      <c r="Q1351" s="12">
        <f>ABS(P1351-$P$3)</f>
        <v/>
      </c>
    </row>
    <row r="1352">
      <c r="D1352" s="13" t="n">
        <v>1350</v>
      </c>
      <c r="E1352" s="14" t="n">
        <v>13.49964260185847</v>
      </c>
      <c r="F1352" s="15" t="n">
        <v>1.566420807647408</v>
      </c>
      <c r="G1352" s="16">
        <f>DEGREES(F1352)</f>
        <v/>
      </c>
      <c r="H1352" s="15" t="n">
        <v>14.81062586792346</v>
      </c>
      <c r="I1352" s="16">
        <f>DEGREES(H1352)</f>
        <v/>
      </c>
      <c r="J1352" s="17" t="n">
        <v>-0.244488795126042</v>
      </c>
      <c r="K1352" s="17" t="n">
        <v>0.02187759573744308</v>
      </c>
      <c r="L1352" s="18">
        <f>$B$5*$B$3*$B$6*SIN(F1352)</f>
        <v/>
      </c>
      <c r="M1352" s="18">
        <f>$B$9*K1352*(SIN(F1352))^2 + $B$8*($B$10+K1352*COS(F1352))*COS(F1352)</f>
        <v/>
      </c>
      <c r="N1352" s="18">
        <f>0.5*$B$9*(J1352^2 + (K1352*SIN(F1352))^2) + 0.5*$B$8*($B$10 + K1352*COS(F1352))^2</f>
        <v/>
      </c>
      <c r="O1352" s="18">
        <f>$B$3*$B$6*$B$5*COS(F1352)</f>
        <v/>
      </c>
      <c r="P1352" s="18">
        <f>N1352+O1352</f>
        <v/>
      </c>
      <c r="Q1352" s="19">
        <f>ABS(P1352-$P$3)</f>
        <v/>
      </c>
    </row>
    <row r="1353">
      <c r="D1353" s="6" t="n">
        <v>1351</v>
      </c>
      <c r="E1353" s="7" t="n">
        <v>13.5096497498213</v>
      </c>
      <c r="F1353" s="8" t="n">
        <v>1.563636958399289</v>
      </c>
      <c r="G1353" s="9">
        <f>DEGREES(F1353)</f>
        <v/>
      </c>
      <c r="H1353" s="8" t="n">
        <v>14.81091164004563</v>
      </c>
      <c r="I1353" s="9">
        <f>DEGREES(H1353)</f>
        <v/>
      </c>
      <c r="J1353" s="10" t="n">
        <v>-0.3117377476009407</v>
      </c>
      <c r="K1353" s="10" t="n">
        <v>0.03579684197803701</v>
      </c>
      <c r="L1353" s="11">
        <f>$B$5*$B$3*$B$6*SIN(F1353)</f>
        <v/>
      </c>
      <c r="M1353" s="11">
        <f>$B$9*K1353*(SIN(F1353))^2 + $B$8*($B$10+K1353*COS(F1353))*COS(F1353)</f>
        <v/>
      </c>
      <c r="N1353" s="11">
        <f>0.5*$B$9*(J1353^2 + (K1353*SIN(F1353))^2) + 0.5*$B$8*($B$10 + K1353*COS(F1353))^2</f>
        <v/>
      </c>
      <c r="O1353" s="11">
        <f>$B$3*$B$6*$B$5*COS(F1353)</f>
        <v/>
      </c>
      <c r="P1353" s="11">
        <f>N1353+O1353</f>
        <v/>
      </c>
      <c r="Q1353" s="12">
        <f>ABS(P1353-$P$3)</f>
        <v/>
      </c>
    </row>
    <row r="1354">
      <c r="D1354" s="13" t="n">
        <v>1352</v>
      </c>
      <c r="E1354" s="14" t="n">
        <v>13.51965689778413</v>
      </c>
      <c r="F1354" s="15" t="n">
        <v>1.56018486129447</v>
      </c>
      <c r="G1354" s="16">
        <f>DEGREES(F1354)</f>
        <v/>
      </c>
      <c r="H1354" s="15" t="n">
        <v>14.81135346310417</v>
      </c>
      <c r="I1354" s="16">
        <f>DEGREES(H1354)</f>
        <v/>
      </c>
      <c r="J1354" s="17" t="n">
        <v>-0.3780079486029234</v>
      </c>
      <c r="K1354" s="17" t="n">
        <v>0.05305732750213177</v>
      </c>
      <c r="L1354" s="18">
        <f>$B$5*$B$3*$B$6*SIN(F1354)</f>
        <v/>
      </c>
      <c r="M1354" s="18">
        <f>$B$9*K1354*(SIN(F1354))^2 + $B$8*($B$10+K1354*COS(F1354))*COS(F1354)</f>
        <v/>
      </c>
      <c r="N1354" s="18">
        <f>0.5*$B$9*(J1354^2 + (K1354*SIN(F1354))^2) + 0.5*$B$8*($B$10 + K1354*COS(F1354))^2</f>
        <v/>
      </c>
      <c r="O1354" s="18">
        <f>$B$3*$B$6*$B$5*COS(F1354)</f>
        <v/>
      </c>
      <c r="P1354" s="18">
        <f>N1354+O1354</f>
        <v/>
      </c>
      <c r="Q1354" s="19">
        <f>ABS(P1354-$P$3)</f>
        <v/>
      </c>
    </row>
    <row r="1355">
      <c r="D1355" s="6" t="n">
        <v>1353</v>
      </c>
      <c r="E1355" s="7" t="n">
        <v>13.52966404574696</v>
      </c>
      <c r="F1355" s="8" t="n">
        <v>1.556075354754518</v>
      </c>
      <c r="G1355" s="9">
        <f>DEGREES(F1355)</f>
        <v/>
      </c>
      <c r="H1355" s="8" t="n">
        <v>14.81198451090304</v>
      </c>
      <c r="I1355" s="9">
        <f>DEGREES(H1355)</f>
        <v/>
      </c>
      <c r="J1355" s="10" t="n">
        <v>-0.4430913320336162</v>
      </c>
      <c r="K1355" s="10" t="n">
        <v>0.07360486020189261</v>
      </c>
      <c r="L1355" s="11">
        <f>$B$5*$B$3*$B$6*SIN(F1355)</f>
        <v/>
      </c>
      <c r="M1355" s="11">
        <f>$B$9*K1355*(SIN(F1355))^2 + $B$8*($B$10+K1355*COS(F1355))*COS(F1355)</f>
        <v/>
      </c>
      <c r="N1355" s="11">
        <f>0.5*$B$9*(J1355^2 + (K1355*SIN(F1355))^2) + 0.5*$B$8*($B$10 + K1355*COS(F1355))^2</f>
        <v/>
      </c>
      <c r="O1355" s="11">
        <f>$B$3*$B$6*$B$5*COS(F1355)</f>
        <v/>
      </c>
      <c r="P1355" s="11">
        <f>N1355+O1355</f>
        <v/>
      </c>
      <c r="Q1355" s="12">
        <f>ABS(P1355-$P$3)</f>
        <v/>
      </c>
    </row>
    <row r="1356">
      <c r="D1356" s="13" t="n">
        <v>1354</v>
      </c>
      <c r="E1356" s="14" t="n">
        <v>13.53967119370979</v>
      </c>
      <c r="F1356" s="15" t="n">
        <v>1.551321341245079</v>
      </c>
      <c r="G1356" s="16">
        <f>DEGREES(F1356)</f>
        <v/>
      </c>
      <c r="H1356" s="15" t="n">
        <v>14.81283736314424</v>
      </c>
      <c r="I1356" s="16">
        <f>DEGREES(H1356)</f>
        <v/>
      </c>
      <c r="J1356" s="17" t="n">
        <v>-0.5067835580019174</v>
      </c>
      <c r="K1356" s="17" t="n">
        <v>0.09737492774908518</v>
      </c>
      <c r="L1356" s="18">
        <f>$B$5*$B$3*$B$6*SIN(F1356)</f>
        <v/>
      </c>
      <c r="M1356" s="18">
        <f>$B$9*K1356*(SIN(F1356))^2 + $B$8*($B$10+K1356*COS(F1356))*COS(F1356)</f>
        <v/>
      </c>
      <c r="N1356" s="18">
        <f>0.5*$B$9*(J1356^2 + (K1356*SIN(F1356))^2) + 0.5*$B$8*($B$10 + K1356*COS(F1356))^2</f>
        <v/>
      </c>
      <c r="O1356" s="18">
        <f>$B$3*$B$6*$B$5*COS(F1356)</f>
        <v/>
      </c>
      <c r="P1356" s="18">
        <f>N1356+O1356</f>
        <v/>
      </c>
      <c r="Q1356" s="19">
        <f>ABS(P1356-$P$3)</f>
        <v/>
      </c>
    </row>
    <row r="1357">
      <c r="D1357" s="6" t="n">
        <v>1355</v>
      </c>
      <c r="E1357" s="7" t="n">
        <v>13.54967834167262</v>
      </c>
      <c r="F1357" s="8" t="n">
        <v>1.545937746766486</v>
      </c>
      <c r="G1357" s="9">
        <f>DEGREES(F1357)</f>
        <v/>
      </c>
      <c r="H1357" s="8" t="n">
        <v>14.81394390313862</v>
      </c>
      <c r="I1357" s="9">
        <f>DEGREES(H1357)</f>
        <v/>
      </c>
      <c r="J1357" s="10" t="n">
        <v>-0.5688846543823736</v>
      </c>
      <c r="K1357" s="10" t="n">
        <v>0.1242929001420522</v>
      </c>
      <c r="L1357" s="11">
        <f>$B$5*$B$3*$B$6*SIN(F1357)</f>
        <v/>
      </c>
      <c r="M1357" s="11">
        <f>$B$9*K1357*(SIN(F1357))^2 + $B$8*($B$10+K1357*COS(F1357))*COS(F1357)</f>
        <v/>
      </c>
      <c r="N1357" s="11">
        <f>0.5*$B$9*(J1357^2 + (K1357*SIN(F1357))^2) + 0.5*$B$8*($B$10 + K1357*COS(F1357))^2</f>
        <v/>
      </c>
      <c r="O1357" s="11">
        <f>$B$3*$B$6*$B$5*COS(F1357)</f>
        <v/>
      </c>
      <c r="P1357" s="11">
        <f>N1357+O1357</f>
        <v/>
      </c>
      <c r="Q1357" s="12">
        <f>ABS(P1357-$P$3)</f>
        <v/>
      </c>
    </row>
    <row r="1358">
      <c r="D1358" s="13" t="n">
        <v>1356</v>
      </c>
      <c r="E1358" s="14" t="n">
        <v>13.55968548963546</v>
      </c>
      <c r="F1358" s="15" t="n">
        <v>1.539941473991148</v>
      </c>
      <c r="G1358" s="16">
        <f>DEGREES(F1358)</f>
        <v/>
      </c>
      <c r="H1358" s="15" t="n">
        <v>14.81533521770293</v>
      </c>
      <c r="I1358" s="16">
        <f>DEGREES(H1358)</f>
        <v/>
      </c>
      <c r="J1358" s="17" t="n">
        <v>-0.6291996446601983</v>
      </c>
      <c r="K1358" s="17" t="n">
        <v>0.1542742640187432</v>
      </c>
      <c r="L1358" s="18">
        <f>$B$5*$B$3*$B$6*SIN(F1358)</f>
        <v/>
      </c>
      <c r="M1358" s="18">
        <f>$B$9*K1358*(SIN(F1358))^2 + $B$8*($B$10+K1358*COS(F1358))*COS(F1358)</f>
        <v/>
      </c>
      <c r="N1358" s="18">
        <f>0.5*$B$9*(J1358^2 + (K1358*SIN(F1358))^2) + 0.5*$B$8*($B$10 + K1358*COS(F1358))^2</f>
        <v/>
      </c>
      <c r="O1358" s="18">
        <f>$B$3*$B$6*$B$5*COS(F1358)</f>
        <v/>
      </c>
      <c r="P1358" s="18">
        <f>N1358+O1358</f>
        <v/>
      </c>
      <c r="Q1358" s="19">
        <f>ABS(P1358-$P$3)</f>
        <v/>
      </c>
    </row>
    <row r="1359">
      <c r="D1359" s="6" t="n">
        <v>1357</v>
      </c>
      <c r="E1359" s="7" t="n">
        <v>13.56969263759829</v>
      </c>
      <c r="F1359" s="8" t="n">
        <v>1.533351349194862</v>
      </c>
      <c r="G1359" s="9">
        <f>DEGREES(F1359)</f>
        <v/>
      </c>
      <c r="H1359" s="8" t="n">
        <v>14.81704149955776</v>
      </c>
      <c r="I1359" s="9">
        <f>DEGREES(H1359)</f>
        <v/>
      </c>
      <c r="J1359" s="10" t="n">
        <v>-0.6875391600918122</v>
      </c>
      <c r="K1359" s="10" t="n">
        <v>0.1872248880001753</v>
      </c>
      <c r="L1359" s="11">
        <f>$B$5*$B$3*$B$6*SIN(F1359)</f>
        <v/>
      </c>
      <c r="M1359" s="11">
        <f>$B$9*K1359*(SIN(F1359))^2 + $B$8*($B$10+K1359*COS(F1359))*COS(F1359)</f>
        <v/>
      </c>
      <c r="N1359" s="11">
        <f>0.5*$B$9*(J1359^2 + (K1359*SIN(F1359))^2) + 0.5*$B$8*($B$10 + K1359*COS(F1359))^2</f>
        <v/>
      </c>
      <c r="O1359" s="11">
        <f>$B$3*$B$6*$B$5*COS(F1359)</f>
        <v/>
      </c>
      <c r="P1359" s="11">
        <f>N1359+O1359</f>
        <v/>
      </c>
      <c r="Q1359" s="12">
        <f>ABS(P1359-$P$3)</f>
        <v/>
      </c>
    </row>
    <row r="1360">
      <c r="D1360" s="13" t="n">
        <v>1358</v>
      </c>
      <c r="E1360" s="14" t="n">
        <v>13.57969978556112</v>
      </c>
      <c r="F1360" s="15" t="n">
        <v>1.526188063148634</v>
      </c>
      <c r="G1360" s="16">
        <f>DEGREES(F1360)</f>
        <v/>
      </c>
      <c r="H1360" s="15" t="n">
        <v>14.81909195253257</v>
      </c>
      <c r="I1360" s="16">
        <f>DEGREES(H1360)</f>
        <v/>
      </c>
      <c r="J1360" s="17" t="n">
        <v>-0.7437200342590153</v>
      </c>
      <c r="K1360" s="17" t="n">
        <v>0.223041318231314</v>
      </c>
      <c r="L1360" s="18">
        <f>$B$5*$B$3*$B$6*SIN(F1360)</f>
        <v/>
      </c>
      <c r="M1360" s="18">
        <f>$B$9*K1360*(SIN(F1360))^2 + $B$8*($B$10+K1360*COS(F1360))*COS(F1360)</f>
        <v/>
      </c>
      <c r="N1360" s="18">
        <f>0.5*$B$9*(J1360^2 + (K1360*SIN(F1360))^2) + 0.5*$B$8*($B$10 + K1360*COS(F1360))^2</f>
        <v/>
      </c>
      <c r="O1360" s="18">
        <f>$B$3*$B$6*$B$5*COS(F1360)</f>
        <v/>
      </c>
      <c r="P1360" s="18">
        <f>N1360+O1360</f>
        <v/>
      </c>
      <c r="Q1360" s="19">
        <f>ABS(P1360-$P$3)</f>
        <v/>
      </c>
    </row>
    <row r="1361">
      <c r="D1361" s="6" t="n">
        <v>1359</v>
      </c>
      <c r="E1361" s="7" t="n">
        <v>13.58970693352395</v>
      </c>
      <c r="F1361" s="8" t="n">
        <v>1.518474106156649</v>
      </c>
      <c r="G1361" s="9">
        <f>DEGREES(F1361)</f>
        <v/>
      </c>
      <c r="H1361" s="8" t="n">
        <v>14.82151469987544</v>
      </c>
      <c r="I1361" s="9">
        <f>DEGREES(H1361)</f>
        <v/>
      </c>
      <c r="J1361" s="10" t="n">
        <v>-0.7975658781496634</v>
      </c>
      <c r="K1361" s="10" t="n">
        <v>0.2616111031912359</v>
      </c>
      <c r="L1361" s="11">
        <f>$B$5*$B$3*$B$6*SIN(F1361)</f>
        <v/>
      </c>
      <c r="M1361" s="11">
        <f>$B$9*K1361*(SIN(F1361))^2 + $B$8*($B$10+K1361*COS(F1361))*COS(F1361)</f>
        <v/>
      </c>
      <c r="N1361" s="11">
        <f>0.5*$B$9*(J1361^2 + (K1361*SIN(F1361))^2) + 0.5*$B$8*($B$10 + K1361*COS(F1361))^2</f>
        <v/>
      </c>
      <c r="O1361" s="11">
        <f>$B$3*$B$6*$B$5*COS(F1361)</f>
        <v/>
      </c>
      <c r="P1361" s="11">
        <f>N1361+O1361</f>
        <v/>
      </c>
      <c r="Q1361" s="12">
        <f>ABS(P1361-$P$3)</f>
        <v/>
      </c>
    </row>
    <row r="1362">
      <c r="D1362" s="13" t="n">
        <v>1360</v>
      </c>
      <c r="E1362" s="14" t="n">
        <v>13.59971408148678</v>
      </c>
      <c r="F1362" s="15" t="n">
        <v>1.510233697444287</v>
      </c>
      <c r="G1362" s="16">
        <f>DEGREES(F1362)</f>
        <v/>
      </c>
      <c r="H1362" s="15" t="n">
        <v>14.82433669595564</v>
      </c>
      <c r="I1362" s="16">
        <f>DEGREES(H1362)</f>
        <v/>
      </c>
      <c r="J1362" s="17" t="n">
        <v>-0.8489076339597981</v>
      </c>
      <c r="K1362" s="17" t="n">
        <v>0.3028131467530477</v>
      </c>
      <c r="L1362" s="18">
        <f>$B$5*$B$3*$B$6*SIN(F1362)</f>
        <v/>
      </c>
      <c r="M1362" s="18">
        <f>$B$9*K1362*(SIN(F1362))^2 + $B$8*($B$10+K1362*COS(F1362))*COS(F1362)</f>
        <v/>
      </c>
      <c r="N1362" s="18">
        <f>0.5*$B$9*(J1362^2 + (K1362*SIN(F1362))^2) + 0.5*$B$8*($B$10 + K1362*COS(F1362))^2</f>
        <v/>
      </c>
      <c r="O1362" s="18">
        <f>$B$3*$B$6*$B$5*COS(F1362)</f>
        <v/>
      </c>
      <c r="P1362" s="18">
        <f>N1362+O1362</f>
        <v/>
      </c>
      <c r="Q1362" s="19">
        <f>ABS(P1362-$P$3)</f>
        <v/>
      </c>
    </row>
    <row r="1363">
      <c r="D1363" s="6" t="n">
        <v>1361</v>
      </c>
      <c r="E1363" s="7" t="n">
        <v>13.60972122944961</v>
      </c>
      <c r="F1363" s="8" t="n">
        <v>1.501492709117915</v>
      </c>
      <c r="G1363" s="9">
        <f>DEGREES(F1363)</f>
        <v/>
      </c>
      <c r="H1363" s="8" t="n">
        <v>14.82758364163593</v>
      </c>
      <c r="I1363" s="9">
        <f>DEGREES(H1363)</f>
        <v/>
      </c>
      <c r="J1363" s="10" t="n">
        <v>-0.8975841058781659</v>
      </c>
      <c r="K1363" s="10" t="n">
        <v>0.3465180883849082</v>
      </c>
      <c r="L1363" s="11">
        <f>$B$5*$B$3*$B$6*SIN(F1363)</f>
        <v/>
      </c>
      <c r="M1363" s="11">
        <f>$B$9*K1363*(SIN(F1363))^2 + $B$8*($B$10+K1363*COS(F1363))*COS(F1363)</f>
        <v/>
      </c>
      <c r="N1363" s="11">
        <f>0.5*$B$9*(J1363^2 + (K1363*SIN(F1363))^2) + 0.5*$B$8*($B$10 + K1363*COS(F1363))^2</f>
        <v/>
      </c>
      <c r="O1363" s="11">
        <f>$B$3*$B$6*$B$5*COS(F1363)</f>
        <v/>
      </c>
      <c r="P1363" s="11">
        <f>N1363+O1363</f>
        <v/>
      </c>
      <c r="Q1363" s="12">
        <f>ABS(P1363-$P$3)</f>
        <v/>
      </c>
    </row>
    <row r="1364">
      <c r="D1364" s="13" t="n">
        <v>1362</v>
      </c>
      <c r="E1364" s="14" t="n">
        <v>13.61972837741244</v>
      </c>
      <c r="F1364" s="15" t="n">
        <v>1.492278584935196</v>
      </c>
      <c r="G1364" s="16">
        <f>DEGREES(F1364)</f>
        <v/>
      </c>
      <c r="H1364" s="15" t="n">
        <v>14.83127990358054</v>
      </c>
      <c r="I1364" s="16">
        <f>DEGREES(H1364)</f>
        <v/>
      </c>
      <c r="J1364" s="17" t="n">
        <v>-0.9434424661867419</v>
      </c>
      <c r="K1364" s="17" t="n">
        <v>0.3925887092985039</v>
      </c>
      <c r="L1364" s="18">
        <f>$B$5*$B$3*$B$6*SIN(F1364)</f>
        <v/>
      </c>
      <c r="M1364" s="18">
        <f>$B$9*K1364*(SIN(F1364))^2 + $B$8*($B$10+K1364*COS(F1364))*COS(F1364)</f>
        <v/>
      </c>
      <c r="N1364" s="18">
        <f>0.5*$B$9*(J1364^2 + (K1364*SIN(F1364))^2) + 0.5*$B$8*($B$10 + K1364*COS(F1364))^2</f>
        <v/>
      </c>
      <c r="O1364" s="18">
        <f>$B$3*$B$6*$B$5*COS(F1364)</f>
        <v/>
      </c>
      <c r="P1364" s="18">
        <f>N1364+O1364</f>
        <v/>
      </c>
      <c r="Q1364" s="19">
        <f>ABS(P1364-$P$3)</f>
        <v/>
      </c>
    </row>
    <row r="1365">
      <c r="D1365" s="6" t="n">
        <v>1363</v>
      </c>
      <c r="E1365" s="7" t="n">
        <v>13.62973552537527</v>
      </c>
      <c r="F1365" s="8" t="n">
        <v>1.482620254140936</v>
      </c>
      <c r="G1365" s="9">
        <f>DEGREES(F1365)</f>
        <v/>
      </c>
      <c r="H1365" s="8" t="n">
        <v>14.83544843775204</v>
      </c>
      <c r="I1365" s="9">
        <f>DEGREES(H1365)</f>
        <v/>
      </c>
      <c r="J1365" s="10" t="n">
        <v>-0.9863387350882616</v>
      </c>
      <c r="K1365" s="10" t="n">
        <v>0.4408803632698021</v>
      </c>
      <c r="L1365" s="11">
        <f>$B$5*$B$3*$B$6*SIN(F1365)</f>
        <v/>
      </c>
      <c r="M1365" s="11">
        <f>$B$9*K1365*(SIN(F1365))^2 + $B$8*($B$10+K1365*COS(F1365))*COS(F1365)</f>
        <v/>
      </c>
      <c r="N1365" s="11">
        <f>0.5*$B$9*(J1365^2 + (K1365*SIN(F1365))^2) + 0.5*$B$8*($B$10 + K1365*COS(F1365))^2</f>
        <v/>
      </c>
      <c r="O1365" s="11">
        <f>$B$3*$B$6*$B$5*COS(F1365)</f>
        <v/>
      </c>
      <c r="P1365" s="11">
        <f>N1365+O1365</f>
        <v/>
      </c>
      <c r="Q1365" s="12">
        <f>ABS(P1365-$P$3)</f>
        <v/>
      </c>
    </row>
    <row r="1366">
      <c r="D1366" s="13" t="n">
        <v>1364</v>
      </c>
      <c r="E1366" s="14" t="n">
        <v>13.6397426733381</v>
      </c>
      <c r="F1366" s="15" t="n">
        <v>1.472548040639007</v>
      </c>
      <c r="G1366" s="16">
        <f>DEGREES(F1366)</f>
        <v/>
      </c>
      <c r="H1366" s="15" t="n">
        <v>14.84011071733737</v>
      </c>
      <c r="I1366" s="16">
        <f>DEGREES(H1366)</f>
        <v/>
      </c>
      <c r="J1366" s="17" t="n">
        <v>-1.026138232754266</v>
      </c>
      <c r="K1366" s="17" t="n">
        <v>0.4912414307794495</v>
      </c>
      <c r="L1366" s="18">
        <f>$B$5*$B$3*$B$6*SIN(F1366)</f>
        <v/>
      </c>
      <c r="M1366" s="18">
        <f>$B$9*K1366*(SIN(F1366))^2 + $B$8*($B$10+K1366*COS(F1366))*COS(F1366)</f>
        <v/>
      </c>
      <c r="N1366" s="18">
        <f>0.5*$B$9*(J1366^2 + (K1366*SIN(F1366))^2) + 0.5*$B$8*($B$10 + K1366*COS(F1366))^2</f>
        <v/>
      </c>
      <c r="O1366" s="18">
        <f>$B$3*$B$6*$B$5*COS(F1366)</f>
        <v/>
      </c>
      <c r="P1366" s="18">
        <f>N1366+O1366</f>
        <v/>
      </c>
      <c r="Q1366" s="19">
        <f>ABS(P1366-$P$3)</f>
        <v/>
      </c>
    </row>
    <row r="1367">
      <c r="D1367" s="6" t="n">
        <v>1365</v>
      </c>
      <c r="E1367" s="7" t="n">
        <v>13.64974982130093</v>
      </c>
      <c r="F1367" s="8" t="n">
        <v>1.462093567785503</v>
      </c>
      <c r="G1367" s="9">
        <f>DEGREES(F1367)</f>
        <v/>
      </c>
      <c r="H1367" s="8" t="n">
        <v>14.84528666532924</v>
      </c>
      <c r="I1367" s="9">
        <f>DEGREES(H1367)</f>
        <v/>
      </c>
      <c r="J1367" s="10" t="n">
        <v>-1.062716002174372</v>
      </c>
      <c r="K1367" s="10" t="n">
        <v>0.5435137950469671</v>
      </c>
      <c r="L1367" s="11">
        <f>$B$5*$B$3*$B$6*SIN(F1367)</f>
        <v/>
      </c>
      <c r="M1367" s="11">
        <f>$B$9*K1367*(SIN(F1367))^2 + $B$8*($B$10+K1367*COS(F1367))*COS(F1367)</f>
        <v/>
      </c>
      <c r="N1367" s="11">
        <f>0.5*$B$9*(J1367^2 + (K1367*SIN(F1367))^2) + 0.5*$B$8*($B$10 + K1367*COS(F1367))^2</f>
        <v/>
      </c>
      <c r="O1367" s="11">
        <f>$B$3*$B$6*$B$5*COS(F1367)</f>
        <v/>
      </c>
      <c r="P1367" s="11">
        <f>N1367+O1367</f>
        <v/>
      </c>
      <c r="Q1367" s="12">
        <f>ABS(P1367-$P$3)</f>
        <v/>
      </c>
    </row>
    <row r="1368">
      <c r="D1368" s="13" t="n">
        <v>1366</v>
      </c>
      <c r="E1368" s="14" t="n">
        <v>13.65975696926376</v>
      </c>
      <c r="F1368" s="15" t="n">
        <v>1.451289659102065</v>
      </c>
      <c r="G1368" s="16">
        <f>DEGREES(F1368)</f>
        <v/>
      </c>
      <c r="H1368" s="15" t="n">
        <v>14.85099459197471</v>
      </c>
      <c r="I1368" s="16">
        <f>DEGREES(H1368)</f>
        <v/>
      </c>
      <c r="J1368" s="17" t="n">
        <v>-1.095957201479181</v>
      </c>
      <c r="K1368" s="17" t="n">
        <v>0.5975333384641566</v>
      </c>
      <c r="L1368" s="18">
        <f>$B$5*$B$3*$B$6*SIN(F1368)</f>
        <v/>
      </c>
      <c r="M1368" s="18">
        <f>$B$9*K1368*(SIN(F1368))^2 + $B$8*($B$10+K1368*COS(F1368))*COS(F1368)</f>
        <v/>
      </c>
      <c r="N1368" s="18">
        <f>0.5*$B$9*(J1368^2 + (K1368*SIN(F1368))^2) + 0.5*$B$8*($B$10 + K1368*COS(F1368))^2</f>
        <v/>
      </c>
      <c r="O1368" s="18">
        <f>$B$3*$B$6*$B$5*COS(F1368)</f>
        <v/>
      </c>
      <c r="P1368" s="18">
        <f>N1368+O1368</f>
        <v/>
      </c>
      <c r="Q1368" s="19">
        <f>ABS(P1368-$P$3)</f>
        <v/>
      </c>
    </row>
    <row r="1369">
      <c r="D1369" s="6" t="n">
        <v>1367</v>
      </c>
      <c r="E1369" s="7" t="n">
        <v>13.66976411722659</v>
      </c>
      <c r="F1369" s="8" t="n">
        <v>1.44017023522108</v>
      </c>
      <c r="G1369" s="9">
        <f>DEGREES(F1369)</f>
        <v/>
      </c>
      <c r="H1369" s="8" t="n">
        <v>14.8572511372871</v>
      </c>
      <c r="I1369" s="9">
        <f>DEGREES(H1369)</f>
        <v/>
      </c>
      <c r="J1369" s="10" t="n">
        <v>-1.125757464505041</v>
      </c>
      <c r="K1369" s="10" t="n">
        <v>0.6531304578690829</v>
      </c>
      <c r="L1369" s="11">
        <f>$B$5*$B$3*$B$6*SIN(F1369)</f>
        <v/>
      </c>
      <c r="M1369" s="11">
        <f>$B$9*K1369*(SIN(F1369))^2 + $B$8*($B$10+K1369*COS(F1369))*COS(F1369)</f>
        <v/>
      </c>
      <c r="N1369" s="11">
        <f>0.5*$B$9*(J1369^2 + (K1369*SIN(F1369))^2) + 0.5*$B$8*($B$10 + K1369*COS(F1369))^2</f>
        <v/>
      </c>
      <c r="O1369" s="11">
        <f>$B$3*$B$6*$B$5*COS(F1369)</f>
        <v/>
      </c>
      <c r="P1369" s="11">
        <f>N1369+O1369</f>
        <v/>
      </c>
      <c r="Q1369" s="12">
        <f>ABS(P1369-$P$3)</f>
        <v/>
      </c>
    </row>
    <row r="1370">
      <c r="D1370" s="13" t="n">
        <v>1368</v>
      </c>
      <c r="E1370" s="14" t="n">
        <v>13.67977126518942</v>
      </c>
      <c r="F1370" s="15" t="n">
        <v>1.428770207386327</v>
      </c>
      <c r="G1370" s="16">
        <f>DEGREES(F1370)</f>
        <v/>
      </c>
      <c r="H1370" s="15" t="n">
        <v>14.86407121880201</v>
      </c>
      <c r="I1370" s="16">
        <f>DEGREES(H1370)</f>
        <v/>
      </c>
      <c r="J1370" s="17" t="n">
        <v>-1.152023228468635</v>
      </c>
      <c r="K1370" s="17" t="n">
        <v>0.7101305970428469</v>
      </c>
      <c r="L1370" s="18">
        <f>$B$5*$B$3*$B$6*SIN(F1370)</f>
        <v/>
      </c>
      <c r="M1370" s="18">
        <f>$B$9*K1370*(SIN(F1370))^2 + $B$8*($B$10+K1370*COS(F1370))*COS(F1370)</f>
        <v/>
      </c>
      <c r="N1370" s="18">
        <f>0.5*$B$9*(J1370^2 + (K1370*SIN(F1370))^2) + 0.5*$B$8*($B$10 + K1370*COS(F1370))^2</f>
        <v/>
      </c>
      <c r="O1370" s="18">
        <f>$B$3*$B$6*$B$5*COS(F1370)</f>
        <v/>
      </c>
      <c r="P1370" s="18">
        <f>N1370+O1370</f>
        <v/>
      </c>
      <c r="Q1370" s="19">
        <f>ABS(P1370-$P$3)</f>
        <v/>
      </c>
    </row>
    <row r="1371">
      <c r="D1371" s="6" t="n">
        <v>1369</v>
      </c>
      <c r="E1371" s="7" t="n">
        <v>13.68977841315225</v>
      </c>
      <c r="F1371" s="8" t="n">
        <v>1.417125367843439</v>
      </c>
      <c r="G1371" s="9">
        <f>DEGREES(F1371)</f>
        <v/>
      </c>
      <c r="H1371" s="8" t="n">
        <v>14.8714679847413</v>
      </c>
      <c r="I1371" s="9">
        <f>DEGREES(H1371)</f>
        <v/>
      </c>
      <c r="J1371" s="10" t="n">
        <v>-1.174672027722587</v>
      </c>
      <c r="K1371" s="10" t="n">
        <v>0.7683547947572882</v>
      </c>
      <c r="L1371" s="11">
        <f>$B$5*$B$3*$B$6*SIN(F1371)</f>
        <v/>
      </c>
      <c r="M1371" s="11">
        <f>$B$9*K1371*(SIN(F1371))^2 + $B$8*($B$10+K1371*COS(F1371))*COS(F1371)</f>
        <v/>
      </c>
      <c r="N1371" s="11">
        <f>0.5*$B$9*(J1371^2 + (K1371*SIN(F1371))^2) + 0.5*$B$8*($B$10 + K1371*COS(F1371))^2</f>
        <v/>
      </c>
      <c r="O1371" s="11">
        <f>$B$3*$B$6*$B$5*COS(F1371)</f>
        <v/>
      </c>
      <c r="P1371" s="11">
        <f>N1371+O1371</f>
        <v/>
      </c>
      <c r="Q1371" s="12">
        <f>ABS(P1371-$P$3)</f>
        <v/>
      </c>
    </row>
    <row r="1372">
      <c r="D1372" s="13" t="n">
        <v>1370</v>
      </c>
      <c r="E1372" s="14" t="n">
        <v>13.69978556111508</v>
      </c>
      <c r="F1372" s="15" t="n">
        <v>1.40527227746431</v>
      </c>
      <c r="G1372" s="16">
        <f>DEGREES(F1372)</f>
        <v/>
      </c>
      <c r="H1372" s="15" t="n">
        <v>14.87945277273205</v>
      </c>
      <c r="I1372" s="16">
        <f>DEGREES(H1372)</f>
        <v/>
      </c>
      <c r="J1372" s="17" t="n">
        <v>-1.193632752669803</v>
      </c>
      <c r="K1372" s="17" t="n">
        <v>0.8276202466529315</v>
      </c>
      <c r="L1372" s="18">
        <f>$B$5*$B$3*$B$6*SIN(F1372)</f>
        <v/>
      </c>
      <c r="M1372" s="18">
        <f>$B$9*K1372*(SIN(F1372))^2 + $B$8*($B$10+K1372*COS(F1372))*COS(F1372)</f>
        <v/>
      </c>
      <c r="N1372" s="18">
        <f>0.5*$B$9*(J1372^2 + (K1372*SIN(F1372))^2) + 0.5*$B$8*($B$10 + K1372*COS(F1372))^2</f>
        <v/>
      </c>
      <c r="O1372" s="18">
        <f>$B$3*$B$6*$B$5*COS(F1372)</f>
        <v/>
      </c>
      <c r="P1372" s="18">
        <f>N1372+O1372</f>
        <v/>
      </c>
      <c r="Q1372" s="19">
        <f>ABS(P1372-$P$3)</f>
        <v/>
      </c>
    </row>
    <row r="1373">
      <c r="D1373" s="6" t="n">
        <v>1371</v>
      </c>
      <c r="E1373" s="7" t="n">
        <v>13.70979270907791</v>
      </c>
      <c r="F1373" s="8" t="n">
        <v>1.393248150958285</v>
      </c>
      <c r="G1373" s="9">
        <f>DEGREES(F1373)</f>
        <v/>
      </c>
      <c r="H1373" s="8" t="n">
        <v>14.88803507421025</v>
      </c>
      <c r="I1373" s="9">
        <f>DEGREES(H1373)</f>
        <v/>
      </c>
      <c r="J1373" s="10" t="n">
        <v>-1.208845873023644</v>
      </c>
      <c r="K1373" s="10" t="n">
        <v>0.887740879183057</v>
      </c>
      <c r="L1373" s="11">
        <f>$B$5*$B$3*$B$6*SIN(F1373)</f>
        <v/>
      </c>
      <c r="M1373" s="11">
        <f>$B$9*K1373*(SIN(F1373))^2 + $B$8*($B$10+K1373*COS(F1373))*COS(F1373)</f>
        <v/>
      </c>
      <c r="N1373" s="11">
        <f>0.5*$B$9*(J1373^2 + (K1373*SIN(F1373))^2) + 0.5*$B$8*($B$10 + K1373*COS(F1373))^2</f>
        <v/>
      </c>
      <c r="O1373" s="11">
        <f>$B$3*$B$6*$B$5*COS(F1373)</f>
        <v/>
      </c>
      <c r="P1373" s="11">
        <f>N1373+O1373</f>
        <v/>
      </c>
      <c r="Q1373" s="12">
        <f>ABS(P1373-$P$3)</f>
        <v/>
      </c>
    </row>
    <row r="1374">
      <c r="D1374" s="13" t="n">
        <v>1372</v>
      </c>
      <c r="E1374" s="14" t="n">
        <v>13.71979985704074</v>
      </c>
      <c r="F1374" s="15" t="n">
        <v>1.381090740030495</v>
      </c>
      <c r="G1374" s="16">
        <f>DEGREES(F1374)</f>
        <v/>
      </c>
      <c r="H1374" s="15" t="n">
        <v>14.89722250462094</v>
      </c>
      <c r="I1374" s="16">
        <f>DEGREES(H1374)</f>
        <v/>
      </c>
      <c r="J1374" s="17" t="n">
        <v>-1.220263624712976</v>
      </c>
      <c r="K1374" s="17" t="n">
        <v>0.9485279338220063</v>
      </c>
      <c r="L1374" s="18">
        <f>$B$5*$B$3*$B$6*SIN(F1374)</f>
        <v/>
      </c>
      <c r="M1374" s="18">
        <f>$B$9*K1374*(SIN(F1374))^2 + $B$8*($B$10+K1374*COS(F1374))*COS(F1374)</f>
        <v/>
      </c>
      <c r="N1374" s="18">
        <f>0.5*$B$9*(J1374^2 + (K1374*SIN(F1374))^2) + 0.5*$B$8*($B$10 + K1374*COS(F1374))^2</f>
        <v/>
      </c>
      <c r="O1374" s="18">
        <f>$B$3*$B$6*$B$5*COS(F1374)</f>
        <v/>
      </c>
      <c r="P1374" s="18">
        <f>N1374+O1374</f>
        <v/>
      </c>
      <c r="Q1374" s="19">
        <f>ABS(P1374-$P$3)</f>
        <v/>
      </c>
    </row>
    <row r="1375">
      <c r="D1375" s="6" t="n">
        <v>1373</v>
      </c>
      <c r="E1375" s="7" t="n">
        <v>13.72980700500358</v>
      </c>
      <c r="F1375" s="8" t="n">
        <v>1.368838214854259</v>
      </c>
      <c r="G1375" s="9">
        <f>DEGREES(F1375)</f>
        <v/>
      </c>
      <c r="H1375" s="8" t="n">
        <v>14.9070207795082</v>
      </c>
      <c r="I1375" s="9">
        <f>DEGREES(H1375)</f>
        <v/>
      </c>
      <c r="J1375" s="10" t="n">
        <v>-1.227850159845226</v>
      </c>
      <c r="K1375" s="10" t="n">
        <v>1.009790559703189</v>
      </c>
      <c r="L1375" s="11">
        <f>$B$5*$B$3*$B$6*SIN(F1375)</f>
        <v/>
      </c>
      <c r="M1375" s="11">
        <f>$B$9*K1375*(SIN(F1375))^2 + $B$8*($B$10+K1375*COS(F1375))*COS(F1375)</f>
        <v/>
      </c>
      <c r="N1375" s="11">
        <f>0.5*$B$9*(J1375^2 + (K1375*SIN(F1375))^2) + 0.5*$B$8*($B$10 + K1375*COS(F1375))^2</f>
        <v/>
      </c>
      <c r="O1375" s="11">
        <f>$B$3*$B$6*$B$5*COS(F1375)</f>
        <v/>
      </c>
      <c r="P1375" s="11">
        <f>N1375+O1375</f>
        <v/>
      </c>
      <c r="Q1375" s="12">
        <f>ABS(P1375-$P$3)</f>
        <v/>
      </c>
    </row>
    <row r="1376">
      <c r="D1376" s="13" t="n">
        <v>1374</v>
      </c>
      <c r="E1376" s="14" t="n">
        <v>13.7398141529664</v>
      </c>
      <c r="F1376" s="15" t="n">
        <v>1.356529044229571</v>
      </c>
      <c r="G1376" s="16">
        <f>DEGREES(F1376)</f>
        <v/>
      </c>
      <c r="H1376" s="15" t="n">
        <v>14.91743369657033</v>
      </c>
      <c r="I1376" s="16">
        <f>DEGREES(H1376)</f>
        <v/>
      </c>
      <c r="J1376" s="17" t="n">
        <v>-1.231581659256719</v>
      </c>
      <c r="K1376" s="17" t="n">
        <v>1.071336412826626</v>
      </c>
      <c r="L1376" s="18">
        <f>$B$5*$B$3*$B$6*SIN(F1376)</f>
        <v/>
      </c>
      <c r="M1376" s="18">
        <f>$B$9*K1376*(SIN(F1376))^2 + $B$8*($B$10+K1376*COS(F1376))*COS(F1376)</f>
        <v/>
      </c>
      <c r="N1376" s="18">
        <f>0.5*$B$9*(J1376^2 + (K1376*SIN(F1376))^2) + 0.5*$B$8*($B$10 + K1376*COS(F1376))^2</f>
        <v/>
      </c>
      <c r="O1376" s="18">
        <f>$B$3*$B$6*$B$5*COS(F1376)</f>
        <v/>
      </c>
      <c r="P1376" s="18">
        <f>N1376+O1376</f>
        <v/>
      </c>
      <c r="Q1376" s="19">
        <f>ABS(P1376-$P$3)</f>
        <v/>
      </c>
    </row>
    <row r="1377">
      <c r="D1377" s="6" t="n">
        <v>1375</v>
      </c>
      <c r="E1377" s="7" t="n">
        <v>13.74982130092924</v>
      </c>
      <c r="F1377" s="8" t="n">
        <v>1.344201874804038</v>
      </c>
      <c r="G1377" s="9">
        <f>DEGREES(F1377)</f>
        <v/>
      </c>
      <c r="H1377" s="8" t="n">
        <v>14.92846312373632</v>
      </c>
      <c r="I1377" s="9">
        <f>DEGREES(H1377)</f>
        <v/>
      </c>
      <c r="J1377" s="10" t="n">
        <v>-1.231446407296804</v>
      </c>
      <c r="K1377" s="10" t="n">
        <v>1.132972259954292</v>
      </c>
      <c r="L1377" s="11">
        <f>$B$5*$B$3*$B$6*SIN(F1377)</f>
        <v/>
      </c>
      <c r="M1377" s="11">
        <f>$B$9*K1377*(SIN(F1377))^2 + $B$8*($B$10+K1377*COS(F1377))*COS(F1377)</f>
        <v/>
      </c>
      <c r="N1377" s="11">
        <f>0.5*$B$9*(J1377^2 + (K1377*SIN(F1377))^2) + 0.5*$B$8*($B$10 + K1377*COS(F1377))^2</f>
        <v/>
      </c>
      <c r="O1377" s="11">
        <f>$B$3*$B$6*$B$5*COS(F1377)</f>
        <v/>
      </c>
      <c r="P1377" s="11">
        <f>N1377+O1377</f>
        <v/>
      </c>
      <c r="Q1377" s="12">
        <f>ABS(P1377-$P$3)</f>
        <v/>
      </c>
    </row>
    <row r="1378">
      <c r="D1378" s="13" t="n">
        <v>1376</v>
      </c>
      <c r="E1378" s="14" t="n">
        <v>13.75982844889207</v>
      </c>
      <c r="F1378" s="15" t="n">
        <v>1.331895409735453</v>
      </c>
      <c r="G1378" s="16">
        <f>DEGREES(F1378)</f>
        <v/>
      </c>
      <c r="H1378" s="15" t="n">
        <v>14.9401089933012</v>
      </c>
      <c r="I1378" s="16">
        <f>DEGREES(H1378)</f>
        <v/>
      </c>
      <c r="J1378" s="17" t="n">
        <v>-1.227444828611056</v>
      </c>
      <c r="K1378" s="17" t="n">
        <v>1.19450458529722</v>
      </c>
      <c r="L1378" s="18">
        <f>$B$5*$B$3*$B$6*SIN(F1378)</f>
        <v/>
      </c>
      <c r="M1378" s="18">
        <f>$B$9*K1378*(SIN(F1378))^2 + $B$8*($B$10+K1378*COS(F1378))*COS(F1378)</f>
        <v/>
      </c>
      <c r="N1378" s="18">
        <f>0.5*$B$9*(J1378^2 + (K1378*SIN(F1378))^2) + 0.5*$B$8*($B$10 + K1378*COS(F1378))^2</f>
        <v/>
      </c>
      <c r="O1378" s="18">
        <f>$B$3*$B$6*$B$5*COS(F1378)</f>
        <v/>
      </c>
      <c r="P1378" s="18">
        <f>N1378+O1378</f>
        <v/>
      </c>
      <c r="Q1378" s="19">
        <f>ABS(P1378-$P$3)</f>
        <v/>
      </c>
    </row>
    <row r="1379">
      <c r="D1379" s="6" t="n">
        <v>1377</v>
      </c>
      <c r="E1379" s="7" t="n">
        <v>13.7698355968549</v>
      </c>
      <c r="F1379" s="8" t="n">
        <v>1.319648287176895</v>
      </c>
      <c r="G1379" s="9">
        <f>DEGREES(F1379)</f>
        <v/>
      </c>
      <c r="H1379" s="8" t="n">
        <v>14.9523693021386</v>
      </c>
      <c r="I1379" s="9">
        <f>DEGREES(H1379)</f>
        <v/>
      </c>
      <c r="J1379" s="10" t="n">
        <v>-1.219589486808033</v>
      </c>
      <c r="K1379" s="10" t="n">
        <v>1.25574019809001</v>
      </c>
      <c r="L1379" s="11">
        <f>$B$5*$B$3*$B$6*SIN(F1379)</f>
        <v/>
      </c>
      <c r="M1379" s="11">
        <f>$B$9*K1379*(SIN(F1379))^2 + $B$8*($B$10+K1379*COS(F1379))*COS(F1379)</f>
        <v/>
      </c>
      <c r="N1379" s="11">
        <f>0.5*$B$9*(J1379^2 + (K1379*SIN(F1379))^2) + 0.5*$B$8*($B$10 + K1379*COS(F1379))^2</f>
        <v/>
      </c>
      <c r="O1379" s="11">
        <f>$B$3*$B$6*$B$5*COS(F1379)</f>
        <v/>
      </c>
      <c r="P1379" s="11">
        <f>N1379+O1379</f>
        <v/>
      </c>
      <c r="Q1379" s="12">
        <f>ABS(P1379-$P$3)</f>
        <v/>
      </c>
    </row>
    <row r="1380">
      <c r="D1380" s="13" t="n">
        <v>1378</v>
      </c>
      <c r="E1380" s="14" t="n">
        <v>13.77984274481773</v>
      </c>
      <c r="F1380" s="15" t="n">
        <v>1.307498958965955</v>
      </c>
      <c r="G1380" s="16">
        <f>DEGREES(F1380)</f>
        <v/>
      </c>
      <c r="H1380" s="15" t="n">
        <v>14.96524011798991</v>
      </c>
      <c r="I1380" s="16">
        <f>DEGREES(H1380)</f>
        <v/>
      </c>
      <c r="J1380" s="17" t="n">
        <v>-1.207905045013769</v>
      </c>
      <c r="K1380" s="17" t="n">
        <v>1.316486839144708</v>
      </c>
      <c r="L1380" s="18">
        <f>$B$5*$B$3*$B$6*SIN(F1380)</f>
        <v/>
      </c>
      <c r="M1380" s="18">
        <f>$B$9*K1380*(SIN(F1380))^2 + $B$8*($B$10+K1380*COS(F1380))*COS(F1380)</f>
        <v/>
      </c>
      <c r="N1380" s="18">
        <f>0.5*$B$9*(J1380^2 + (K1380*SIN(F1380))^2) + 0.5*$B$8*($B$10 + K1380*COS(F1380))^2</f>
        <v/>
      </c>
      <c r="O1380" s="18">
        <f>$B$3*$B$6*$B$5*COS(F1380)</f>
        <v/>
      </c>
      <c r="P1380" s="18">
        <f>N1380+O1380</f>
        <v/>
      </c>
      <c r="Q1380" s="19">
        <f>ABS(P1380-$P$3)</f>
        <v/>
      </c>
    </row>
    <row r="1381">
      <c r="D1381" s="6" t="n">
        <v>1379</v>
      </c>
      <c r="E1381" s="7" t="n">
        <v>13.78984989278056</v>
      </c>
      <c r="F1381" s="8" t="n">
        <v>1.295485569898935</v>
      </c>
      <c r="G1381" s="9">
        <f>DEGREES(F1381)</f>
        <v/>
      </c>
      <c r="H1381" s="8" t="n">
        <v>14.97871559181023</v>
      </c>
      <c r="I1381" s="9">
        <f>DEGREES(H1381)</f>
        <v/>
      </c>
      <c r="J1381" s="10" t="n">
        <v>-1.192428188437881</v>
      </c>
      <c r="K1381" s="10" t="n">
        <v>1.376553784479805</v>
      </c>
      <c r="L1381" s="11">
        <f>$B$5*$B$3*$B$6*SIN(F1381)</f>
        <v/>
      </c>
      <c r="M1381" s="11">
        <f>$B$9*K1381*(SIN(F1381))^2 + $B$8*($B$10+K1381*COS(F1381))*COS(F1381)</f>
        <v/>
      </c>
      <c r="N1381" s="11">
        <f>0.5*$B$9*(J1381^2 + (K1381*SIN(F1381))^2) + 0.5*$B$8*($B$10 + K1381*COS(F1381))^2</f>
        <v/>
      </c>
      <c r="O1381" s="11">
        <f>$B$3*$B$6*$B$5*COS(F1381)</f>
        <v/>
      </c>
      <c r="P1381" s="11">
        <f>N1381+O1381</f>
        <v/>
      </c>
      <c r="Q1381" s="12">
        <f>ABS(P1381-$P$3)</f>
        <v/>
      </c>
    </row>
    <row r="1382">
      <c r="D1382" s="13" t="n">
        <v>1380</v>
      </c>
      <c r="E1382" s="14" t="n">
        <v>13.79985704074339</v>
      </c>
      <c r="F1382" s="15" t="n">
        <v>1.283645837969046</v>
      </c>
      <c r="G1382" s="16">
        <f>DEGREES(F1382)</f>
        <v/>
      </c>
      <c r="H1382" s="15" t="n">
        <v>14.9927879761324</v>
      </c>
      <c r="I1382" s="16">
        <f>DEGREES(H1382)</f>
        <v/>
      </c>
      <c r="J1382" s="17" t="n">
        <v>-1.173207509194384</v>
      </c>
      <c r="K1382" s="17" t="n">
        <v>1.435752444129252</v>
      </c>
      <c r="L1382" s="18">
        <f>$B$5*$B$3*$B$6*SIN(F1382)</f>
        <v/>
      </c>
      <c r="M1382" s="18">
        <f>$B$9*K1382*(SIN(F1382))^2 + $B$8*($B$10+K1382*COS(F1382))*COS(F1382)</f>
        <v/>
      </c>
      <c r="N1382" s="18">
        <f>0.5*$B$9*(J1382^2 + (K1382*SIN(F1382))^2) + 0.5*$B$8*($B$10 + K1382*COS(F1382))^2</f>
        <v/>
      </c>
      <c r="O1382" s="18">
        <f>$B$3*$B$6*$B$5*COS(F1382)</f>
        <v/>
      </c>
      <c r="P1382" s="18">
        <f>N1382+O1382</f>
        <v/>
      </c>
      <c r="Q1382" s="19">
        <f>ABS(P1382-$P$3)</f>
        <v/>
      </c>
    </row>
    <row r="1383">
      <c r="D1383" s="6" t="n">
        <v>1381</v>
      </c>
      <c r="E1383" s="7" t="n">
        <v>13.80986418870622</v>
      </c>
      <c r="F1383" s="8" t="n">
        <v>1.27201693594459</v>
      </c>
      <c r="G1383" s="9">
        <f>DEGREES(F1383)</f>
        <v/>
      </c>
      <c r="H1383" s="8" t="n">
        <v>15.00744764939145</v>
      </c>
      <c r="I1383" s="9">
        <f>DEGREES(H1383)</f>
        <v/>
      </c>
      <c r="J1383" s="10" t="n">
        <v>-1.150303353738789</v>
      </c>
      <c r="K1383" s="10" t="n">
        <v>1.493896954251533</v>
      </c>
      <c r="L1383" s="11">
        <f>$B$5*$B$3*$B$6*SIN(F1383)</f>
        <v/>
      </c>
      <c r="M1383" s="11">
        <f>$B$9*K1383*(SIN(F1383))^2 + $B$8*($B$10+K1383*COS(F1383))*COS(F1383)</f>
        <v/>
      </c>
      <c r="N1383" s="11">
        <f>0.5*$B$9*(J1383^2 + (K1383*SIN(F1383))^2) + 0.5*$B$8*($B$10 + K1383*COS(F1383))^2</f>
        <v/>
      </c>
      <c r="O1383" s="11">
        <f>$B$3*$B$6*$B$5*COS(F1383)</f>
        <v/>
      </c>
      <c r="P1383" s="11">
        <f>N1383+O1383</f>
        <v/>
      </c>
      <c r="Q1383" s="12">
        <f>ABS(P1383-$P$3)</f>
        <v/>
      </c>
    </row>
    <row r="1384">
      <c r="D1384" s="13" t="n">
        <v>1382</v>
      </c>
      <c r="E1384" s="14" t="n">
        <v>13.81987133666905</v>
      </c>
      <c r="F1384" s="15" t="n">
        <v>1.260635374659025</v>
      </c>
      <c r="G1384" s="16">
        <f>DEGREES(F1384)</f>
        <v/>
      </c>
      <c r="H1384" s="15" t="n">
        <v>15.02268314613305</v>
      </c>
      <c r="I1384" s="16">
        <f>DEGREES(H1384)</f>
        <v/>
      </c>
      <c r="J1384" s="17" t="n">
        <v>-1.123787633400604</v>
      </c>
      <c r="K1384" s="17" t="n">
        <v>1.550804760679357</v>
      </c>
      <c r="L1384" s="18">
        <f>$B$5*$B$3*$B$6*SIN(F1384)</f>
        <v/>
      </c>
      <c r="M1384" s="18">
        <f>$B$9*K1384*(SIN(F1384))^2 + $B$8*($B$10+K1384*COS(F1384))*COS(F1384)</f>
        <v/>
      </c>
      <c r="N1384" s="18">
        <f>0.5*$B$9*(J1384^2 + (K1384*SIN(F1384))^2) + 0.5*$B$8*($B$10 + K1384*COS(F1384))^2</f>
        <v/>
      </c>
      <c r="O1384" s="18">
        <f>$B$3*$B$6*$B$5*COS(F1384)</f>
        <v/>
      </c>
      <c r="P1384" s="18">
        <f>N1384+O1384</f>
        <v/>
      </c>
      <c r="Q1384" s="19">
        <f>ABS(P1384-$P$3)</f>
        <v/>
      </c>
    </row>
    <row r="1385">
      <c r="D1385" s="6" t="n">
        <v>1383</v>
      </c>
      <c r="E1385" s="7" t="n">
        <v>13.82987848463188</v>
      </c>
      <c r="F1385" s="8" t="n">
        <v>1.249536888379251</v>
      </c>
      <c r="G1385" s="9">
        <f>DEGREES(F1385)</f>
        <v/>
      </c>
      <c r="H1385" s="8" t="n">
        <v>15.0384811930112</v>
      </c>
      <c r="I1385" s="9">
        <f>DEGREES(H1385)</f>
        <v/>
      </c>
      <c r="J1385" s="10" t="n">
        <v>-1.093743598606008</v>
      </c>
      <c r="K1385" s="10" t="n">
        <v>1.606297192078227</v>
      </c>
      <c r="L1385" s="11">
        <f>$B$5*$B$3*$B$6*SIN(F1385)</f>
        <v/>
      </c>
      <c r="M1385" s="11">
        <f>$B$9*K1385*(SIN(F1385))^2 + $B$8*($B$10+K1385*COS(F1385))*COS(F1385)</f>
        <v/>
      </c>
      <c r="N1385" s="11">
        <f>0.5*$B$9*(J1385^2 + (K1385*SIN(F1385))^2) + 0.5*$B$8*($B$10 + K1385*COS(F1385))^2</f>
        <v/>
      </c>
      <c r="O1385" s="11">
        <f>$B$3*$B$6*$B$5*COS(F1385)</f>
        <v/>
      </c>
      <c r="P1385" s="11">
        <f>N1385+O1385</f>
        <v/>
      </c>
      <c r="Q1385" s="12">
        <f>ABS(P1385-$P$3)</f>
        <v/>
      </c>
    </row>
    <row r="1386">
      <c r="D1386" s="13" t="n">
        <v>1384</v>
      </c>
      <c r="E1386" s="14" t="n">
        <v>13.83988563259471</v>
      </c>
      <c r="F1386" s="15" t="n">
        <v>1.238756322612027</v>
      </c>
      <c r="G1386" s="16">
        <f>DEGREES(F1386)</f>
        <v/>
      </c>
      <c r="H1386" s="15" t="n">
        <v>15.05482675046204</v>
      </c>
      <c r="I1386" s="16">
        <f>DEGREES(H1386)</f>
        <v/>
      </c>
      <c r="J1386" s="17" t="n">
        <v>-1.060265577499503</v>
      </c>
      <c r="K1386" s="17" t="n">
        <v>1.660200020914347</v>
      </c>
      <c r="L1386" s="18">
        <f>$B$5*$B$3*$B$6*SIN(F1386)</f>
        <v/>
      </c>
      <c r="M1386" s="18">
        <f>$B$9*K1386*(SIN(F1386))^2 + $B$8*($B$10+K1386*COS(F1386))*COS(F1386)</f>
        <v/>
      </c>
      <c r="N1386" s="18">
        <f>0.5*$B$9*(J1386^2 + (K1386*SIN(F1386))^2) + 0.5*$B$8*($B$10 + K1386*COS(F1386))^2</f>
        <v/>
      </c>
      <c r="O1386" s="18">
        <f>$B$3*$B$6*$B$5*COS(F1386)</f>
        <v/>
      </c>
      <c r="P1386" s="18">
        <f>N1386+O1386</f>
        <v/>
      </c>
      <c r="Q1386" s="19">
        <f>ABS(P1386-$P$3)</f>
        <v/>
      </c>
    </row>
    <row r="1387">
      <c r="D1387" s="6" t="n">
        <v>1385</v>
      </c>
      <c r="E1387" s="7" t="n">
        <v>13.84989278055754</v>
      </c>
      <c r="F1387" s="8" t="n">
        <v>1.228327524700853</v>
      </c>
      <c r="G1387" s="9">
        <f>DEGREES(F1387)</f>
        <v/>
      </c>
      <c r="H1387" s="8" t="n">
        <v>15.07170305992302</v>
      </c>
      <c r="I1387" s="9">
        <f>DEGREES(H1387)</f>
        <v/>
      </c>
      <c r="J1387" s="10" t="n">
        <v>-1.023458679785394</v>
      </c>
      <c r="K1387" s="10" t="n">
        <v>1.712344010470219</v>
      </c>
      <c r="L1387" s="11">
        <f>$B$5*$B$3*$B$6*SIN(F1387)</f>
        <v/>
      </c>
      <c r="M1387" s="11">
        <f>$B$9*K1387*(SIN(F1387))^2 + $B$8*($B$10+K1387*COS(F1387))*COS(F1387)</f>
        <v/>
      </c>
      <c r="N1387" s="11">
        <f>0.5*$B$9*(J1387^2 + (K1387*SIN(F1387))^2) + 0.5*$B$8*($B$10 + K1387*COS(F1387))^2</f>
        <v/>
      </c>
      <c r="O1387" s="11">
        <f>$B$3*$B$6*$B$5*COS(F1387)</f>
        <v/>
      </c>
      <c r="P1387" s="11">
        <f>N1387+O1387</f>
        <v/>
      </c>
      <c r="Q1387" s="12">
        <f>ABS(P1387-$P$3)</f>
        <v/>
      </c>
    </row>
    <row r="1388">
      <c r="D1388" s="13" t="n">
        <v>1386</v>
      </c>
      <c r="E1388" s="14" t="n">
        <v>13.85989992852037</v>
      </c>
      <c r="F1388" s="15" t="n">
        <v>1.218283237556701</v>
      </c>
      <c r="G1388" s="16">
        <f>DEGREES(F1388)</f>
        <v/>
      </c>
      <c r="H1388" s="15" t="n">
        <v>15.08909169644915</v>
      </c>
      <c r="I1388" s="16">
        <f>DEGREES(H1388)</f>
        <v/>
      </c>
      <c r="J1388" s="17" t="n">
        <v>-0.9834384667187102</v>
      </c>
      <c r="K1388" s="17" t="n">
        <v>1.762565446190979</v>
      </c>
      <c r="L1388" s="18">
        <f>$B$5*$B$3*$B$6*SIN(F1388)</f>
        <v/>
      </c>
      <c r="M1388" s="18">
        <f>$B$9*K1388*(SIN(F1388))^2 + $B$8*($B$10+K1388*COS(F1388))*COS(F1388)</f>
        <v/>
      </c>
      <c r="N1388" s="18">
        <f>0.5*$B$9*(J1388^2 + (K1388*SIN(F1388))^2) + 0.5*$B$8*($B$10 + K1388*COS(F1388))^2</f>
        <v/>
      </c>
      <c r="O1388" s="18">
        <f>$B$3*$B$6*$B$5*COS(F1388)</f>
        <v/>
      </c>
      <c r="P1388" s="18">
        <f>N1388+O1388</f>
        <v/>
      </c>
      <c r="Q1388" s="19">
        <f>ABS(P1388-$P$3)</f>
        <v/>
      </c>
    </row>
    <row r="1389">
      <c r="D1389" s="6" t="n">
        <v>1387</v>
      </c>
      <c r="E1389" s="7" t="n">
        <v>13.8699070764832</v>
      </c>
      <c r="F1389" s="8" t="n">
        <v>1.208654996856315</v>
      </c>
      <c r="G1389" s="9">
        <f>DEGREES(F1389)</f>
        <v/>
      </c>
      <c r="H1389" s="8" t="n">
        <v>15.10697262656108</v>
      </c>
      <c r="I1389" s="9">
        <f>DEGREES(H1389)</f>
        <v/>
      </c>
      <c r="J1389" s="10" t="n">
        <v>-0.9403305882818107</v>
      </c>
      <c r="K1389" s="10" t="n">
        <v>1.810706649692907</v>
      </c>
      <c r="L1389" s="11">
        <f>$B$5*$B$3*$B$6*SIN(F1389)</f>
        <v/>
      </c>
      <c r="M1389" s="11">
        <f>$B$9*K1389*(SIN(F1389))^2 + $B$8*($B$10+K1389*COS(F1389))*COS(F1389)</f>
        <v/>
      </c>
      <c r="N1389" s="11">
        <f>0.5*$B$9*(J1389^2 + (K1389*SIN(F1389))^2) + 0.5*$B$8*($B$10 + K1389*COS(F1389))^2</f>
        <v/>
      </c>
      <c r="O1389" s="11">
        <f>$B$3*$B$6*$B$5*COS(F1389)</f>
        <v/>
      </c>
      <c r="P1389" s="11">
        <f>N1389+O1389</f>
        <v/>
      </c>
      <c r="Q1389" s="12">
        <f>ABS(P1389-$P$3)</f>
        <v/>
      </c>
    </row>
    <row r="1390">
      <c r="D1390" s="13" t="n">
        <v>1388</v>
      </c>
      <c r="E1390" s="14" t="n">
        <v>13.87991422444603</v>
      </c>
      <c r="F1390" s="15" t="n">
        <v>1.199473032030812</v>
      </c>
      <c r="G1390" s="16">
        <f>DEGREES(F1390)</f>
        <v/>
      </c>
      <c r="H1390" s="15" t="n">
        <v>15.12532427114354</v>
      </c>
      <c r="I1390" s="16">
        <f>DEGREES(H1390)</f>
        <v/>
      </c>
      <c r="J1390" s="17" t="n">
        <v>-0.894270388685785</v>
      </c>
      <c r="K1390" s="17" t="n">
        <v>1.856616473820425</v>
      </c>
      <c r="L1390" s="18">
        <f>$B$5*$B$3*$B$6*SIN(F1390)</f>
        <v/>
      </c>
      <c r="M1390" s="18">
        <f>$B$9*K1390*(SIN(F1390))^2 + $B$8*($B$10+K1390*COS(F1390))*COS(F1390)</f>
        <v/>
      </c>
      <c r="N1390" s="18">
        <f>0.5*$B$9*(J1390^2 + (K1390*SIN(F1390))^2) + 0.5*$B$8*($B$10 + K1390*COS(F1390))^2</f>
        <v/>
      </c>
      <c r="O1390" s="18">
        <f>$B$3*$B$6*$B$5*COS(F1390)</f>
        <v/>
      </c>
      <c r="P1390" s="18">
        <f>N1390+O1390</f>
        <v/>
      </c>
      <c r="Q1390" s="19">
        <f>ABS(P1390-$P$3)</f>
        <v/>
      </c>
    </row>
    <row r="1391">
      <c r="D1391" s="6" t="n">
        <v>1389</v>
      </c>
      <c r="E1391" s="7" t="n">
        <v>13.88992137240886</v>
      </c>
      <c r="F1391" s="8" t="n">
        <v>1.190766171355453</v>
      </c>
      <c r="G1391" s="9">
        <f>DEGREES(F1391)</f>
        <v/>
      </c>
      <c r="H1391" s="8" t="n">
        <v>15.14412357319643</v>
      </c>
      <c r="I1391" s="9">
        <f>DEGREES(H1391)</f>
        <v/>
      </c>
      <c r="J1391" s="10" t="n">
        <v>-0.8454024814352402</v>
      </c>
      <c r="K1391" s="10" t="n">
        <v>1.900150777197219</v>
      </c>
      <c r="L1391" s="11">
        <f>$B$5*$B$3*$B$6*SIN(F1391)</f>
        <v/>
      </c>
      <c r="M1391" s="11">
        <f>$B$9*K1391*(SIN(F1391))^2 + $B$8*($B$10+K1391*COS(F1391))*COS(F1391)</f>
        <v/>
      </c>
      <c r="N1391" s="11">
        <f>0.5*$B$9*(J1391^2 + (K1391*SIN(F1391))^2) + 0.5*$B$8*($B$10 + K1391*COS(F1391))^2</f>
        <v/>
      </c>
      <c r="O1391" s="11">
        <f>$B$3*$B$6*$B$5*COS(F1391)</f>
        <v/>
      </c>
      <c r="P1391" s="11">
        <f>N1391+O1391</f>
        <v/>
      </c>
      <c r="Q1391" s="12">
        <f>ABS(P1391-$P$3)</f>
        <v/>
      </c>
    </row>
    <row r="1392">
      <c r="D1392" s="13" t="n">
        <v>1390</v>
      </c>
      <c r="E1392" s="14" t="n">
        <v>13.8999285203717</v>
      </c>
      <c r="F1392" s="15" t="n">
        <v>1.182561751438578</v>
      </c>
      <c r="G1392" s="16">
        <f>DEGREES(F1392)</f>
        <v/>
      </c>
      <c r="H1392" s="15" t="n">
        <v>15.16334607022605</v>
      </c>
      <c r="I1392" s="16">
        <f>DEGREES(H1392)</f>
        <v/>
      </c>
      <c r="J1392" s="17" t="n">
        <v>-0.7938802952906318</v>
      </c>
      <c r="K1392" s="17" t="n">
        <v>1.941172876781592</v>
      </c>
      <c r="L1392" s="18">
        <f>$B$5*$B$3*$B$6*SIN(F1392)</f>
        <v/>
      </c>
      <c r="M1392" s="18">
        <f>$B$9*K1392*(SIN(F1392))^2 + $B$8*($B$10+K1392*COS(F1392))*COS(F1392)</f>
        <v/>
      </c>
      <c r="N1392" s="18">
        <f>0.5*$B$9*(J1392^2 + (K1392*SIN(F1392))^2) + 0.5*$B$8*($B$10 + K1392*COS(F1392))^2</f>
        <v/>
      </c>
      <c r="O1392" s="18">
        <f>$B$3*$B$6*$B$5*COS(F1392)</f>
        <v/>
      </c>
      <c r="P1392" s="18">
        <f>N1392+O1392</f>
        <v/>
      </c>
      <c r="Q1392" s="19">
        <f>ABS(P1392-$P$3)</f>
        <v/>
      </c>
    </row>
    <row r="1393">
      <c r="D1393" s="6" t="n">
        <v>1391</v>
      </c>
      <c r="E1393" s="7" t="n">
        <v>13.90993566833453</v>
      </c>
      <c r="F1393" s="8" t="n">
        <v>1.174885531393866</v>
      </c>
      <c r="G1393" s="9">
        <f>DEGREES(F1393)</f>
        <v/>
      </c>
      <c r="H1393" s="8" t="n">
        <v>15.18296597104909</v>
      </c>
      <c r="I1393" s="9">
        <f>DEGREES(H1393)</f>
        <v/>
      </c>
      <c r="J1393" s="10" t="n">
        <v>-0.739865592553659</v>
      </c>
      <c r="K1393" s="10" t="n">
        <v>1.979553977005152</v>
      </c>
      <c r="L1393" s="11">
        <f>$B$5*$B$3*$B$6*SIN(F1393)</f>
        <v/>
      </c>
      <c r="M1393" s="11">
        <f>$B$9*K1393*(SIN(F1393))^2 + $B$8*($B$10+K1393*COS(F1393))*COS(F1393)</f>
        <v/>
      </c>
      <c r="N1393" s="11">
        <f>0.5*$B$9*(J1393^2 + (K1393*SIN(F1393))^2) + 0.5*$B$8*($B$10 + K1393*COS(F1393))^2</f>
        <v/>
      </c>
      <c r="O1393" s="11">
        <f>$B$3*$B$6*$B$5*COS(F1393)</f>
        <v/>
      </c>
      <c r="P1393" s="11">
        <f>N1393+O1393</f>
        <v/>
      </c>
      <c r="Q1393" s="12">
        <f>ABS(P1393-$P$3)</f>
        <v/>
      </c>
    </row>
    <row r="1394">
      <c r="D1394" s="13" t="n">
        <v>1392</v>
      </c>
      <c r="E1394" s="14" t="n">
        <v>13.91994281629736</v>
      </c>
      <c r="F1394" s="15" t="n">
        <v>1.167761611965398</v>
      </c>
      <c r="G1394" s="16">
        <f>DEGREES(F1394)</f>
        <v/>
      </c>
      <c r="H1394" s="15" t="n">
        <v>15.20295623676827</v>
      </c>
      <c r="I1394" s="16">
        <f>DEGREES(H1394)</f>
        <v/>
      </c>
      <c r="J1394" s="17" t="n">
        <v>-0.6835279611881528</v>
      </c>
      <c r="K1394" s="17" t="n">
        <v>2.015173574147492</v>
      </c>
      <c r="L1394" s="18">
        <f>$B$5*$B$3*$B$6*SIN(F1394)</f>
        <v/>
      </c>
      <c r="M1394" s="18">
        <f>$B$9*K1394*(SIN(F1394))^2 + $B$8*($B$10+K1394*COS(F1394))*COS(F1394)</f>
        <v/>
      </c>
      <c r="N1394" s="18">
        <f>0.5*$B$9*(J1394^2 + (K1394*SIN(F1394))^2) + 0.5*$B$8*($B$10 + K1394*COS(F1394))^2</f>
        <v/>
      </c>
      <c r="O1394" s="18">
        <f>$B$3*$B$6*$B$5*COS(F1394)</f>
        <v/>
      </c>
      <c r="P1394" s="18">
        <f>N1394+O1394</f>
        <v/>
      </c>
      <c r="Q1394" s="19">
        <f>ABS(P1394-$P$3)</f>
        <v/>
      </c>
    </row>
    <row r="1395">
      <c r="D1395" s="6" t="n">
        <v>1393</v>
      </c>
      <c r="E1395" s="7" t="n">
        <v>13.92994996426019</v>
      </c>
      <c r="F1395" s="8" t="n">
        <v>1.161212359859444</v>
      </c>
      <c r="G1395" s="9">
        <f>DEGREES(F1395)</f>
        <v/>
      </c>
      <c r="H1395" s="8" t="n">
        <v>15.22328866566532</v>
      </c>
      <c r="I1395" s="9">
        <f>DEGREES(H1395)</f>
        <v/>
      </c>
      <c r="J1395" s="10" t="n">
        <v>-0.6250442823710184</v>
      </c>
      <c r="K1395" s="10" t="n">
        <v>2.047919834677263</v>
      </c>
      <c r="L1395" s="11">
        <f>$B$5*$B$3*$B$6*SIN(F1395)</f>
        <v/>
      </c>
      <c r="M1395" s="11">
        <f>$B$9*K1395*(SIN(F1395))^2 + $B$8*($B$10+K1395*COS(F1395))*COS(F1395)</f>
        <v/>
      </c>
      <c r="N1395" s="11">
        <f>0.5*$B$9*(J1395^2 + (K1395*SIN(F1395))^2) + 0.5*$B$8*($B$10 + K1395*COS(F1395))^2</f>
        <v/>
      </c>
      <c r="O1395" s="11">
        <f>$B$3*$B$6*$B$5*COS(F1395)</f>
        <v/>
      </c>
      <c r="P1395" s="11">
        <f>N1395+O1395</f>
        <v/>
      </c>
      <c r="Q1395" s="12">
        <f>ABS(P1395-$P$3)</f>
        <v/>
      </c>
    </row>
    <row r="1396">
      <c r="D1396" s="13" t="n">
        <v>1394</v>
      </c>
      <c r="E1396" s="14" t="n">
        <v>13.93995711222302</v>
      </c>
      <c r="F1396" s="15" t="n">
        <v>1.155258337520542</v>
      </c>
      <c r="G1396" s="16">
        <f>DEGREES(F1396)</f>
        <v/>
      </c>
      <c r="H1396" s="15" t="n">
        <v>15.24393398174491</v>
      </c>
      <c r="I1396" s="16">
        <f>DEGREES(H1396)</f>
        <v/>
      </c>
      <c r="J1396" s="17" t="n">
        <v>-0.5645981751449489</v>
      </c>
      <c r="K1396" s="17" t="n">
        <v>2.077689946371774</v>
      </c>
      <c r="L1396" s="18">
        <f>$B$5*$B$3*$B$6*SIN(F1396)</f>
        <v/>
      </c>
      <c r="M1396" s="18">
        <f>$B$9*K1396*(SIN(F1396))^2 + $B$8*($B$10+K1396*COS(F1396))*COS(F1396)</f>
        <v/>
      </c>
      <c r="N1396" s="18">
        <f>0.5*$B$9*(J1396^2 + (K1396*SIN(F1396))^2) + 0.5*$B$8*($B$10 + K1396*COS(F1396))^2</f>
        <v/>
      </c>
      <c r="O1396" s="18">
        <f>$B$3*$B$6*$B$5*COS(F1396)</f>
        <v/>
      </c>
      <c r="P1396" s="18">
        <f>N1396+O1396</f>
        <v/>
      </c>
      <c r="Q1396" s="19">
        <f>ABS(P1396-$P$3)</f>
        <v/>
      </c>
    </row>
    <row r="1397">
      <c r="D1397" s="6" t="n">
        <v>1395</v>
      </c>
      <c r="E1397" s="7" t="n">
        <v>13.94996426018585</v>
      </c>
      <c r="F1397" s="8" t="n">
        <v>1.149918238572351</v>
      </c>
      <c r="G1397" s="9">
        <f>DEGREES(F1397)</f>
        <v/>
      </c>
      <c r="H1397" s="8" t="n">
        <v>15.26486192665142</v>
      </c>
      <c r="I1397" s="9">
        <f>DEGREES(H1397)</f>
        <v/>
      </c>
      <c r="J1397" s="10" t="n">
        <v>-0.5023794199165101</v>
      </c>
      <c r="K1397" s="10" t="n">
        <v>2.104390441112729</v>
      </c>
      <c r="L1397" s="11">
        <f>$B$5*$B$3*$B$6*SIN(F1397)</f>
        <v/>
      </c>
      <c r="M1397" s="11">
        <f>$B$9*K1397*(SIN(F1397))^2 + $B$8*($B$10+K1397*COS(F1397))*COS(F1397)</f>
        <v/>
      </c>
      <c r="N1397" s="11">
        <f>0.5*$B$9*(J1397^2 + (K1397*SIN(F1397))^2) + 0.5*$B$8*($B$10 + K1397*COS(F1397))^2</f>
        <v/>
      </c>
      <c r="O1397" s="11">
        <f>$B$3*$B$6*$B$5*COS(F1397)</f>
        <v/>
      </c>
      <c r="P1397" s="11">
        <f>N1397+O1397</f>
        <v/>
      </c>
      <c r="Q1397" s="12">
        <f>ABS(P1397-$P$3)</f>
        <v/>
      </c>
    </row>
    <row r="1398">
      <c r="D1398" s="13" t="n">
        <v>1396</v>
      </c>
      <c r="E1398" s="14" t="n">
        <v>13.95997140814868</v>
      </c>
      <c r="F1398" s="15" t="n">
        <v>1.145208829125974</v>
      </c>
      <c r="G1398" s="16">
        <f>DEGREES(F1398)</f>
        <v/>
      </c>
      <c r="H1398" s="15" t="n">
        <v>15.28604135466992</v>
      </c>
      <c r="I1398" s="16">
        <f>DEGREES(H1398)</f>
        <v/>
      </c>
      <c r="J1398" s="17" t="n">
        <v>-0.4385833626096192</v>
      </c>
      <c r="K1398" s="17" t="n">
        <v>2.127937488344611</v>
      </c>
      <c r="L1398" s="18">
        <f>$B$5*$B$3*$B$6*SIN(F1398)</f>
        <v/>
      </c>
      <c r="M1398" s="18">
        <f>$B$9*K1398*(SIN(F1398))^2 + $B$8*($B$10+K1398*COS(F1398))*COS(F1398)</f>
        <v/>
      </c>
      <c r="N1398" s="18">
        <f>0.5*$B$9*(J1398^2 + (K1398*SIN(F1398))^2) + 0.5*$B$8*($B$10 + K1398*COS(F1398))^2</f>
        <v/>
      </c>
      <c r="O1398" s="18">
        <f>$B$3*$B$6*$B$5*COS(F1398)</f>
        <v/>
      </c>
      <c r="P1398" s="18">
        <f>N1398+O1398</f>
        <v/>
      </c>
      <c r="Q1398" s="19">
        <f>ABS(P1398-$P$3)</f>
        <v/>
      </c>
    </row>
    <row r="1399">
      <c r="D1399" s="6" t="n">
        <v>1397</v>
      </c>
      <c r="E1399" s="7" t="n">
        <v>13.96997855611151</v>
      </c>
      <c r="F1399" s="8" t="n">
        <v>1.141144895140019</v>
      </c>
      <c r="G1399" s="9">
        <f>DEGREES(F1399)</f>
        <v/>
      </c>
      <c r="H1399" s="8" t="n">
        <v>15.30744033051329</v>
      </c>
      <c r="I1399" s="9">
        <f>DEGREES(H1399)</f>
        <v/>
      </c>
      <c r="J1399" s="10" t="n">
        <v>-0.3734103013451742</v>
      </c>
      <c r="K1399" s="10" t="n">
        <v>2.148257158274386</v>
      </c>
      <c r="L1399" s="11">
        <f>$B$5*$B$3*$B$6*SIN(F1399)</f>
        <v/>
      </c>
      <c r="M1399" s="11">
        <f>$B$9*K1399*(SIN(F1399))^2 + $B$8*($B$10+K1399*COS(F1399))*COS(F1399)</f>
        <v/>
      </c>
      <c r="N1399" s="11">
        <f>0.5*$B$9*(J1399^2 + (K1399*SIN(F1399))^2) + 0.5*$B$8*($B$10 + K1399*COS(F1399))^2</f>
        <v/>
      </c>
      <c r="O1399" s="11">
        <f>$B$3*$B$6*$B$5*COS(F1399)</f>
        <v/>
      </c>
      <c r="P1399" s="11">
        <f>N1399+O1399</f>
        <v/>
      </c>
      <c r="Q1399" s="12">
        <f>ABS(P1399-$P$3)</f>
        <v/>
      </c>
    </row>
    <row r="1400">
      <c r="D1400" s="13" t="n">
        <v>1398</v>
      </c>
      <c r="E1400" s="14" t="n">
        <v>13.97998570407434</v>
      </c>
      <c r="F1400" s="15" t="n">
        <v>1.137739195997671</v>
      </c>
      <c r="G1400" s="16">
        <f>DEGREES(F1400)</f>
        <v/>
      </c>
      <c r="H1400" s="15" t="n">
        <v>15.32902622958821</v>
      </c>
      <c r="I1400" s="16">
        <f>DEGREES(H1400)</f>
        <v/>
      </c>
      <c r="J1400" s="17" t="n">
        <v>-0.3070648575724547</v>
      </c>
      <c r="K1400" s="17" t="n">
        <v>2.165285653986129</v>
      </c>
      <c r="L1400" s="18">
        <f>$B$5*$B$3*$B$6*SIN(F1400)</f>
        <v/>
      </c>
      <c r="M1400" s="18">
        <f>$B$9*K1400*(SIN(F1400))^2 + $B$8*($B$10+K1400*COS(F1400))*COS(F1400)</f>
        <v/>
      </c>
      <c r="N1400" s="18">
        <f>0.5*$B$9*(J1400^2 + (K1400*SIN(F1400))^2) + 0.5*$B$8*($B$10 + K1400*COS(F1400))^2</f>
        <v/>
      </c>
      <c r="O1400" s="18">
        <f>$B$3*$B$6*$B$5*COS(F1400)</f>
        <v/>
      </c>
      <c r="P1400" s="18">
        <f>N1400+O1400</f>
        <v/>
      </c>
      <c r="Q1400" s="19">
        <f>ABS(P1400-$P$3)</f>
        <v/>
      </c>
    </row>
    <row r="1401">
      <c r="D1401" s="6" t="n">
        <v>1399</v>
      </c>
      <c r="E1401" s="7" t="n">
        <v>13.98999285203717</v>
      </c>
      <c r="F1401" s="8" t="n">
        <v>1.135002424446527</v>
      </c>
      <c r="G1401" s="9">
        <f>DEGREES(F1401)</f>
        <v/>
      </c>
      <c r="H1401" s="8" t="n">
        <v>15.3507658404254</v>
      </c>
      <c r="I1401" s="9">
        <f>DEGREES(H1401)</f>
        <v/>
      </c>
      <c r="J1401" s="10" t="n">
        <v>-0.2397553336267275</v>
      </c>
      <c r="K1401" s="10" t="n">
        <v>2.178969511741849</v>
      </c>
      <c r="L1401" s="11">
        <f>$B$5*$B$3*$B$6*SIN(F1401)</f>
        <v/>
      </c>
      <c r="M1401" s="11">
        <f>$B$9*K1401*(SIN(F1401))^2 + $B$8*($B$10+K1401*COS(F1401))*COS(F1401)</f>
        <v/>
      </c>
      <c r="N1401" s="11">
        <f>0.5*$B$9*(J1401^2 + (K1401*SIN(F1401))^2) + 0.5*$B$8*($B$10 + K1401*COS(F1401))^2</f>
        <v/>
      </c>
      <c r="O1401" s="11">
        <f>$B$3*$B$6*$B$5*COS(F1401)</f>
        <v/>
      </c>
      <c r="P1401" s="11">
        <f>N1401+O1401</f>
        <v/>
      </c>
      <c r="Q1401" s="12">
        <f>ABS(P1401-$P$3)</f>
        <v/>
      </c>
    </row>
    <row r="1402">
      <c r="D1402" s="13" t="n">
        <v>1400</v>
      </c>
      <c r="E1402" s="14" t="n">
        <v>14</v>
      </c>
      <c r="F1402" s="15" t="n">
        <v>1.132943173026976</v>
      </c>
      <c r="G1402" s="16">
        <f>DEGREES(F1402)</f>
        <v/>
      </c>
      <c r="H1402" s="15" t="n">
        <v>15.37262546895247</v>
      </c>
      <c r="I1402" s="16">
        <f>DEGREES(H1402)</f>
        <v/>
      </c>
      <c r="J1402" s="17" t="n">
        <v>-0.1716930587301281</v>
      </c>
      <c r="K1402" s="17" t="n">
        <v>2.189265768839603</v>
      </c>
      <c r="L1402" s="18">
        <f>$B$5*$B$3*$B$6*SIN(F1402)</f>
        <v/>
      </c>
      <c r="M1402" s="18">
        <f>$B$9*K1402*(SIN(F1402))^2 + $B$8*($B$10+K1402*COS(F1402))*COS(F1402)</f>
        <v/>
      </c>
      <c r="N1402" s="18">
        <f>0.5*$B$9*(J1402^2 + (K1402*SIN(F1402))^2) + 0.5*$B$8*($B$10 + K1402*COS(F1402))^2</f>
        <v/>
      </c>
      <c r="O1402" s="18">
        <f>$B$3*$B$6*$B$5*COS(F1402)</f>
        <v/>
      </c>
      <c r="P1402" s="18">
        <f>N1402+O1402</f>
        <v/>
      </c>
      <c r="Q1402" s="19">
        <f>ABS(P1402-$P$3)</f>
        <v/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2026-10-14T04:24:44Z</dcterms:created>
  <dcterms:modified xmlns:dcterms="http://purl.org/dc/terms/" xmlns:xsi="http://www.w3.org/2001/XMLSchema-instance" xsi:type="dcterms:W3CDTF">2026-10-14T04:24:45Z</dcterms:modified>
</cp:coreProperties>
</file>