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y_Conservacion" sheetId="1" state="visible" r:id="rId1"/>
    <sheet xmlns:r="http://schemas.openxmlformats.org/officeDocument/2006/relationships" name="Taxonomia_Soluciones_3Cuer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 &quot;J&quot;"/>
    <numFmt numFmtId="165" formatCode="0.0000 &quot;N·m·s&quot;"/>
    <numFmt numFmtId="166" formatCode="0.0000 &quot;s&quot;"/>
    <numFmt numFmtId="167" formatCode="0.00 &quot;s⁻¹&quot;"/>
    <numFmt numFmtId="168" formatCode="0.00000000"/>
    <numFmt numFmtId="169" formatCode="0.000000"/>
  </numFmts>
  <fonts count="8">
    <font>
      <name val="Calibri"/>
      <family val="2"/>
      <color theme="1"/>
      <sz val="11"/>
      <scheme val="minor"/>
    </font>
    <font>
      <name val="Calibri"/>
      <b val="1"/>
      <color rgb="0000F0FF"/>
      <sz val="16"/>
    </font>
    <font>
      <name val="Calibri"/>
      <i val="1"/>
      <color rgb="0094A3B8"/>
      <sz val="10"/>
    </font>
    <font>
      <name val="Calibri"/>
      <b val="1"/>
      <color rgb="0094A3B8"/>
      <sz val="8"/>
    </font>
    <font>
      <name val="Calibri"/>
      <b val="1"/>
      <color rgb="0000F0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E2E8F0"/>
      <sz val="10"/>
    </font>
  </fonts>
  <fills count="7">
    <fill>
      <patternFill/>
    </fill>
    <fill>
      <patternFill patternType="gray125"/>
    </fill>
    <fill>
      <patternFill patternType="solid">
        <fgColor rgb="0010172A"/>
        <bgColor rgb="0010172A"/>
      </patternFill>
    </fill>
    <fill>
      <patternFill patternType="solid">
        <fgColor rgb="00111C2E"/>
        <bgColor rgb="00111C2E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141E33"/>
        <bgColor rgb="00141E33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7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5" borderId="1" pivotButton="0" quotePrefix="0" xfId="0"/>
    <xf numFmtId="2" fontId="7" fillId="5" borderId="1" pivotButton="0" quotePrefix="0" xfId="0"/>
    <xf numFmtId="168" fontId="7" fillId="5" borderId="1" pivotButton="0" quotePrefix="0" xfId="0"/>
    <xf numFmtId="169" fontId="7" fillId="5" borderId="1" pivotButton="0" quotePrefix="0" xfId="0"/>
    <xf numFmtId="0" fontId="7" fillId="6" borderId="1" pivotButton="0" quotePrefix="0" xfId="0"/>
    <xf numFmtId="2" fontId="7" fillId="6" borderId="1" pivotButton="0" quotePrefix="0" xfId="0"/>
    <xf numFmtId="168" fontId="7" fillId="6" borderId="1" pivotButton="0" quotePrefix="0" xfId="0"/>
    <xf numFmtId="169" fontId="7" fillId="6" borderId="1" pivotButton="0" quotePrefix="0" xfId="0"/>
    <xf numFmtId="0" fontId="2" fillId="6" borderId="1" pivotButton="0" quotePrefix="0" xfId="0"/>
    <xf numFmtId="0" fontId="2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31" customWidth="1" min="3" max="3"/>
    <col width="19" customWidth="1" min="4" max="4"/>
    <col width="23" customWidth="1" min="5" max="5"/>
    <col width="26" customWidth="1" min="6" max="6"/>
    <col width="28" customWidth="1" min="7" max="7"/>
  </cols>
  <sheetData>
    <row r="1" ht="25" customHeight="1">
      <c r="A1" s="1" t="inlineStr">
        <is>
          <t>CONTINUUM LAB // EL PROBLEMA DE LOS TRES CUERPOS GRAVITATORIO</t>
        </is>
      </c>
    </row>
    <row r="2" ht="18" customHeight="1">
      <c r="A2" s="2" t="inlineStr">
        <is>
          <t>Solución Periódica de Moore-Chenciner (2000), Conservación de Energía y Divergencia Caótica</t>
        </is>
      </c>
    </row>
    <row r="3"/>
    <row r="4" ht="15" customHeight="1">
      <c r="A4" s="3" t="inlineStr">
        <is>
          <t>ENERGÍA TOTAL E</t>
        </is>
      </c>
      <c r="C4" s="3" t="inlineStr">
        <is>
          <t>MOMENTO ANGULAR |L|</t>
        </is>
      </c>
      <c r="E4" s="3" t="inlineStr">
        <is>
          <t>PERÍODO FIGURA-8 T</t>
        </is>
      </c>
      <c r="G4" s="3" t="inlineStr">
        <is>
          <t>EXPONENTE LYAPUNOV</t>
        </is>
      </c>
    </row>
    <row r="5" ht="24" customHeight="1">
      <c r="A5" s="4">
        <f>D18+D19</f>
        <v/>
      </c>
      <c r="C5" s="5" t="inlineStr">
        <is>
          <t>0.0000</t>
        </is>
      </c>
      <c r="E5" s="6" t="inlineStr">
        <is>
          <t>6.3259</t>
        </is>
      </c>
      <c r="G5" s="7" t="inlineStr">
        <is>
          <t>1.6500</t>
        </is>
      </c>
    </row>
    <row r="6"/>
    <row r="7" ht="20" customHeight="1">
      <c r="A7" s="8" t="inlineStr">
        <is>
          <t>1. CONDICIONES INICIALES DE LA COREOGRAFÍA FIGURA-8 (MOORE-CHENCINER)</t>
        </is>
      </c>
    </row>
    <row r="8">
      <c r="A8" s="9" t="inlineStr">
        <is>
          <t>Cuerpo Celeste</t>
        </is>
      </c>
      <c r="B8" s="9" t="inlineStr">
        <is>
          <t>Masa m (kg)</t>
        </is>
      </c>
      <c r="C8" s="9" t="inlineStr">
        <is>
          <t>Posición X₀ (m)</t>
        </is>
      </c>
      <c r="D8" s="9" t="inlineStr">
        <is>
          <t>Posición Y₀ (m)</t>
        </is>
      </c>
      <c r="E8" s="9" t="inlineStr">
        <is>
          <t>Velocidad Vx₀ (m/s)</t>
        </is>
      </c>
      <c r="F8" s="9" t="inlineStr">
        <is>
          <t>Velocidad Vy₀ (m/s)</t>
        </is>
      </c>
      <c r="G8" s="9" t="inlineStr">
        <is>
          <t>Rapidez Inicial v₀ (m/s)</t>
        </is>
      </c>
    </row>
    <row r="9">
      <c r="A9" s="10" t="inlineStr">
        <is>
          <t>Estrella A (Cian)</t>
        </is>
      </c>
      <c r="B9" s="11" t="n">
        <v>1</v>
      </c>
      <c r="C9" s="12" t="n">
        <v>-0.97000436</v>
      </c>
      <c r="D9" s="12" t="n">
        <v>-0.24308753</v>
      </c>
      <c r="E9" s="12" t="n">
        <v>0.46620531</v>
      </c>
      <c r="F9" s="12" t="n">
        <v>0.43236573</v>
      </c>
      <c r="G9" s="13">
        <f>SQRT(E9^2 + F9^2)</f>
        <v/>
      </c>
    </row>
    <row r="10">
      <c r="A10" s="14" t="inlineStr">
        <is>
          <t>Estrella B (Magenta)</t>
        </is>
      </c>
      <c r="B10" s="15" t="n">
        <v>1</v>
      </c>
      <c r="C10" s="16" t="n">
        <v>0.97000436</v>
      </c>
      <c r="D10" s="16" t="n">
        <v>0.24308753</v>
      </c>
      <c r="E10" s="16" t="n">
        <v>0.46620531</v>
      </c>
      <c r="F10" s="16" t="n">
        <v>0.43236573</v>
      </c>
      <c r="G10" s="17">
        <f>SQRT(E10^2 + F10^2)</f>
        <v/>
      </c>
    </row>
    <row r="11">
      <c r="A11" s="10" t="inlineStr">
        <is>
          <t>Estrella C (Ámbar)</t>
        </is>
      </c>
      <c r="B11" s="11" t="n">
        <v>1</v>
      </c>
      <c r="C11" s="12" t="n">
        <v>0</v>
      </c>
      <c r="D11" s="12" t="n">
        <v>0</v>
      </c>
      <c r="E11" s="12">
        <f>-2*E9</f>
        <v/>
      </c>
      <c r="F11" s="12">
        <f>-2*F9</f>
        <v/>
      </c>
      <c r="G11" s="13">
        <f>SQRT(E11^2 + F11^2)</f>
        <v/>
      </c>
    </row>
    <row r="12"/>
    <row r="13"/>
    <row r="14" ht="20" customHeight="1">
      <c r="A14" s="8" t="inlineStr">
        <is>
          <t>2. BALANCE HAMILTONIANO Y CONSTANTES DE MOVIMIENTO (t = 0)</t>
        </is>
      </c>
    </row>
    <row r="15">
      <c r="A15" s="9" t="inlineStr">
        <is>
          <t>Invariante Físico</t>
        </is>
      </c>
      <c r="B15" s="9" t="inlineStr">
        <is>
          <t>Símbolo</t>
        </is>
      </c>
      <c r="C15" s="9" t="inlineStr">
        <is>
          <t>Expresión Analítica</t>
        </is>
      </c>
      <c r="D15" s="9" t="inlineStr">
        <is>
          <t>Valor Calculado</t>
        </is>
      </c>
      <c r="E15" s="9" t="inlineStr">
        <is>
          <t>Unidad</t>
        </is>
      </c>
      <c r="F15" s="9" t="inlineStr">
        <is>
          <t>Estado de Conservación</t>
        </is>
      </c>
    </row>
    <row r="16">
      <c r="A16" s="14" t="inlineStr">
        <is>
          <t>Energía Cinética Total</t>
        </is>
      </c>
      <c r="B16" s="14" t="inlineStr">
        <is>
          <t>T</t>
        </is>
      </c>
      <c r="C16" s="18" t="inlineStr">
        <is>
          <t>0.5 * Σ m_i v_i²</t>
        </is>
      </c>
      <c r="D16" s="17">
        <f>0.5*(B9*G9^2 + B10*G10^2 + B11*G11^2)</f>
        <v/>
      </c>
      <c r="E16" s="14" t="inlineStr">
        <is>
          <t>Joules</t>
        </is>
      </c>
      <c r="F16" s="18" t="inlineStr">
        <is>
          <t>Variable periódica</t>
        </is>
      </c>
    </row>
    <row r="17">
      <c r="A17" s="10" t="inlineStr">
        <is>
          <t>Energía Potencial Gravitatoria</t>
        </is>
      </c>
      <c r="B17" s="10" t="inlineStr">
        <is>
          <t>V</t>
        </is>
      </c>
      <c r="C17" s="19" t="inlineStr">
        <is>
          <t>-Σ G m_i m_j / r_ij</t>
        </is>
      </c>
      <c r="D17" s="13">
        <f>-1*( (B9*B10)/SQRT((C9-C10)^2+(D9-D10)^2) + (B10*B11)/SQRT((C10-C11)^2+(D10-D11)^2) + (B11*B9)/SQRT((C11-C9)^2+(D11-D9)^2) )</f>
        <v/>
      </c>
      <c r="E17" s="10" t="inlineStr">
        <is>
          <t>Joules</t>
        </is>
      </c>
      <c r="F17" s="19" t="inlineStr">
        <is>
          <t>Variable periódica</t>
        </is>
      </c>
    </row>
    <row r="18">
      <c r="A18" s="14" t="inlineStr">
        <is>
          <t>Energía Total (Hamiltoniano)</t>
        </is>
      </c>
      <c r="B18" s="14" t="inlineStr">
        <is>
          <t>E</t>
        </is>
      </c>
      <c r="C18" s="18" t="inlineStr">
        <is>
          <t>T + V</t>
        </is>
      </c>
      <c r="D18" s="17">
        <f>D16+D17</f>
        <v/>
      </c>
      <c r="E18" s="14" t="inlineStr">
        <is>
          <t>Joules</t>
        </is>
      </c>
      <c r="F18" s="18" t="inlineStr">
        <is>
          <t>EXACTAMENTE CONSERVADA</t>
        </is>
      </c>
    </row>
    <row r="19">
      <c r="A19" s="10" t="inlineStr">
        <is>
          <t>Momento Lineal Total Px</t>
        </is>
      </c>
      <c r="B19" s="10" t="inlineStr">
        <is>
          <t>Px</t>
        </is>
      </c>
      <c r="C19" s="19" t="inlineStr">
        <is>
          <t>Σ m_i v_xi</t>
        </is>
      </c>
      <c r="D19" s="13">
        <f>B9*E9 + B10*E10 + B11*E11</f>
        <v/>
      </c>
      <c r="E19" s="10" t="inlineStr">
        <is>
          <t>kg·m/s</t>
        </is>
      </c>
      <c r="F19" s="19">
        <f> 0 (Centro de masa fijo)</f>
        <v/>
      </c>
    </row>
    <row r="20">
      <c r="A20" s="14" t="inlineStr">
        <is>
          <t>Momento Lineal Total Py</t>
        </is>
      </c>
      <c r="B20" s="14" t="inlineStr">
        <is>
          <t>Py</t>
        </is>
      </c>
      <c r="C20" s="18" t="inlineStr">
        <is>
          <t>Σ m_i v_yi</t>
        </is>
      </c>
      <c r="D20" s="17">
        <f>B9*F9 + B10*F10 + B11*F11</f>
        <v/>
      </c>
      <c r="E20" s="14" t="inlineStr">
        <is>
          <t>kg·m/s</t>
        </is>
      </c>
      <c r="F20" s="18">
        <f> 0 (Centro de masa fijo)</f>
        <v/>
      </c>
    </row>
    <row r="21">
      <c r="A21" s="10" t="inlineStr">
        <is>
          <t>Momento Angular Total Lz</t>
        </is>
      </c>
      <c r="B21" s="10" t="inlineStr">
        <is>
          <t>Lz</t>
        </is>
      </c>
      <c r="C21" s="19" t="inlineStr">
        <is>
          <t>Σ m_i (x_i vy_i - y_i vx_i)</t>
        </is>
      </c>
      <c r="D21" s="13">
        <f>B9*(C9*F9 - D9*E9) + B10*(C10*F10 - D10*E10) + B11*(C11*F11 - D11*E11)</f>
        <v/>
      </c>
      <c r="E21" s="10" t="inlineStr">
        <is>
          <t>N·m·s</t>
        </is>
      </c>
      <c r="F21" s="19">
        <f> 0 (Órbita sin rotación neta)</f>
        <v/>
      </c>
    </row>
  </sheetData>
  <mergeCells count="10">
    <mergeCell ref="A4:B4"/>
    <mergeCell ref="E4:F4"/>
    <mergeCell ref="A14:G14"/>
    <mergeCell ref="A1:G1"/>
    <mergeCell ref="C5:D5"/>
    <mergeCell ref="A5:B5"/>
    <mergeCell ref="E5:F5"/>
    <mergeCell ref="A2:G2"/>
    <mergeCell ref="A7:G7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39" customWidth="1" min="2" max="2"/>
    <col width="14" customWidth="1" min="3" max="3"/>
    <col width="48" customWidth="1" min="4" max="4"/>
    <col width="23" customWidth="1" min="5" max="5"/>
    <col width="33" customWidth="1" min="6" max="6"/>
    <col width="32" customWidth="1" min="7" max="7"/>
  </cols>
  <sheetData>
    <row r="1" ht="25" customHeight="1">
      <c r="A1" s="1" t="inlineStr">
        <is>
          <t>TAXONOMÍA COMPARATIVA DE SOLUCIONES PERIÓDICAS DEL PROBLEMA DE 3 CUERPOS</t>
        </is>
      </c>
    </row>
    <row r="2" ht="18" customHeight="1">
      <c r="A2" s="2" t="inlineStr">
        <is>
          <t>Familias de Órbitas Gravitatorias Periódicas Conocidas en la Mecánica Celeste</t>
        </is>
      </c>
    </row>
    <row r="3"/>
    <row r="4">
      <c r="A4" s="9" t="inlineStr">
        <is>
          <t>Familia Orbital</t>
        </is>
      </c>
      <c r="B4" s="9" t="inlineStr">
        <is>
          <t>Descubridor(es)</t>
        </is>
      </c>
      <c r="C4" s="9" t="inlineStr">
        <is>
          <t>Año</t>
        </is>
      </c>
      <c r="D4" s="9" t="inlineStr">
        <is>
          <t>Geometría Orbital</t>
        </is>
      </c>
      <c r="E4" s="9" t="inlineStr">
        <is>
          <t>Momento Angular |L|</t>
        </is>
      </c>
      <c r="F4" s="9" t="inlineStr">
        <is>
          <t>Estabilidad Lineal</t>
        </is>
      </c>
      <c r="G4" s="9" t="inlineStr">
        <is>
          <t>Naturaleza Caótica</t>
        </is>
      </c>
    </row>
    <row r="5">
      <c r="A5" s="10" t="inlineStr">
        <is>
          <t>Colineal de Euler</t>
        </is>
      </c>
      <c r="B5" s="10" t="inlineStr">
        <is>
          <t>Leonhard Euler</t>
        </is>
      </c>
      <c r="C5" s="20" t="n">
        <v>1767</v>
      </c>
      <c r="D5" s="10" t="inlineStr">
        <is>
          <t>3 masas en línea recta rotante</t>
        </is>
      </c>
      <c r="E5" s="20" t="inlineStr">
        <is>
          <t>&gt; 0</t>
        </is>
      </c>
      <c r="F5" s="19" t="inlineStr">
        <is>
          <t>Inestable (Puntos L1, L2, L3)</t>
        </is>
      </c>
      <c r="G5" s="19" t="inlineStr">
        <is>
          <t>Bifurcación hiperbólica</t>
        </is>
      </c>
    </row>
    <row r="6">
      <c r="A6" s="14" t="inlineStr">
        <is>
          <t>Triángulo Equilátero</t>
        </is>
      </c>
      <c r="B6" s="14" t="inlineStr">
        <is>
          <t>Joseph-Louis Lagrange</t>
        </is>
      </c>
      <c r="C6" s="21" t="n">
        <v>1772</v>
      </c>
      <c r="D6" s="14" t="inlineStr">
        <is>
          <t>Triángulo equilátero rotante (Puntos L4, L5)</t>
        </is>
      </c>
      <c r="E6" s="21" t="inlineStr">
        <is>
          <t>&gt; 0</t>
        </is>
      </c>
      <c r="F6" s="18" t="inlineStr">
        <is>
          <t>Estable si m₁ &gt; 24.96*(m₂+m₃)</t>
        </is>
      </c>
      <c r="G6" s="18" t="inlineStr">
        <is>
          <t>Determinista estable</t>
        </is>
      </c>
    </row>
    <row r="7">
      <c r="A7" s="10" t="inlineStr">
        <is>
          <t>Coreografía Figura-8</t>
        </is>
      </c>
      <c r="B7" s="10" t="inlineStr">
        <is>
          <t>Moore (1993) / Chenciner-Montgomery</t>
        </is>
      </c>
      <c r="C7" s="20" t="n">
        <v>2000</v>
      </c>
      <c r="D7" s="10" t="inlineStr">
        <is>
          <t>Trayectoria única en forma de ocho (8)</t>
        </is>
      </c>
      <c r="E7" s="20">
        <f> 0</f>
        <v/>
      </c>
      <c r="F7" s="19" t="inlineStr">
        <is>
          <t>Débilmente inestable</t>
        </is>
      </c>
      <c r="G7" s="19" t="inlineStr">
        <is>
          <t>Sensible a perturbación 10⁻⁵</t>
        </is>
      </c>
    </row>
    <row r="8">
      <c r="A8" s="14" t="inlineStr">
        <is>
          <t>Mariposa (Butterfly)</t>
        </is>
      </c>
      <c r="B8" s="14" t="inlineStr">
        <is>
          <t>Michel Hénon</t>
        </is>
      </c>
      <c r="C8" s="21" t="n">
        <v>1976</v>
      </c>
      <c r="D8" s="14" t="inlineStr">
        <is>
          <t>Lóbulos reflejados en espacio de fases</t>
        </is>
      </c>
      <c r="E8" s="21" t="inlineStr">
        <is>
          <t>&gt; 0</t>
        </is>
      </c>
      <c r="F8" s="18" t="inlineStr">
        <is>
          <t>Inestable</t>
        </is>
      </c>
      <c r="G8" s="18" t="inlineStr">
        <is>
          <t>Dispersión orbital</t>
        </is>
      </c>
    </row>
    <row r="9">
      <c r="A9" s="10" t="inlineStr">
        <is>
          <t>Familia Polilínea</t>
        </is>
      </c>
      <c r="B9" s="10" t="inlineStr">
        <is>
          <t>Šuvakov &amp; Dmitrašinović</t>
        </is>
      </c>
      <c r="C9" s="20" t="n">
        <v>2013</v>
      </c>
      <c r="D9" s="10" t="inlineStr">
        <is>
          <t>13 nuevas familias topológicas de trenzas</t>
        </is>
      </c>
      <c r="E9" s="20">
        <f> 0</f>
        <v/>
      </c>
      <c r="F9" s="19" t="inlineStr">
        <is>
          <t>Inestables</t>
        </is>
      </c>
      <c r="G9" s="19" t="inlineStr">
        <is>
          <t>Caos determinista puro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2026-10-20T02:47:38Z</dcterms:created>
  <dcterms:modified xmlns:dcterms="http://purl.org/dc/terms/" xmlns:xsi="http://www.w3.org/2001/XMLSchema-instance" xsi:type="dcterms:W3CDTF">2026-10-20T02:47:38Z</dcterms:modified>
</cp:coreProperties>
</file>