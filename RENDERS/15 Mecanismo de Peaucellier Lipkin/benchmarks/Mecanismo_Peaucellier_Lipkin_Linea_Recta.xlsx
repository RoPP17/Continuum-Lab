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nematica_Peaucellier_18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00"/>
  </numFmts>
  <fonts count="7">
    <font>
      <name val="Calibri"/>
      <family val="2"/>
      <color theme="1"/>
      <sz val="11"/>
      <scheme val="minor"/>
    </font>
    <font>
      <name val="Consolas"/>
      <b val="1"/>
      <color rgb="0000F0FF"/>
      <sz val="11"/>
    </font>
    <font>
      <name val="Consolas"/>
      <b val="1"/>
      <color rgb="0038BDF8"/>
      <sz val="9"/>
    </font>
    <font>
      <name val="Consolas"/>
      <b val="1"/>
      <color rgb="0000F0FF"/>
      <sz val="10"/>
    </font>
    <font>
      <name val="Consolas"/>
      <color rgb="0094A3B8"/>
      <sz val="9"/>
    </font>
    <font>
      <name val="Consolas"/>
      <color rgb="0000FFA3"/>
      <sz val="9"/>
    </font>
    <font>
      <name val="Consolas"/>
      <color rgb="00E6EDF3"/>
      <sz val="9"/>
    </font>
  </fonts>
  <fills count="7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111827"/>
        <bgColor rgb="00111827"/>
      </patternFill>
    </fill>
    <fill>
      <patternFill patternType="solid">
        <fgColor rgb="000D1117"/>
        <bgColor rgb="000D1117"/>
      </patternFill>
    </fill>
    <fill>
      <patternFill patternType="solid">
        <fgColor rgb="001E293B"/>
        <bgColor rgb="001E293B"/>
      </patternFill>
    </fill>
    <fill>
      <patternFill patternType="solid">
        <fgColor rgb="00161B22"/>
        <bgColor rgb="00161B22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pivotButton="0" quotePrefix="0" xfId="0"/>
    <xf numFmtId="164" fontId="2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3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5" fontId="6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  <xf numFmtId="164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165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showGridLines="1" workbookViewId="0">
      <selection activeCell="A1" sqref="A1"/>
    </sheetView>
  </sheetViews>
  <sheetFormatPr baseColWidth="8" defaultRowHeight="15"/>
  <cols>
    <col width="114" customWidth="1" min="1" max="1"/>
    <col width="18" customWidth="1" min="2" max="2"/>
    <col width="18" customWidth="1" min="3" max="3"/>
    <col width="18" customWidth="1" min="4" max="4"/>
    <col width="30" customWidth="1" min="5" max="5"/>
    <col width="23" customWidth="1" min="6" max="6"/>
    <col width="36" customWidth="1" min="7" max="7"/>
    <col width="17" customWidth="1" min="8" max="8"/>
    <col width="30" customWidth="1" min="9" max="9"/>
    <col width="30" customWidth="1" min="10" max="10"/>
    <col width="18" customWidth="1" min="11" max="11"/>
    <col width="23" customWidth="1" min="12" max="12"/>
    <col width="26" customWidth="1" min="13" max="13"/>
  </cols>
  <sheetData>
    <row r="1" ht="28" customHeight="1">
      <c r="A1" s="1" t="inlineStr">
        <is>
          <t>CONTINUUM LAB | BENCHMARK CINEMÁTICO: MECANISMO DE PEAUCELLIER-LIPKIN (LÍNEA RECTA EXACTA DE 1864)</t>
        </is>
      </c>
    </row>
    <row r="2" ht="20" customHeight="1">
      <c r="A2" s="2" t="inlineStr">
        <is>
          <t>Transformación Geométrica Conforme en el Plano Complejo: OP · OP' = R² - l² = k =&gt; x(t) = k / (2r) = CONSTANTE</t>
        </is>
      </c>
    </row>
    <row r="3"/>
    <row r="4">
      <c r="A4" s="3" t="inlineStr">
        <is>
          <t>PARÁMETROS DEL ESLABONAMIENTO (ESCALA CM)</t>
        </is>
      </c>
    </row>
    <row r="5">
      <c r="A5" s="4" t="inlineStr">
        <is>
          <t>Polo Fijo Inversión x_O1</t>
        </is>
      </c>
      <c r="B5" s="5" t="n">
        <v>-2</v>
      </c>
      <c r="C5" s="4" t="inlineStr">
        <is>
          <t>cm</t>
        </is>
      </c>
    </row>
    <row r="6">
      <c r="A6" s="4" t="inlineStr">
        <is>
          <t>Polo Fijo Inversión y_O1</t>
        </is>
      </c>
      <c r="B6" s="5" t="n">
        <v>0</v>
      </c>
      <c r="C6" s="4" t="inlineStr">
        <is>
          <t>cm</t>
        </is>
      </c>
    </row>
    <row r="7">
      <c r="A7" s="4" t="inlineStr">
        <is>
          <t>Radio Manivela Guía r</t>
        </is>
      </c>
      <c r="B7" s="5" t="n">
        <v>0.85</v>
      </c>
      <c r="C7" s="4" t="inlineStr">
        <is>
          <t>cm</t>
        </is>
      </c>
    </row>
    <row r="8">
      <c r="A8" s="4" t="inlineStr">
        <is>
          <t>Longitud Brazos O1A, O1B (R)</t>
        </is>
      </c>
      <c r="B8" s="5" t="n">
        <v>2.8</v>
      </c>
      <c r="C8" s="4" t="inlineStr">
        <is>
          <t>cm</t>
        </is>
      </c>
    </row>
    <row r="9">
      <c r="A9" s="4" t="inlineStr">
        <is>
          <t>Lado Rombo Articulado l</t>
        </is>
      </c>
      <c r="B9" s="5" t="n">
        <v>1.6</v>
      </c>
      <c r="C9" s="4" t="inlineStr">
        <is>
          <t>cm</t>
        </is>
      </c>
    </row>
    <row r="10">
      <c r="A10" s="4" t="inlineStr">
        <is>
          <t>Potencia de Inversión k</t>
        </is>
      </c>
      <c r="B10" s="6">
        <f>B8^2-B9^2</f>
        <v/>
      </c>
      <c r="C10" s="4" t="inlineStr">
        <is>
          <t>cm²</t>
        </is>
      </c>
    </row>
    <row r="11">
      <c r="A11" s="4" t="inlineStr">
        <is>
          <t>Recta Teórica x_exact</t>
        </is>
      </c>
      <c r="B11" s="6">
        <f>B5+B10/(2*B7)</f>
        <v/>
      </c>
      <c r="C11" s="4" t="inlineStr">
        <is>
          <t>cm</t>
        </is>
      </c>
    </row>
    <row r="12"/>
    <row r="13" ht="24" customHeight="1">
      <c r="A13" s="7" t="inlineStr">
        <is>
          <t>Paso</t>
        </is>
      </c>
      <c r="B13" s="7" t="inlineStr">
        <is>
          <t>Tiempo t [s]</t>
        </is>
      </c>
      <c r="C13" s="7" t="inlineStr">
        <is>
          <t>Ángulo θ [rad]</t>
        </is>
      </c>
      <c r="D13" s="7" t="inlineStr">
        <is>
          <t>Ángulo θ [deg]</t>
        </is>
      </c>
      <c r="E13" s="7" t="inlineStr">
        <is>
          <t>x_P [cm]</t>
        </is>
      </c>
      <c r="F13" s="7" t="inlineStr">
        <is>
          <t>y_P [cm]</t>
        </is>
      </c>
      <c r="G13" s="7" t="inlineStr">
        <is>
          <t>Dist OP [cm]</t>
        </is>
      </c>
      <c r="H13" s="7" t="inlineStr">
        <is>
          <t>Dist OP' [cm]</t>
        </is>
      </c>
      <c r="I13" s="7" t="inlineStr">
        <is>
          <t>x_P' [cm]</t>
        </is>
      </c>
      <c r="J13" s="7" t="inlineStr">
        <is>
          <t>y_P' [cm]</t>
        </is>
      </c>
      <c r="K13" s="7" t="inlineStr">
        <is>
          <t>x_Teórico [cm]</t>
        </is>
      </c>
      <c r="L13" s="7" t="inlineStr">
        <is>
          <t>Error Lineal ε [mm]</t>
        </is>
      </c>
      <c r="M13" s="7" t="inlineStr">
        <is>
          <t>Velocidad vy_P' [cm/s]</t>
        </is>
      </c>
    </row>
    <row r="14">
      <c r="A14" s="8" t="n">
        <v>1</v>
      </c>
      <c r="B14" s="9" t="n">
        <v>0</v>
      </c>
      <c r="C14" s="9" t="n">
        <v>0</v>
      </c>
      <c r="D14" s="8" t="n">
        <v>0</v>
      </c>
      <c r="E14" s="9">
        <f>($B$5+$B$7)+$B$7*COS(C14)</f>
        <v/>
      </c>
      <c r="F14" s="9">
        <f>$B$6+$B$7*SIN(C14)</f>
        <v/>
      </c>
      <c r="G14" s="9">
        <f>SQRT((E14-$B$5)^2+(F14-$B$6)^2)</f>
        <v/>
      </c>
      <c r="H14" s="9">
        <f>$B$10/G14</f>
        <v/>
      </c>
      <c r="I14" s="9">
        <f>$B$5+H14*((E14-$B$5)/G14)</f>
        <v/>
      </c>
      <c r="J14" s="9">
        <f>$B$6+H14*((F14-$B$6)/G14)</f>
        <v/>
      </c>
      <c r="K14" s="9">
        <f>$B$11</f>
        <v/>
      </c>
      <c r="L14" s="10">
        <f>ABS(I14-K14)*10</f>
        <v/>
      </c>
      <c r="M14" s="9">
        <f>(J15-J14)/(B15-B14)</f>
        <v/>
      </c>
    </row>
    <row r="15">
      <c r="A15" s="11" t="n">
        <v>2</v>
      </c>
      <c r="B15" s="12" t="n">
        <v>0.141</v>
      </c>
      <c r="C15" s="12" t="n">
        <v>0.11688</v>
      </c>
      <c r="D15" s="11" t="n">
        <v>6.7</v>
      </c>
      <c r="E15" s="12">
        <f>($B$5+$B$7)+$B$7*COS(C15)</f>
        <v/>
      </c>
      <c r="F15" s="12">
        <f>$B$6+$B$7*SIN(C15)</f>
        <v/>
      </c>
      <c r="G15" s="12">
        <f>SQRT((E15-$B$5)^2+(F15-$B$6)^2)</f>
        <v/>
      </c>
      <c r="H15" s="12">
        <f>$B$10/G15</f>
        <v/>
      </c>
      <c r="I15" s="12">
        <f>$B$5+H15*((E15-$B$5)/G15)</f>
        <v/>
      </c>
      <c r="J15" s="12">
        <f>$B$6+H15*((F15-$B$6)/G15)</f>
        <v/>
      </c>
      <c r="K15" s="12">
        <f>$B$11</f>
        <v/>
      </c>
      <c r="L15" s="13">
        <f>ABS(I15-K15)*10</f>
        <v/>
      </c>
      <c r="M15" s="12">
        <f>(J16-J14)/(B16-B14)</f>
        <v/>
      </c>
    </row>
    <row r="16">
      <c r="A16" s="8" t="n">
        <v>3</v>
      </c>
      <c r="B16" s="9" t="n">
        <v>0.283</v>
      </c>
      <c r="C16" s="9" t="n">
        <v>0.23166</v>
      </c>
      <c r="D16" s="8" t="n">
        <v>13.27</v>
      </c>
      <c r="E16" s="9">
        <f>($B$5+$B$7)+$B$7*COS(C16)</f>
        <v/>
      </c>
      <c r="F16" s="9">
        <f>$B$6+$B$7*SIN(C16)</f>
        <v/>
      </c>
      <c r="G16" s="9">
        <f>SQRT((E16-$B$5)^2+(F16-$B$6)^2)</f>
        <v/>
      </c>
      <c r="H16" s="9">
        <f>$B$10/G16</f>
        <v/>
      </c>
      <c r="I16" s="9">
        <f>$B$5+H16*((E16-$B$5)/G16)</f>
        <v/>
      </c>
      <c r="J16" s="9">
        <f>$B$6+H16*((F16-$B$6)/G16)</f>
        <v/>
      </c>
      <c r="K16" s="9">
        <f>$B$11</f>
        <v/>
      </c>
      <c r="L16" s="10">
        <f>ABS(I16-K16)*10</f>
        <v/>
      </c>
      <c r="M16" s="9">
        <f>(J17-J15)/(B17-B15)</f>
        <v/>
      </c>
    </row>
    <row r="17">
      <c r="A17" s="11" t="n">
        <v>4</v>
      </c>
      <c r="B17" s="12" t="n">
        <v>0.424</v>
      </c>
      <c r="C17" s="12" t="n">
        <v>0.34227</v>
      </c>
      <c r="D17" s="11" t="n">
        <v>19.61</v>
      </c>
      <c r="E17" s="12">
        <f>($B$5+$B$7)+$B$7*COS(C17)</f>
        <v/>
      </c>
      <c r="F17" s="12">
        <f>$B$6+$B$7*SIN(C17)</f>
        <v/>
      </c>
      <c r="G17" s="12">
        <f>SQRT((E17-$B$5)^2+(F17-$B$6)^2)</f>
        <v/>
      </c>
      <c r="H17" s="12">
        <f>$B$10/G17</f>
        <v/>
      </c>
      <c r="I17" s="12">
        <f>$B$5+H17*((E17-$B$5)/G17)</f>
        <v/>
      </c>
      <c r="J17" s="12">
        <f>$B$6+H17*((F17-$B$6)/G17)</f>
        <v/>
      </c>
      <c r="K17" s="12">
        <f>$B$11</f>
        <v/>
      </c>
      <c r="L17" s="13">
        <f>ABS(I17-K17)*10</f>
        <v/>
      </c>
      <c r="M17" s="12">
        <f>(J18-J16)/(B18-B16)</f>
        <v/>
      </c>
    </row>
    <row r="18">
      <c r="A18" s="8" t="n">
        <v>5</v>
      </c>
      <c r="B18" s="9" t="n">
        <v>0.5659999999999999</v>
      </c>
      <c r="C18" s="9" t="n">
        <v>0.4467</v>
      </c>
      <c r="D18" s="8" t="n">
        <v>25.59</v>
      </c>
      <c r="E18" s="9">
        <f>($B$5+$B$7)+$B$7*COS(C18)</f>
        <v/>
      </c>
      <c r="F18" s="9">
        <f>$B$6+$B$7*SIN(C18)</f>
        <v/>
      </c>
      <c r="G18" s="9">
        <f>SQRT((E18-$B$5)^2+(F18-$B$6)^2)</f>
        <v/>
      </c>
      <c r="H18" s="9">
        <f>$B$10/G18</f>
        <v/>
      </c>
      <c r="I18" s="9">
        <f>$B$5+H18*((E18-$B$5)/G18)</f>
        <v/>
      </c>
      <c r="J18" s="9">
        <f>$B$6+H18*((F18-$B$6)/G18)</f>
        <v/>
      </c>
      <c r="K18" s="9">
        <f>$B$11</f>
        <v/>
      </c>
      <c r="L18" s="10">
        <f>ABS(I18-K18)*10</f>
        <v/>
      </c>
      <c r="M18" s="9">
        <f>(J19-J17)/(B19-B17)</f>
        <v/>
      </c>
    </row>
    <row r="19">
      <c r="A19" s="11" t="n">
        <v>6</v>
      </c>
      <c r="B19" s="12" t="n">
        <v>0.707</v>
      </c>
      <c r="C19" s="12" t="n">
        <v>0.54309</v>
      </c>
      <c r="D19" s="11" t="n">
        <v>31.12</v>
      </c>
      <c r="E19" s="12">
        <f>($B$5+$B$7)+$B$7*COS(C19)</f>
        <v/>
      </c>
      <c r="F19" s="12">
        <f>$B$6+$B$7*SIN(C19)</f>
        <v/>
      </c>
      <c r="G19" s="12">
        <f>SQRT((E19-$B$5)^2+(F19-$B$6)^2)</f>
        <v/>
      </c>
      <c r="H19" s="12">
        <f>$B$10/G19</f>
        <v/>
      </c>
      <c r="I19" s="12">
        <f>$B$5+H19*((E19-$B$5)/G19)</f>
        <v/>
      </c>
      <c r="J19" s="12">
        <f>$B$6+H19*((F19-$B$6)/G19)</f>
        <v/>
      </c>
      <c r="K19" s="12">
        <f>$B$11</f>
        <v/>
      </c>
      <c r="L19" s="13">
        <f>ABS(I19-K19)*10</f>
        <v/>
      </c>
      <c r="M19" s="12">
        <f>(J20-J18)/(B20-B18)</f>
        <v/>
      </c>
    </row>
    <row r="20">
      <c r="A20" s="8" t="n">
        <v>7</v>
      </c>
      <c r="B20" s="9" t="n">
        <v>0.848</v>
      </c>
      <c r="C20" s="9" t="n">
        <v>0.62968</v>
      </c>
      <c r="D20" s="8" t="n">
        <v>36.08</v>
      </c>
      <c r="E20" s="9">
        <f>($B$5+$B$7)+$B$7*COS(C20)</f>
        <v/>
      </c>
      <c r="F20" s="9">
        <f>$B$6+$B$7*SIN(C20)</f>
        <v/>
      </c>
      <c r="G20" s="9">
        <f>SQRT((E20-$B$5)^2+(F20-$B$6)^2)</f>
        <v/>
      </c>
      <c r="H20" s="9">
        <f>$B$10/G20</f>
        <v/>
      </c>
      <c r="I20" s="9">
        <f>$B$5+H20*((E20-$B$5)/G20)</f>
        <v/>
      </c>
      <c r="J20" s="9">
        <f>$B$6+H20*((F20-$B$6)/G20)</f>
        <v/>
      </c>
      <c r="K20" s="9">
        <f>$B$11</f>
        <v/>
      </c>
      <c r="L20" s="10">
        <f>ABS(I20-K20)*10</f>
        <v/>
      </c>
      <c r="M20" s="9">
        <f>(J21-J19)/(B21-B19)</f>
        <v/>
      </c>
    </row>
    <row r="21">
      <c r="A21" s="11" t="n">
        <v>8</v>
      </c>
      <c r="B21" s="12" t="n">
        <v>0.99</v>
      </c>
      <c r="C21" s="12" t="n">
        <v>0.70494</v>
      </c>
      <c r="D21" s="11" t="n">
        <v>40.39</v>
      </c>
      <c r="E21" s="12">
        <f>($B$5+$B$7)+$B$7*COS(C21)</f>
        <v/>
      </c>
      <c r="F21" s="12">
        <f>$B$6+$B$7*SIN(C21)</f>
        <v/>
      </c>
      <c r="G21" s="12">
        <f>SQRT((E21-$B$5)^2+(F21-$B$6)^2)</f>
        <v/>
      </c>
      <c r="H21" s="12">
        <f>$B$10/G21</f>
        <v/>
      </c>
      <c r="I21" s="12">
        <f>$B$5+H21*((E21-$B$5)/G21)</f>
        <v/>
      </c>
      <c r="J21" s="12">
        <f>$B$6+H21*((F21-$B$6)/G21)</f>
        <v/>
      </c>
      <c r="K21" s="12">
        <f>$B$11</f>
        <v/>
      </c>
      <c r="L21" s="13">
        <f>ABS(I21-K21)*10</f>
        <v/>
      </c>
      <c r="M21" s="12">
        <f>(J22-J20)/(B22-B20)</f>
        <v/>
      </c>
    </row>
    <row r="22">
      <c r="A22" s="8" t="n">
        <v>9</v>
      </c>
      <c r="B22" s="9" t="n">
        <v>1.131</v>
      </c>
      <c r="C22" s="9" t="n">
        <v>0.7674800000000001</v>
      </c>
      <c r="D22" s="8" t="n">
        <v>43.97</v>
      </c>
      <c r="E22" s="9">
        <f>($B$5+$B$7)+$B$7*COS(C22)</f>
        <v/>
      </c>
      <c r="F22" s="9">
        <f>$B$6+$B$7*SIN(C22)</f>
        <v/>
      </c>
      <c r="G22" s="9">
        <f>SQRT((E22-$B$5)^2+(F22-$B$6)^2)</f>
        <v/>
      </c>
      <c r="H22" s="9">
        <f>$B$10/G22</f>
        <v/>
      </c>
      <c r="I22" s="9">
        <f>$B$5+H22*((E22-$B$5)/G22)</f>
        <v/>
      </c>
      <c r="J22" s="9">
        <f>$B$6+H22*((F22-$B$6)/G22)</f>
        <v/>
      </c>
      <c r="K22" s="9">
        <f>$B$11</f>
        <v/>
      </c>
      <c r="L22" s="10">
        <f>ABS(I22-K22)*10</f>
        <v/>
      </c>
      <c r="M22" s="9">
        <f>(J23-J21)/(B23-B21)</f>
        <v/>
      </c>
    </row>
    <row r="23">
      <c r="A23" s="11" t="n">
        <v>10</v>
      </c>
      <c r="B23" s="12" t="n">
        <v>1.273</v>
      </c>
      <c r="C23" s="12" t="n">
        <v>0.8162</v>
      </c>
      <c r="D23" s="11" t="n">
        <v>46.76</v>
      </c>
      <c r="E23" s="12">
        <f>($B$5+$B$7)+$B$7*COS(C23)</f>
        <v/>
      </c>
      <c r="F23" s="12">
        <f>$B$6+$B$7*SIN(C23)</f>
        <v/>
      </c>
      <c r="G23" s="12">
        <f>SQRT((E23-$B$5)^2+(F23-$B$6)^2)</f>
        <v/>
      </c>
      <c r="H23" s="12">
        <f>$B$10/G23</f>
        <v/>
      </c>
      <c r="I23" s="12">
        <f>$B$5+H23*((E23-$B$5)/G23)</f>
        <v/>
      </c>
      <c r="J23" s="12">
        <f>$B$6+H23*((F23-$B$6)/G23)</f>
        <v/>
      </c>
      <c r="K23" s="12">
        <f>$B$11</f>
        <v/>
      </c>
      <c r="L23" s="13">
        <f>ABS(I23-K23)*10</f>
        <v/>
      </c>
      <c r="M23" s="12">
        <f>(J24-J22)/(B24-B22)</f>
        <v/>
      </c>
    </row>
    <row r="24">
      <c r="A24" s="8" t="n">
        <v>11</v>
      </c>
      <c r="B24" s="9" t="n">
        <v>1.414</v>
      </c>
      <c r="C24" s="9" t="n">
        <v>0.85021</v>
      </c>
      <c r="D24" s="8" t="n">
        <v>48.71</v>
      </c>
      <c r="E24" s="9">
        <f>($B$5+$B$7)+$B$7*COS(C24)</f>
        <v/>
      </c>
      <c r="F24" s="9">
        <f>$B$6+$B$7*SIN(C24)</f>
        <v/>
      </c>
      <c r="G24" s="9">
        <f>SQRT((E24-$B$5)^2+(F24-$B$6)^2)</f>
        <v/>
      </c>
      <c r="H24" s="9">
        <f>$B$10/G24</f>
        <v/>
      </c>
      <c r="I24" s="9">
        <f>$B$5+H24*((E24-$B$5)/G24)</f>
        <v/>
      </c>
      <c r="J24" s="9">
        <f>$B$6+H24*((F24-$B$6)/G24)</f>
        <v/>
      </c>
      <c r="K24" s="9">
        <f>$B$11</f>
        <v/>
      </c>
      <c r="L24" s="10">
        <f>ABS(I24-K24)*10</f>
        <v/>
      </c>
      <c r="M24" s="9">
        <f>(J25-J23)/(B25-B23)</f>
        <v/>
      </c>
    </row>
    <row r="25">
      <c r="A25" s="11" t="n">
        <v>12</v>
      </c>
      <c r="B25" s="12" t="n">
        <v>1.556</v>
      </c>
      <c r="C25" s="12" t="n">
        <v>0.8688900000000001</v>
      </c>
      <c r="D25" s="11" t="n">
        <v>49.78</v>
      </c>
      <c r="E25" s="12">
        <f>($B$5+$B$7)+$B$7*COS(C25)</f>
        <v/>
      </c>
      <c r="F25" s="12">
        <f>$B$6+$B$7*SIN(C25)</f>
        <v/>
      </c>
      <c r="G25" s="12">
        <f>SQRT((E25-$B$5)^2+(F25-$B$6)^2)</f>
        <v/>
      </c>
      <c r="H25" s="12">
        <f>$B$10/G25</f>
        <v/>
      </c>
      <c r="I25" s="12">
        <f>$B$5+H25*((E25-$B$5)/G25)</f>
        <v/>
      </c>
      <c r="J25" s="12">
        <f>$B$6+H25*((F25-$B$6)/G25)</f>
        <v/>
      </c>
      <c r="K25" s="12">
        <f>$B$11</f>
        <v/>
      </c>
      <c r="L25" s="13">
        <f>ABS(I25-K25)*10</f>
        <v/>
      </c>
      <c r="M25" s="12">
        <f>(J26-J24)/(B26-B24)</f>
        <v/>
      </c>
    </row>
    <row r="26">
      <c r="A26" s="8" t="n">
        <v>13</v>
      </c>
      <c r="B26" s="9" t="n">
        <v>1.697</v>
      </c>
      <c r="C26" s="9" t="n">
        <v>0.87192</v>
      </c>
      <c r="D26" s="8" t="n">
        <v>49.96</v>
      </c>
      <c r="E26" s="9">
        <f>($B$5+$B$7)+$B$7*COS(C26)</f>
        <v/>
      </c>
      <c r="F26" s="9">
        <f>$B$6+$B$7*SIN(C26)</f>
        <v/>
      </c>
      <c r="G26" s="9">
        <f>SQRT((E26-$B$5)^2+(F26-$B$6)^2)</f>
        <v/>
      </c>
      <c r="H26" s="9">
        <f>$B$10/G26</f>
        <v/>
      </c>
      <c r="I26" s="9">
        <f>$B$5+H26*((E26-$B$5)/G26)</f>
        <v/>
      </c>
      <c r="J26" s="9">
        <f>$B$6+H26*((F26-$B$6)/G26)</f>
        <v/>
      </c>
      <c r="K26" s="9">
        <f>$B$11</f>
        <v/>
      </c>
      <c r="L26" s="10">
        <f>ABS(I26-K26)*10</f>
        <v/>
      </c>
      <c r="M26" s="9">
        <f>(J27-J25)/(B27-B25)</f>
        <v/>
      </c>
    </row>
    <row r="27">
      <c r="A27" s="11" t="n">
        <v>14</v>
      </c>
      <c r="B27" s="12" t="n">
        <v>1.838</v>
      </c>
      <c r="C27" s="12" t="n">
        <v>0.85923</v>
      </c>
      <c r="D27" s="11" t="n">
        <v>49.23</v>
      </c>
      <c r="E27" s="12">
        <f>($B$5+$B$7)+$B$7*COS(C27)</f>
        <v/>
      </c>
      <c r="F27" s="12">
        <f>$B$6+$B$7*SIN(C27)</f>
        <v/>
      </c>
      <c r="G27" s="12">
        <f>SQRT((E27-$B$5)^2+(F27-$B$6)^2)</f>
        <v/>
      </c>
      <c r="H27" s="12">
        <f>$B$10/G27</f>
        <v/>
      </c>
      <c r="I27" s="12">
        <f>$B$5+H27*((E27-$B$5)/G27)</f>
        <v/>
      </c>
      <c r="J27" s="12">
        <f>$B$6+H27*((F27-$B$6)/G27)</f>
        <v/>
      </c>
      <c r="K27" s="12">
        <f>$B$11</f>
        <v/>
      </c>
      <c r="L27" s="13">
        <f>ABS(I27-K27)*10</f>
        <v/>
      </c>
      <c r="M27" s="12">
        <f>(J28-J26)/(B28-B26)</f>
        <v/>
      </c>
    </row>
    <row r="28">
      <c r="A28" s="8" t="n">
        <v>15</v>
      </c>
      <c r="B28" s="9" t="n">
        <v>1.98</v>
      </c>
      <c r="C28" s="9" t="n">
        <v>0.83106</v>
      </c>
      <c r="D28" s="8" t="n">
        <v>47.62</v>
      </c>
      <c r="E28" s="9">
        <f>($B$5+$B$7)+$B$7*COS(C28)</f>
        <v/>
      </c>
      <c r="F28" s="9">
        <f>$B$6+$B$7*SIN(C28)</f>
        <v/>
      </c>
      <c r="G28" s="9">
        <f>SQRT((E28-$B$5)^2+(F28-$B$6)^2)</f>
        <v/>
      </c>
      <c r="H28" s="9">
        <f>$B$10/G28</f>
        <v/>
      </c>
      <c r="I28" s="9">
        <f>$B$5+H28*((E28-$B$5)/G28)</f>
        <v/>
      </c>
      <c r="J28" s="9">
        <f>$B$6+H28*((F28-$B$6)/G28)</f>
        <v/>
      </c>
      <c r="K28" s="9">
        <f>$B$11</f>
        <v/>
      </c>
      <c r="L28" s="10">
        <f>ABS(I28-K28)*10</f>
        <v/>
      </c>
      <c r="M28" s="9">
        <f>(J29-J27)/(B29-B27)</f>
        <v/>
      </c>
    </row>
    <row r="29">
      <c r="A29" s="11" t="n">
        <v>16</v>
      </c>
      <c r="B29" s="12" t="n">
        <v>2.121</v>
      </c>
      <c r="C29" s="12" t="n">
        <v>0.78792</v>
      </c>
      <c r="D29" s="11" t="n">
        <v>45.14</v>
      </c>
      <c r="E29" s="12">
        <f>($B$5+$B$7)+$B$7*COS(C29)</f>
        <v/>
      </c>
      <c r="F29" s="12">
        <f>$B$6+$B$7*SIN(C29)</f>
        <v/>
      </c>
      <c r="G29" s="12">
        <f>SQRT((E29-$B$5)^2+(F29-$B$6)^2)</f>
        <v/>
      </c>
      <c r="H29" s="12">
        <f>$B$10/G29</f>
        <v/>
      </c>
      <c r="I29" s="12">
        <f>$B$5+H29*((E29-$B$5)/G29)</f>
        <v/>
      </c>
      <c r="J29" s="12">
        <f>$B$6+H29*((F29-$B$6)/G29)</f>
        <v/>
      </c>
      <c r="K29" s="12">
        <f>$B$11</f>
        <v/>
      </c>
      <c r="L29" s="13">
        <f>ABS(I29-K29)*10</f>
        <v/>
      </c>
      <c r="M29" s="12">
        <f>(J30-J28)/(B30-B28)</f>
        <v/>
      </c>
    </row>
    <row r="30">
      <c r="A30" s="8" t="n">
        <v>17</v>
      </c>
      <c r="B30" s="9" t="n">
        <v>2.263</v>
      </c>
      <c r="C30" s="9" t="n">
        <v>0.7305700000000001</v>
      </c>
      <c r="D30" s="8" t="n">
        <v>41.86</v>
      </c>
      <c r="E30" s="9">
        <f>($B$5+$B$7)+$B$7*COS(C30)</f>
        <v/>
      </c>
      <c r="F30" s="9">
        <f>$B$6+$B$7*SIN(C30)</f>
        <v/>
      </c>
      <c r="G30" s="9">
        <f>SQRT((E30-$B$5)^2+(F30-$B$6)^2)</f>
        <v/>
      </c>
      <c r="H30" s="9">
        <f>$B$10/G30</f>
        <v/>
      </c>
      <c r="I30" s="9">
        <f>$B$5+H30*((E30-$B$5)/G30)</f>
        <v/>
      </c>
      <c r="J30" s="9">
        <f>$B$6+H30*((F30-$B$6)/G30)</f>
        <v/>
      </c>
      <c r="K30" s="9">
        <f>$B$11</f>
        <v/>
      </c>
      <c r="L30" s="10">
        <f>ABS(I30-K30)*10</f>
        <v/>
      </c>
      <c r="M30" s="9">
        <f>(J31-J29)/(B31-B29)</f>
        <v/>
      </c>
    </row>
    <row r="31">
      <c r="A31" s="11" t="n">
        <v>18</v>
      </c>
      <c r="B31" s="12" t="n">
        <v>2.404</v>
      </c>
      <c r="C31" s="12" t="n">
        <v>0.66006</v>
      </c>
      <c r="D31" s="11" t="n">
        <v>37.82</v>
      </c>
      <c r="E31" s="12">
        <f>($B$5+$B$7)+$B$7*COS(C31)</f>
        <v/>
      </c>
      <c r="F31" s="12">
        <f>$B$6+$B$7*SIN(C31)</f>
        <v/>
      </c>
      <c r="G31" s="12">
        <f>SQRT((E31-$B$5)^2+(F31-$B$6)^2)</f>
        <v/>
      </c>
      <c r="H31" s="12">
        <f>$B$10/G31</f>
        <v/>
      </c>
      <c r="I31" s="12">
        <f>$B$5+H31*((E31-$B$5)/G31)</f>
        <v/>
      </c>
      <c r="J31" s="12">
        <f>$B$6+H31*((F31-$B$6)/G31)</f>
        <v/>
      </c>
      <c r="K31" s="12">
        <f>$B$11</f>
        <v/>
      </c>
      <c r="L31" s="13">
        <f>ABS(I31-K31)*10</f>
        <v/>
      </c>
      <c r="M31" s="12">
        <f>(J32-J30)/(B32-B30)</f>
        <v/>
      </c>
    </row>
    <row r="32">
      <c r="A32" s="8" t="n">
        <v>19</v>
      </c>
      <c r="B32" s="9" t="n">
        <v>2.545</v>
      </c>
      <c r="C32" s="9" t="n">
        <v>0.57766</v>
      </c>
      <c r="D32" s="8" t="n">
        <v>33.1</v>
      </c>
      <c r="E32" s="9">
        <f>($B$5+$B$7)+$B$7*COS(C32)</f>
        <v/>
      </c>
      <c r="F32" s="9">
        <f>$B$6+$B$7*SIN(C32)</f>
        <v/>
      </c>
      <c r="G32" s="9">
        <f>SQRT((E32-$B$5)^2+(F32-$B$6)^2)</f>
        <v/>
      </c>
      <c r="H32" s="9">
        <f>$B$10/G32</f>
        <v/>
      </c>
      <c r="I32" s="9">
        <f>$B$5+H32*((E32-$B$5)/G32)</f>
        <v/>
      </c>
      <c r="J32" s="9">
        <f>$B$6+H32*((F32-$B$6)/G32)</f>
        <v/>
      </c>
      <c r="K32" s="9">
        <f>$B$11</f>
        <v/>
      </c>
      <c r="L32" s="10">
        <f>ABS(I32-K32)*10</f>
        <v/>
      </c>
      <c r="M32" s="9">
        <f>(J33-J31)/(B33-B31)</f>
        <v/>
      </c>
    </row>
    <row r="33">
      <c r="A33" s="11" t="n">
        <v>20</v>
      </c>
      <c r="B33" s="12" t="n">
        <v>2.687</v>
      </c>
      <c r="C33" s="12" t="n">
        <v>0.48484</v>
      </c>
      <c r="D33" s="11" t="n">
        <v>27.78</v>
      </c>
      <c r="E33" s="12">
        <f>($B$5+$B$7)+$B$7*COS(C33)</f>
        <v/>
      </c>
      <c r="F33" s="12">
        <f>$B$6+$B$7*SIN(C33)</f>
        <v/>
      </c>
      <c r="G33" s="12">
        <f>SQRT((E33-$B$5)^2+(F33-$B$6)^2)</f>
        <v/>
      </c>
      <c r="H33" s="12">
        <f>$B$10/G33</f>
        <v/>
      </c>
      <c r="I33" s="12">
        <f>$B$5+H33*((E33-$B$5)/G33)</f>
        <v/>
      </c>
      <c r="J33" s="12">
        <f>$B$6+H33*((F33-$B$6)/G33)</f>
        <v/>
      </c>
      <c r="K33" s="12">
        <f>$B$11</f>
        <v/>
      </c>
      <c r="L33" s="13">
        <f>ABS(I33-K33)*10</f>
        <v/>
      </c>
      <c r="M33" s="12">
        <f>(J34-J32)/(B34-B32)</f>
        <v/>
      </c>
    </row>
    <row r="34">
      <c r="A34" s="8" t="n">
        <v>21</v>
      </c>
      <c r="B34" s="9" t="n">
        <v>2.828</v>
      </c>
      <c r="C34" s="9" t="n">
        <v>0.38329</v>
      </c>
      <c r="D34" s="8" t="n">
        <v>21.96</v>
      </c>
      <c r="E34" s="9">
        <f>($B$5+$B$7)+$B$7*COS(C34)</f>
        <v/>
      </c>
      <c r="F34" s="9">
        <f>$B$6+$B$7*SIN(C34)</f>
        <v/>
      </c>
      <c r="G34" s="9">
        <f>SQRT((E34-$B$5)^2+(F34-$B$6)^2)</f>
        <v/>
      </c>
      <c r="H34" s="9">
        <f>$B$10/G34</f>
        <v/>
      </c>
      <c r="I34" s="9">
        <f>$B$5+H34*((E34-$B$5)/G34)</f>
        <v/>
      </c>
      <c r="J34" s="9">
        <f>$B$6+H34*((F34-$B$6)/G34)</f>
        <v/>
      </c>
      <c r="K34" s="9">
        <f>$B$11</f>
        <v/>
      </c>
      <c r="L34" s="10">
        <f>ABS(I34-K34)*10</f>
        <v/>
      </c>
      <c r="M34" s="9">
        <f>(J35-J33)/(B35-B33)</f>
        <v/>
      </c>
    </row>
    <row r="35">
      <c r="A35" s="11" t="n">
        <v>22</v>
      </c>
      <c r="B35" s="12" t="n">
        <v>2.97</v>
      </c>
      <c r="C35" s="12" t="n">
        <v>0.27483</v>
      </c>
      <c r="D35" s="11" t="n">
        <v>15.75</v>
      </c>
      <c r="E35" s="12">
        <f>($B$5+$B$7)+$B$7*COS(C35)</f>
        <v/>
      </c>
      <c r="F35" s="12">
        <f>$B$6+$B$7*SIN(C35)</f>
        <v/>
      </c>
      <c r="G35" s="12">
        <f>SQRT((E35-$B$5)^2+(F35-$B$6)^2)</f>
        <v/>
      </c>
      <c r="H35" s="12">
        <f>$B$10/G35</f>
        <v/>
      </c>
      <c r="I35" s="12">
        <f>$B$5+H35*((E35-$B$5)/G35)</f>
        <v/>
      </c>
      <c r="J35" s="12">
        <f>$B$6+H35*((F35-$B$6)/G35)</f>
        <v/>
      </c>
      <c r="K35" s="12">
        <f>$B$11</f>
        <v/>
      </c>
      <c r="L35" s="13">
        <f>ABS(I35-K35)*10</f>
        <v/>
      </c>
      <c r="M35" s="12">
        <f>(J36-J34)/(B36-B34)</f>
        <v/>
      </c>
    </row>
    <row r="36">
      <c r="A36" s="8" t="n">
        <v>23</v>
      </c>
      <c r="B36" s="9" t="n">
        <v>3.111</v>
      </c>
      <c r="C36" s="9" t="n">
        <v>0.16141</v>
      </c>
      <c r="D36" s="8" t="n">
        <v>9.25</v>
      </c>
      <c r="E36" s="9">
        <f>($B$5+$B$7)+$B$7*COS(C36)</f>
        <v/>
      </c>
      <c r="F36" s="9">
        <f>$B$6+$B$7*SIN(C36)</f>
        <v/>
      </c>
      <c r="G36" s="9">
        <f>SQRT((E36-$B$5)^2+(F36-$B$6)^2)</f>
        <v/>
      </c>
      <c r="H36" s="9">
        <f>$B$10/G36</f>
        <v/>
      </c>
      <c r="I36" s="9">
        <f>$B$5+H36*((E36-$B$5)/G36)</f>
        <v/>
      </c>
      <c r="J36" s="9">
        <f>$B$6+H36*((F36-$B$6)/G36)</f>
        <v/>
      </c>
      <c r="K36" s="9">
        <f>$B$11</f>
        <v/>
      </c>
      <c r="L36" s="10">
        <f>ABS(I36-K36)*10</f>
        <v/>
      </c>
      <c r="M36" s="9">
        <f>(J37-J35)/(B37-B35)</f>
        <v/>
      </c>
    </row>
    <row r="37">
      <c r="A37" s="11" t="n">
        <v>24</v>
      </c>
      <c r="B37" s="12" t="n">
        <v>3.253</v>
      </c>
      <c r="C37" s="12" t="n">
        <v>0.04509</v>
      </c>
      <c r="D37" s="11" t="n">
        <v>2.58</v>
      </c>
      <c r="E37" s="12">
        <f>($B$5+$B$7)+$B$7*COS(C37)</f>
        <v/>
      </c>
      <c r="F37" s="12">
        <f>$B$6+$B$7*SIN(C37)</f>
        <v/>
      </c>
      <c r="G37" s="12">
        <f>SQRT((E37-$B$5)^2+(F37-$B$6)^2)</f>
        <v/>
      </c>
      <c r="H37" s="12">
        <f>$B$10/G37</f>
        <v/>
      </c>
      <c r="I37" s="12">
        <f>$B$5+H37*((E37-$B$5)/G37)</f>
        <v/>
      </c>
      <c r="J37" s="12">
        <f>$B$6+H37*((F37-$B$6)/G37)</f>
        <v/>
      </c>
      <c r="K37" s="12">
        <f>$B$11</f>
        <v/>
      </c>
      <c r="L37" s="13">
        <f>ABS(I37-K37)*10</f>
        <v/>
      </c>
      <c r="M37" s="12">
        <f>(J38-J36)/(B38-B36)</f>
        <v/>
      </c>
    </row>
    <row r="38">
      <c r="A38" s="8" t="n">
        <v>25</v>
      </c>
      <c r="B38" s="9" t="n">
        <v>3.394</v>
      </c>
      <c r="C38" s="9" t="n">
        <v>-0.07204000000000001</v>
      </c>
      <c r="D38" s="8" t="n">
        <v>-4.13</v>
      </c>
      <c r="E38" s="9">
        <f>($B$5+$B$7)+$B$7*COS(C38)</f>
        <v/>
      </c>
      <c r="F38" s="9">
        <f>$B$6+$B$7*SIN(C38)</f>
        <v/>
      </c>
      <c r="G38" s="9">
        <f>SQRT((E38-$B$5)^2+(F38-$B$6)^2)</f>
        <v/>
      </c>
      <c r="H38" s="9">
        <f>$B$10/G38</f>
        <v/>
      </c>
      <c r="I38" s="9">
        <f>$B$5+H38*((E38-$B$5)/G38)</f>
        <v/>
      </c>
      <c r="J38" s="9">
        <f>$B$6+H38*((F38-$B$6)/G38)</f>
        <v/>
      </c>
      <c r="K38" s="9">
        <f>$B$11</f>
        <v/>
      </c>
      <c r="L38" s="10">
        <f>ABS(I38-K38)*10</f>
        <v/>
      </c>
      <c r="M38" s="9">
        <f>(J39-J37)/(B39-B37)</f>
        <v/>
      </c>
    </row>
    <row r="39">
      <c r="A39" s="11" t="n">
        <v>26</v>
      </c>
      <c r="B39" s="12" t="n">
        <v>3.535</v>
      </c>
      <c r="C39" s="12" t="n">
        <v>-0.18788</v>
      </c>
      <c r="D39" s="11" t="n">
        <v>-10.76</v>
      </c>
      <c r="E39" s="12">
        <f>($B$5+$B$7)+$B$7*COS(C39)</f>
        <v/>
      </c>
      <c r="F39" s="12">
        <f>$B$6+$B$7*SIN(C39)</f>
        <v/>
      </c>
      <c r="G39" s="12">
        <f>SQRT((E39-$B$5)^2+(F39-$B$6)^2)</f>
        <v/>
      </c>
      <c r="H39" s="12">
        <f>$B$10/G39</f>
        <v/>
      </c>
      <c r="I39" s="12">
        <f>$B$5+H39*((E39-$B$5)/G39)</f>
        <v/>
      </c>
      <c r="J39" s="12">
        <f>$B$6+H39*((F39-$B$6)/G39)</f>
        <v/>
      </c>
      <c r="K39" s="12">
        <f>$B$11</f>
        <v/>
      </c>
      <c r="L39" s="13">
        <f>ABS(I39-K39)*10</f>
        <v/>
      </c>
      <c r="M39" s="12">
        <f>(J40-J38)/(B40-B38)</f>
        <v/>
      </c>
    </row>
    <row r="40">
      <c r="A40" s="8" t="n">
        <v>27</v>
      </c>
      <c r="B40" s="9" t="n">
        <v>3.677</v>
      </c>
      <c r="C40" s="9" t="n">
        <v>-0.30033</v>
      </c>
      <c r="D40" s="8" t="n">
        <v>-17.21</v>
      </c>
      <c r="E40" s="9">
        <f>($B$5+$B$7)+$B$7*COS(C40)</f>
        <v/>
      </c>
      <c r="F40" s="9">
        <f>$B$6+$B$7*SIN(C40)</f>
        <v/>
      </c>
      <c r="G40" s="9">
        <f>SQRT((E40-$B$5)^2+(F40-$B$6)^2)</f>
        <v/>
      </c>
      <c r="H40" s="9">
        <f>$B$10/G40</f>
        <v/>
      </c>
      <c r="I40" s="9">
        <f>$B$5+H40*((E40-$B$5)/G40)</f>
        <v/>
      </c>
      <c r="J40" s="9">
        <f>$B$6+H40*((F40-$B$6)/G40)</f>
        <v/>
      </c>
      <c r="K40" s="9">
        <f>$B$11</f>
        <v/>
      </c>
      <c r="L40" s="10">
        <f>ABS(I40-K40)*10</f>
        <v/>
      </c>
      <c r="M40" s="9">
        <f>(J41-J39)/(B41-B39)</f>
        <v/>
      </c>
    </row>
    <row r="41">
      <c r="A41" s="11" t="n">
        <v>28</v>
      </c>
      <c r="B41" s="12" t="n">
        <v>3.818</v>
      </c>
      <c r="C41" s="12" t="n">
        <v>-0.40737</v>
      </c>
      <c r="D41" s="11" t="n">
        <v>-23.34</v>
      </c>
      <c r="E41" s="12">
        <f>($B$5+$B$7)+$B$7*COS(C41)</f>
        <v/>
      </c>
      <c r="F41" s="12">
        <f>$B$6+$B$7*SIN(C41)</f>
        <v/>
      </c>
      <c r="G41" s="12">
        <f>SQRT((E41-$B$5)^2+(F41-$B$6)^2)</f>
        <v/>
      </c>
      <c r="H41" s="12">
        <f>$B$10/G41</f>
        <v/>
      </c>
      <c r="I41" s="12">
        <f>$B$5+H41*((E41-$B$5)/G41)</f>
        <v/>
      </c>
      <c r="J41" s="12">
        <f>$B$6+H41*((F41-$B$6)/G41)</f>
        <v/>
      </c>
      <c r="K41" s="12">
        <f>$B$11</f>
        <v/>
      </c>
      <c r="L41" s="13">
        <f>ABS(I41-K41)*10</f>
        <v/>
      </c>
      <c r="M41" s="12">
        <f>(J42-J40)/(B42-B40)</f>
        <v/>
      </c>
    </row>
    <row r="42">
      <c r="A42" s="8" t="n">
        <v>29</v>
      </c>
      <c r="B42" s="9" t="n">
        <v>3.96</v>
      </c>
      <c r="C42" s="9" t="n">
        <v>-0.50707</v>
      </c>
      <c r="D42" s="8" t="n">
        <v>-29.05</v>
      </c>
      <c r="E42" s="9">
        <f>($B$5+$B$7)+$B$7*COS(C42)</f>
        <v/>
      </c>
      <c r="F42" s="9">
        <f>$B$6+$B$7*SIN(C42)</f>
        <v/>
      </c>
      <c r="G42" s="9">
        <f>SQRT((E42-$B$5)^2+(F42-$B$6)^2)</f>
        <v/>
      </c>
      <c r="H42" s="9">
        <f>$B$10/G42</f>
        <v/>
      </c>
      <c r="I42" s="9">
        <f>$B$5+H42*((E42-$B$5)/G42)</f>
        <v/>
      </c>
      <c r="J42" s="9">
        <f>$B$6+H42*((F42-$B$6)/G42)</f>
        <v/>
      </c>
      <c r="K42" s="9">
        <f>$B$11</f>
        <v/>
      </c>
      <c r="L42" s="10">
        <f>ABS(I42-K42)*10</f>
        <v/>
      </c>
      <c r="M42" s="9">
        <f>(J43-J41)/(B43-B41)</f>
        <v/>
      </c>
    </row>
    <row r="43">
      <c r="A43" s="11" t="n">
        <v>30</v>
      </c>
      <c r="B43" s="12" t="n">
        <v>4.101</v>
      </c>
      <c r="C43" s="12" t="n">
        <v>-0.59762</v>
      </c>
      <c r="D43" s="11" t="n">
        <v>-34.24</v>
      </c>
      <c r="E43" s="12">
        <f>($B$5+$B$7)+$B$7*COS(C43)</f>
        <v/>
      </c>
      <c r="F43" s="12">
        <f>$B$6+$B$7*SIN(C43)</f>
        <v/>
      </c>
      <c r="G43" s="12">
        <f>SQRT((E43-$B$5)^2+(F43-$B$6)^2)</f>
        <v/>
      </c>
      <c r="H43" s="12">
        <f>$B$10/G43</f>
        <v/>
      </c>
      <c r="I43" s="12">
        <f>$B$5+H43*((E43-$B$5)/G43)</f>
        <v/>
      </c>
      <c r="J43" s="12">
        <f>$B$6+H43*((F43-$B$6)/G43)</f>
        <v/>
      </c>
      <c r="K43" s="12">
        <f>$B$11</f>
        <v/>
      </c>
      <c r="L43" s="13">
        <f>ABS(I43-K43)*10</f>
        <v/>
      </c>
      <c r="M43" s="12">
        <f>(J44-J42)/(B44-B42)</f>
        <v/>
      </c>
    </row>
    <row r="44">
      <c r="A44" s="8" t="n">
        <v>31</v>
      </c>
      <c r="B44" s="9" t="n">
        <v>4.242</v>
      </c>
      <c r="C44" s="9" t="n">
        <v>-0.67741</v>
      </c>
      <c r="D44" s="8" t="n">
        <v>-38.81</v>
      </c>
      <c r="E44" s="9">
        <f>($B$5+$B$7)+$B$7*COS(C44)</f>
        <v/>
      </c>
      <c r="F44" s="9">
        <f>$B$6+$B$7*SIN(C44)</f>
        <v/>
      </c>
      <c r="G44" s="9">
        <f>SQRT((E44-$B$5)^2+(F44-$B$6)^2)</f>
        <v/>
      </c>
      <c r="H44" s="9">
        <f>$B$10/G44</f>
        <v/>
      </c>
      <c r="I44" s="9">
        <f>$B$5+H44*((E44-$B$5)/G44)</f>
        <v/>
      </c>
      <c r="J44" s="9">
        <f>$B$6+H44*((F44-$B$6)/G44)</f>
        <v/>
      </c>
      <c r="K44" s="9">
        <f>$B$11</f>
        <v/>
      </c>
      <c r="L44" s="10">
        <f>ABS(I44-K44)*10</f>
        <v/>
      </c>
      <c r="M44" s="9">
        <f>(J45-J43)/(B45-B43)</f>
        <v/>
      </c>
    </row>
    <row r="45">
      <c r="A45" s="11" t="n">
        <v>32</v>
      </c>
      <c r="B45" s="12" t="n">
        <v>4.384</v>
      </c>
      <c r="C45" s="12" t="n">
        <v>-0.745</v>
      </c>
      <c r="D45" s="11" t="n">
        <v>-42.69</v>
      </c>
      <c r="E45" s="12">
        <f>($B$5+$B$7)+$B$7*COS(C45)</f>
        <v/>
      </c>
      <c r="F45" s="12">
        <f>$B$6+$B$7*SIN(C45)</f>
        <v/>
      </c>
      <c r="G45" s="12">
        <f>SQRT((E45-$B$5)^2+(F45-$B$6)^2)</f>
        <v/>
      </c>
      <c r="H45" s="12">
        <f>$B$10/G45</f>
        <v/>
      </c>
      <c r="I45" s="12">
        <f>$B$5+H45*((E45-$B$5)/G45)</f>
        <v/>
      </c>
      <c r="J45" s="12">
        <f>$B$6+H45*((F45-$B$6)/G45)</f>
        <v/>
      </c>
      <c r="K45" s="12">
        <f>$B$11</f>
        <v/>
      </c>
      <c r="L45" s="13">
        <f>ABS(I45-K45)*10</f>
        <v/>
      </c>
      <c r="M45" s="12">
        <f>(J46-J44)/(B46-B44)</f>
        <v/>
      </c>
    </row>
    <row r="46">
      <c r="A46" s="8" t="n">
        <v>33</v>
      </c>
      <c r="B46" s="9" t="n">
        <v>4.525</v>
      </c>
      <c r="C46" s="9" t="n">
        <v>-0.79915</v>
      </c>
      <c r="D46" s="8" t="n">
        <v>-45.79</v>
      </c>
      <c r="E46" s="9">
        <f>($B$5+$B$7)+$B$7*COS(C46)</f>
        <v/>
      </c>
      <c r="F46" s="9">
        <f>$B$6+$B$7*SIN(C46)</f>
        <v/>
      </c>
      <c r="G46" s="9">
        <f>SQRT((E46-$B$5)^2+(F46-$B$6)^2)</f>
        <v/>
      </c>
      <c r="H46" s="9">
        <f>$B$10/G46</f>
        <v/>
      </c>
      <c r="I46" s="9">
        <f>$B$5+H46*((E46-$B$5)/G46)</f>
        <v/>
      </c>
      <c r="J46" s="9">
        <f>$B$6+H46*((F46-$B$6)/G46)</f>
        <v/>
      </c>
      <c r="K46" s="9">
        <f>$B$11</f>
        <v/>
      </c>
      <c r="L46" s="10">
        <f>ABS(I46-K46)*10</f>
        <v/>
      </c>
      <c r="M46" s="9">
        <f>(J47-J45)/(B47-B45)</f>
        <v/>
      </c>
    </row>
    <row r="47">
      <c r="A47" s="11" t="n">
        <v>34</v>
      </c>
      <c r="B47" s="12" t="n">
        <v>4.667</v>
      </c>
      <c r="C47" s="12" t="n">
        <v>-0.83891</v>
      </c>
      <c r="D47" s="11" t="n">
        <v>-48.07</v>
      </c>
      <c r="E47" s="12">
        <f>($B$5+$B$7)+$B$7*COS(C47)</f>
        <v/>
      </c>
      <c r="F47" s="12">
        <f>$B$6+$B$7*SIN(C47)</f>
        <v/>
      </c>
      <c r="G47" s="12">
        <f>SQRT((E47-$B$5)^2+(F47-$B$6)^2)</f>
        <v/>
      </c>
      <c r="H47" s="12">
        <f>$B$10/G47</f>
        <v/>
      </c>
      <c r="I47" s="12">
        <f>$B$5+H47*((E47-$B$5)/G47)</f>
        <v/>
      </c>
      <c r="J47" s="12">
        <f>$B$6+H47*((F47-$B$6)/G47)</f>
        <v/>
      </c>
      <c r="K47" s="12">
        <f>$B$11</f>
        <v/>
      </c>
      <c r="L47" s="13">
        <f>ABS(I47-K47)*10</f>
        <v/>
      </c>
      <c r="M47" s="12">
        <f>(J48-J46)/(B48-B46)</f>
        <v/>
      </c>
    </row>
    <row r="48">
      <c r="A48" s="8" t="n">
        <v>35</v>
      </c>
      <c r="B48" s="9" t="n">
        <v>4.808</v>
      </c>
      <c r="C48" s="9" t="n">
        <v>-0.86354</v>
      </c>
      <c r="D48" s="8" t="n">
        <v>-49.48</v>
      </c>
      <c r="E48" s="9">
        <f>($B$5+$B$7)+$B$7*COS(C48)</f>
        <v/>
      </c>
      <c r="F48" s="9">
        <f>$B$6+$B$7*SIN(C48)</f>
        <v/>
      </c>
      <c r="G48" s="9">
        <f>SQRT((E48-$B$5)^2+(F48-$B$6)^2)</f>
        <v/>
      </c>
      <c r="H48" s="9">
        <f>$B$10/G48</f>
        <v/>
      </c>
      <c r="I48" s="9">
        <f>$B$5+H48*((E48-$B$5)/G48)</f>
        <v/>
      </c>
      <c r="J48" s="9">
        <f>$B$6+H48*((F48-$B$6)/G48)</f>
        <v/>
      </c>
      <c r="K48" s="9">
        <f>$B$11</f>
        <v/>
      </c>
      <c r="L48" s="10">
        <f>ABS(I48-K48)*10</f>
        <v/>
      </c>
      <c r="M48" s="9">
        <f>(J49-J47)/(B49-B47)</f>
        <v/>
      </c>
    </row>
    <row r="49">
      <c r="A49" s="11" t="n">
        <v>36</v>
      </c>
      <c r="B49" s="12" t="n">
        <v>4.949</v>
      </c>
      <c r="C49" s="12" t="n">
        <v>-0.87262</v>
      </c>
      <c r="D49" s="11" t="n">
        <v>-50</v>
      </c>
      <c r="E49" s="12">
        <f>($B$5+$B$7)+$B$7*COS(C49)</f>
        <v/>
      </c>
      <c r="F49" s="12">
        <f>$B$6+$B$7*SIN(C49)</f>
        <v/>
      </c>
      <c r="G49" s="12">
        <f>SQRT((E49-$B$5)^2+(F49-$B$6)^2)</f>
        <v/>
      </c>
      <c r="H49" s="12">
        <f>$B$10/G49</f>
        <v/>
      </c>
      <c r="I49" s="12">
        <f>$B$5+H49*((E49-$B$5)/G49)</f>
        <v/>
      </c>
      <c r="J49" s="12">
        <f>$B$6+H49*((F49-$B$6)/G49)</f>
        <v/>
      </c>
      <c r="K49" s="12">
        <f>$B$11</f>
        <v/>
      </c>
      <c r="L49" s="13">
        <f>ABS(I49-K49)*10</f>
        <v/>
      </c>
      <c r="M49" s="12">
        <f>(J50-J48)/(B50-B48)</f>
        <v/>
      </c>
    </row>
    <row r="50">
      <c r="A50" s="8" t="n">
        <v>37</v>
      </c>
      <c r="B50" s="9" t="n">
        <v>5.091</v>
      </c>
      <c r="C50" s="9" t="n">
        <v>-0.86597</v>
      </c>
      <c r="D50" s="8" t="n">
        <v>-49.62</v>
      </c>
      <c r="E50" s="9">
        <f>($B$5+$B$7)+$B$7*COS(C50)</f>
        <v/>
      </c>
      <c r="F50" s="9">
        <f>$B$6+$B$7*SIN(C50)</f>
        <v/>
      </c>
      <c r="G50" s="9">
        <f>SQRT((E50-$B$5)^2+(F50-$B$6)^2)</f>
        <v/>
      </c>
      <c r="H50" s="9">
        <f>$B$10/G50</f>
        <v/>
      </c>
      <c r="I50" s="9">
        <f>$B$5+H50*((E50-$B$5)/G50)</f>
        <v/>
      </c>
      <c r="J50" s="9">
        <f>$B$6+H50*((F50-$B$6)/G50)</f>
        <v/>
      </c>
      <c r="K50" s="9">
        <f>$B$11</f>
        <v/>
      </c>
      <c r="L50" s="10">
        <f>ABS(I50-K50)*10</f>
        <v/>
      </c>
      <c r="M50" s="9">
        <f>(J51-J49)/(B51-B49)</f>
        <v/>
      </c>
    </row>
    <row r="51">
      <c r="A51" s="11" t="n">
        <v>38</v>
      </c>
      <c r="B51" s="12" t="n">
        <v>5.232</v>
      </c>
      <c r="C51" s="12" t="n">
        <v>-0.84371</v>
      </c>
      <c r="D51" s="11" t="n">
        <v>-48.34</v>
      </c>
      <c r="E51" s="12">
        <f>($B$5+$B$7)+$B$7*COS(C51)</f>
        <v/>
      </c>
      <c r="F51" s="12">
        <f>$B$6+$B$7*SIN(C51)</f>
        <v/>
      </c>
      <c r="G51" s="12">
        <f>SQRT((E51-$B$5)^2+(F51-$B$6)^2)</f>
        <v/>
      </c>
      <c r="H51" s="12">
        <f>$B$10/G51</f>
        <v/>
      </c>
      <c r="I51" s="12">
        <f>$B$5+H51*((E51-$B$5)/G51)</f>
        <v/>
      </c>
      <c r="J51" s="12">
        <f>$B$6+H51*((F51-$B$6)/G51)</f>
        <v/>
      </c>
      <c r="K51" s="12">
        <f>$B$11</f>
        <v/>
      </c>
      <c r="L51" s="13">
        <f>ABS(I51-K51)*10</f>
        <v/>
      </c>
      <c r="M51" s="12">
        <f>(J52-J50)/(B52-B50)</f>
        <v/>
      </c>
    </row>
    <row r="52">
      <c r="A52" s="8" t="n">
        <v>39</v>
      </c>
      <c r="B52" s="9" t="n">
        <v>5.374</v>
      </c>
      <c r="C52" s="9" t="n">
        <v>-0.80625</v>
      </c>
      <c r="D52" s="8" t="n">
        <v>-46.19</v>
      </c>
      <c r="E52" s="9">
        <f>($B$5+$B$7)+$B$7*COS(C52)</f>
        <v/>
      </c>
      <c r="F52" s="9">
        <f>$B$6+$B$7*SIN(C52)</f>
        <v/>
      </c>
      <c r="G52" s="9">
        <f>SQRT((E52-$B$5)^2+(F52-$B$6)^2)</f>
        <v/>
      </c>
      <c r="H52" s="9">
        <f>$B$10/G52</f>
        <v/>
      </c>
      <c r="I52" s="9">
        <f>$B$5+H52*((E52-$B$5)/G52)</f>
        <v/>
      </c>
      <c r="J52" s="9">
        <f>$B$6+H52*((F52-$B$6)/G52)</f>
        <v/>
      </c>
      <c r="K52" s="9">
        <f>$B$11</f>
        <v/>
      </c>
      <c r="L52" s="10">
        <f>ABS(I52-K52)*10</f>
        <v/>
      </c>
      <c r="M52" s="9">
        <f>(J53-J51)/(B53-B51)</f>
        <v/>
      </c>
    </row>
    <row r="53">
      <c r="A53" s="11" t="n">
        <v>40</v>
      </c>
      <c r="B53" s="12" t="n">
        <v>5.515</v>
      </c>
      <c r="C53" s="12" t="n">
        <v>-0.75426</v>
      </c>
      <c r="D53" s="11" t="n">
        <v>-43.22</v>
      </c>
      <c r="E53" s="12">
        <f>($B$5+$B$7)+$B$7*COS(C53)</f>
        <v/>
      </c>
      <c r="F53" s="12">
        <f>$B$6+$B$7*SIN(C53)</f>
        <v/>
      </c>
      <c r="G53" s="12">
        <f>SQRT((E53-$B$5)^2+(F53-$B$6)^2)</f>
        <v/>
      </c>
      <c r="H53" s="12">
        <f>$B$10/G53</f>
        <v/>
      </c>
      <c r="I53" s="12">
        <f>$B$5+H53*((E53-$B$5)/G53)</f>
        <v/>
      </c>
      <c r="J53" s="12">
        <f>$B$6+H53*((F53-$B$6)/G53)</f>
        <v/>
      </c>
      <c r="K53" s="12">
        <f>$B$11</f>
        <v/>
      </c>
      <c r="L53" s="13">
        <f>ABS(I53-K53)*10</f>
        <v/>
      </c>
      <c r="M53" s="12">
        <f>(J54-J52)/(B54-B52)</f>
        <v/>
      </c>
    </row>
    <row r="54">
      <c r="A54" s="8" t="n">
        <v>41</v>
      </c>
      <c r="B54" s="9" t="n">
        <v>5.657</v>
      </c>
      <c r="C54" s="9" t="n">
        <v>-0.68868</v>
      </c>
      <c r="D54" s="8" t="n">
        <v>-39.46</v>
      </c>
      <c r="E54" s="9">
        <f>($B$5+$B$7)+$B$7*COS(C54)</f>
        <v/>
      </c>
      <c r="F54" s="9">
        <f>$B$6+$B$7*SIN(C54)</f>
        <v/>
      </c>
      <c r="G54" s="9">
        <f>SQRT((E54-$B$5)^2+(F54-$B$6)^2)</f>
        <v/>
      </c>
      <c r="H54" s="9">
        <f>$B$10/G54</f>
        <v/>
      </c>
      <c r="I54" s="9">
        <f>$B$5+H54*((E54-$B$5)/G54)</f>
        <v/>
      </c>
      <c r="J54" s="9">
        <f>$B$6+H54*((F54-$B$6)/G54)</f>
        <v/>
      </c>
      <c r="K54" s="9">
        <f>$B$11</f>
        <v/>
      </c>
      <c r="L54" s="10">
        <f>ABS(I54-K54)*10</f>
        <v/>
      </c>
      <c r="M54" s="9">
        <f>(J55-J53)/(B55-B53)</f>
        <v/>
      </c>
    </row>
    <row r="55">
      <c r="A55" s="11" t="n">
        <v>42</v>
      </c>
      <c r="B55" s="12" t="n">
        <v>5.798</v>
      </c>
      <c r="C55" s="12" t="n">
        <v>-0.61068</v>
      </c>
      <c r="D55" s="11" t="n">
        <v>-34.99</v>
      </c>
      <c r="E55" s="12">
        <f>($B$5+$B$7)+$B$7*COS(C55)</f>
        <v/>
      </c>
      <c r="F55" s="12">
        <f>$B$6+$B$7*SIN(C55)</f>
        <v/>
      </c>
      <c r="G55" s="12">
        <f>SQRT((E55-$B$5)^2+(F55-$B$6)^2)</f>
        <v/>
      </c>
      <c r="H55" s="12">
        <f>$B$10/G55</f>
        <v/>
      </c>
      <c r="I55" s="12">
        <f>$B$5+H55*((E55-$B$5)/G55)</f>
        <v/>
      </c>
      <c r="J55" s="12">
        <f>$B$6+H55*((F55-$B$6)/G55)</f>
        <v/>
      </c>
      <c r="K55" s="12">
        <f>$B$11</f>
        <v/>
      </c>
      <c r="L55" s="13">
        <f>ABS(I55-K55)*10</f>
        <v/>
      </c>
      <c r="M55" s="12">
        <f>(J56-J54)/(B56-B54)</f>
        <v/>
      </c>
    </row>
    <row r="56">
      <c r="A56" s="8" t="n">
        <v>43</v>
      </c>
      <c r="B56" s="9" t="n">
        <v>5.939</v>
      </c>
      <c r="C56" s="9" t="n">
        <v>-0.52168</v>
      </c>
      <c r="D56" s="8" t="n">
        <v>-29.89</v>
      </c>
      <c r="E56" s="9">
        <f>($B$5+$B$7)+$B$7*COS(C56)</f>
        <v/>
      </c>
      <c r="F56" s="9">
        <f>$B$6+$B$7*SIN(C56)</f>
        <v/>
      </c>
      <c r="G56" s="9">
        <f>SQRT((E56-$B$5)^2+(F56-$B$6)^2)</f>
        <v/>
      </c>
      <c r="H56" s="9">
        <f>$B$10/G56</f>
        <v/>
      </c>
      <c r="I56" s="9">
        <f>$B$5+H56*((E56-$B$5)/G56)</f>
        <v/>
      </c>
      <c r="J56" s="9">
        <f>$B$6+H56*((F56-$B$6)/G56)</f>
        <v/>
      </c>
      <c r="K56" s="9">
        <f>$B$11</f>
        <v/>
      </c>
      <c r="L56" s="10">
        <f>ABS(I56-K56)*10</f>
        <v/>
      </c>
      <c r="M56" s="9">
        <f>(J57-J55)/(B57-B55)</f>
        <v/>
      </c>
    </row>
    <row r="57">
      <c r="A57" s="11" t="n">
        <v>44</v>
      </c>
      <c r="B57" s="12" t="n">
        <v>6.081</v>
      </c>
      <c r="C57" s="12" t="n">
        <v>-0.42328</v>
      </c>
      <c r="D57" s="11" t="n">
        <v>-24.25</v>
      </c>
      <c r="E57" s="12">
        <f>($B$5+$B$7)+$B$7*COS(C57)</f>
        <v/>
      </c>
      <c r="F57" s="12">
        <f>$B$6+$B$7*SIN(C57)</f>
        <v/>
      </c>
      <c r="G57" s="12">
        <f>SQRT((E57-$B$5)^2+(F57-$B$6)^2)</f>
        <v/>
      </c>
      <c r="H57" s="12">
        <f>$B$10/G57</f>
        <v/>
      </c>
      <c r="I57" s="12">
        <f>$B$5+H57*((E57-$B$5)/G57)</f>
        <v/>
      </c>
      <c r="J57" s="12">
        <f>$B$6+H57*((F57-$B$6)/G57)</f>
        <v/>
      </c>
      <c r="K57" s="12">
        <f>$B$11</f>
        <v/>
      </c>
      <c r="L57" s="13">
        <f>ABS(I57-K57)*10</f>
        <v/>
      </c>
      <c r="M57" s="12">
        <f>(J58-J56)/(B58-B56)</f>
        <v/>
      </c>
    </row>
    <row r="58">
      <c r="A58" s="8" t="n">
        <v>45</v>
      </c>
      <c r="B58" s="9" t="n">
        <v>6.222</v>
      </c>
      <c r="C58" s="9" t="n">
        <v>-0.31726</v>
      </c>
      <c r="D58" s="8" t="n">
        <v>-18.18</v>
      </c>
      <c r="E58" s="9">
        <f>($B$5+$B$7)+$B$7*COS(C58)</f>
        <v/>
      </c>
      <c r="F58" s="9">
        <f>$B$6+$B$7*SIN(C58)</f>
        <v/>
      </c>
      <c r="G58" s="9">
        <f>SQRT((E58-$B$5)^2+(F58-$B$6)^2)</f>
        <v/>
      </c>
      <c r="H58" s="9">
        <f>$B$10/G58</f>
        <v/>
      </c>
      <c r="I58" s="9">
        <f>$B$5+H58*((E58-$B$5)/G58)</f>
        <v/>
      </c>
      <c r="J58" s="9">
        <f>$B$6+H58*((F58-$B$6)/G58)</f>
        <v/>
      </c>
      <c r="K58" s="9">
        <f>$B$11</f>
        <v/>
      </c>
      <c r="L58" s="10">
        <f>ABS(I58-K58)*10</f>
        <v/>
      </c>
      <c r="M58" s="9">
        <f>(J59-J57)/(B59-B57)</f>
        <v/>
      </c>
    </row>
    <row r="59">
      <c r="A59" s="11" t="n">
        <v>46</v>
      </c>
      <c r="B59" s="12" t="n">
        <v>6.364</v>
      </c>
      <c r="C59" s="12" t="n">
        <v>-0.20551</v>
      </c>
      <c r="D59" s="11" t="n">
        <v>-11.77</v>
      </c>
      <c r="E59" s="12">
        <f>($B$5+$B$7)+$B$7*COS(C59)</f>
        <v/>
      </c>
      <c r="F59" s="12">
        <f>$B$6+$B$7*SIN(C59)</f>
        <v/>
      </c>
      <c r="G59" s="12">
        <f>SQRT((E59-$B$5)^2+(F59-$B$6)^2)</f>
        <v/>
      </c>
      <c r="H59" s="12">
        <f>$B$10/G59</f>
        <v/>
      </c>
      <c r="I59" s="12">
        <f>$B$5+H59*((E59-$B$5)/G59)</f>
        <v/>
      </c>
      <c r="J59" s="12">
        <f>$B$6+H59*((F59-$B$6)/G59)</f>
        <v/>
      </c>
      <c r="K59" s="12">
        <f>$B$11</f>
        <v/>
      </c>
      <c r="L59" s="13">
        <f>ABS(I59-K59)*10</f>
        <v/>
      </c>
      <c r="M59" s="12">
        <f>(J60-J58)/(B60-B58)</f>
        <v/>
      </c>
    </row>
    <row r="60">
      <c r="A60" s="8" t="n">
        <v>47</v>
      </c>
      <c r="B60" s="9" t="n">
        <v>6.505</v>
      </c>
      <c r="C60" s="9" t="n">
        <v>-0.09006</v>
      </c>
      <c r="D60" s="8" t="n">
        <v>-5.16</v>
      </c>
      <c r="E60" s="9">
        <f>($B$5+$B$7)+$B$7*COS(C60)</f>
        <v/>
      </c>
      <c r="F60" s="9">
        <f>$B$6+$B$7*SIN(C60)</f>
        <v/>
      </c>
      <c r="G60" s="9">
        <f>SQRT((E60-$B$5)^2+(F60-$B$6)^2)</f>
        <v/>
      </c>
      <c r="H60" s="9">
        <f>$B$10/G60</f>
        <v/>
      </c>
      <c r="I60" s="9">
        <f>$B$5+H60*((E60-$B$5)/G60)</f>
        <v/>
      </c>
      <c r="J60" s="9">
        <f>$B$6+H60*((F60-$B$6)/G60)</f>
        <v/>
      </c>
      <c r="K60" s="9">
        <f>$B$11</f>
        <v/>
      </c>
      <c r="L60" s="10">
        <f>ABS(I60-K60)*10</f>
        <v/>
      </c>
      <c r="M60" s="9">
        <f>(J61-J59)/(B61-B59)</f>
        <v/>
      </c>
    </row>
    <row r="61">
      <c r="A61" s="11" t="n">
        <v>48</v>
      </c>
      <c r="B61" s="12" t="n">
        <v>6.646</v>
      </c>
      <c r="C61" s="12" t="n">
        <v>0.02701</v>
      </c>
      <c r="D61" s="11" t="n">
        <v>1.55</v>
      </c>
      <c r="E61" s="12">
        <f>($B$5+$B$7)+$B$7*COS(C61)</f>
        <v/>
      </c>
      <c r="F61" s="12">
        <f>$B$6+$B$7*SIN(C61)</f>
        <v/>
      </c>
      <c r="G61" s="12">
        <f>SQRT((E61-$B$5)^2+(F61-$B$6)^2)</f>
        <v/>
      </c>
      <c r="H61" s="12">
        <f>$B$10/G61</f>
        <v/>
      </c>
      <c r="I61" s="12">
        <f>$B$5+H61*((E61-$B$5)/G61)</f>
        <v/>
      </c>
      <c r="J61" s="12">
        <f>$B$6+H61*((F61-$B$6)/G61)</f>
        <v/>
      </c>
      <c r="K61" s="12">
        <f>$B$11</f>
        <v/>
      </c>
      <c r="L61" s="13">
        <f>ABS(I61-K61)*10</f>
        <v/>
      </c>
      <c r="M61" s="12">
        <f>(J62-J60)/(B62-B60)</f>
        <v/>
      </c>
    </row>
    <row r="62">
      <c r="A62" s="8" t="n">
        <v>49</v>
      </c>
      <c r="B62" s="9" t="n">
        <v>6.788</v>
      </c>
      <c r="C62" s="9" t="n">
        <v>0.1436</v>
      </c>
      <c r="D62" s="8" t="n">
        <v>8.23</v>
      </c>
      <c r="E62" s="9">
        <f>($B$5+$B$7)+$B$7*COS(C62)</f>
        <v/>
      </c>
      <c r="F62" s="9">
        <f>$B$6+$B$7*SIN(C62)</f>
        <v/>
      </c>
      <c r="G62" s="9">
        <f>SQRT((E62-$B$5)^2+(F62-$B$6)^2)</f>
        <v/>
      </c>
      <c r="H62" s="9">
        <f>$B$10/G62</f>
        <v/>
      </c>
      <c r="I62" s="9">
        <f>$B$5+H62*((E62-$B$5)/G62)</f>
        <v/>
      </c>
      <c r="J62" s="9">
        <f>$B$6+H62*((F62-$B$6)/G62)</f>
        <v/>
      </c>
      <c r="K62" s="9">
        <f>$B$11</f>
        <v/>
      </c>
      <c r="L62" s="10">
        <f>ABS(I62-K62)*10</f>
        <v/>
      </c>
      <c r="M62" s="9">
        <f>(J63-J61)/(B63-B61)</f>
        <v/>
      </c>
    </row>
    <row r="63">
      <c r="A63" s="11" t="n">
        <v>50</v>
      </c>
      <c r="B63" s="12" t="n">
        <v>6.929</v>
      </c>
      <c r="C63" s="12" t="n">
        <v>0.25759</v>
      </c>
      <c r="D63" s="11" t="n">
        <v>14.76</v>
      </c>
      <c r="E63" s="12">
        <f>($B$5+$B$7)+$B$7*COS(C63)</f>
        <v/>
      </c>
      <c r="F63" s="12">
        <f>$B$6+$B$7*SIN(C63)</f>
        <v/>
      </c>
      <c r="G63" s="12">
        <f>SQRT((E63-$B$5)^2+(F63-$B$6)^2)</f>
        <v/>
      </c>
      <c r="H63" s="12">
        <f>$B$10/G63</f>
        <v/>
      </c>
      <c r="I63" s="12">
        <f>$B$5+H63*((E63-$B$5)/G63)</f>
        <v/>
      </c>
      <c r="J63" s="12">
        <f>$B$6+H63*((F63-$B$6)/G63)</f>
        <v/>
      </c>
      <c r="K63" s="12">
        <f>$B$11</f>
        <v/>
      </c>
      <c r="L63" s="13">
        <f>ABS(I63-K63)*10</f>
        <v/>
      </c>
      <c r="M63" s="12">
        <f>(J64-J62)/(B64-B62)</f>
        <v/>
      </c>
    </row>
    <row r="64">
      <c r="A64" s="8" t="n">
        <v>51</v>
      </c>
      <c r="B64" s="9" t="n">
        <v>7.071</v>
      </c>
      <c r="C64" s="9" t="n">
        <v>0.36695</v>
      </c>
      <c r="D64" s="8" t="n">
        <v>21.02</v>
      </c>
      <c r="E64" s="9">
        <f>($B$5+$B$7)+$B$7*COS(C64)</f>
        <v/>
      </c>
      <c r="F64" s="9">
        <f>$B$6+$B$7*SIN(C64)</f>
        <v/>
      </c>
      <c r="G64" s="9">
        <f>SQRT((E64-$B$5)^2+(F64-$B$6)^2)</f>
        <v/>
      </c>
      <c r="H64" s="9">
        <f>$B$10/G64</f>
        <v/>
      </c>
      <c r="I64" s="9">
        <f>$B$5+H64*((E64-$B$5)/G64)</f>
        <v/>
      </c>
      <c r="J64" s="9">
        <f>$B$6+H64*((F64-$B$6)/G64)</f>
        <v/>
      </c>
      <c r="K64" s="9">
        <f>$B$11</f>
        <v/>
      </c>
      <c r="L64" s="10">
        <f>ABS(I64-K64)*10</f>
        <v/>
      </c>
      <c r="M64" s="9">
        <f>(J65-J63)/(B65-B63)</f>
        <v/>
      </c>
    </row>
    <row r="65">
      <c r="A65" s="11" t="n">
        <v>52</v>
      </c>
      <c r="B65" s="12" t="n">
        <v>7.212</v>
      </c>
      <c r="C65" s="12" t="n">
        <v>0.46969</v>
      </c>
      <c r="D65" s="11" t="n">
        <v>26.91</v>
      </c>
      <c r="E65" s="12">
        <f>($B$5+$B$7)+$B$7*COS(C65)</f>
        <v/>
      </c>
      <c r="F65" s="12">
        <f>$B$6+$B$7*SIN(C65)</f>
        <v/>
      </c>
      <c r="G65" s="12">
        <f>SQRT((E65-$B$5)^2+(F65-$B$6)^2)</f>
        <v/>
      </c>
      <c r="H65" s="12">
        <f>$B$10/G65</f>
        <v/>
      </c>
      <c r="I65" s="12">
        <f>$B$5+H65*((E65-$B$5)/G65)</f>
        <v/>
      </c>
      <c r="J65" s="12">
        <f>$B$6+H65*((F65-$B$6)/G65)</f>
        <v/>
      </c>
      <c r="K65" s="12">
        <f>$B$11</f>
        <v/>
      </c>
      <c r="L65" s="13">
        <f>ABS(I65-K65)*10</f>
        <v/>
      </c>
      <c r="M65" s="12">
        <f>(J66-J64)/(B66-B64)</f>
        <v/>
      </c>
    </row>
    <row r="66">
      <c r="A66" s="8" t="n">
        <v>53</v>
      </c>
      <c r="B66" s="9" t="n">
        <v>7.354</v>
      </c>
      <c r="C66" s="9" t="n">
        <v>0.56397</v>
      </c>
      <c r="D66" s="8" t="n">
        <v>32.31</v>
      </c>
      <c r="E66" s="9">
        <f>($B$5+$B$7)+$B$7*COS(C66)</f>
        <v/>
      </c>
      <c r="F66" s="9">
        <f>$B$6+$B$7*SIN(C66)</f>
        <v/>
      </c>
      <c r="G66" s="9">
        <f>SQRT((E66-$B$5)^2+(F66-$B$6)^2)</f>
        <v/>
      </c>
      <c r="H66" s="9">
        <f>$B$10/G66</f>
        <v/>
      </c>
      <c r="I66" s="9">
        <f>$B$5+H66*((E66-$B$5)/G66)</f>
        <v/>
      </c>
      <c r="J66" s="9">
        <f>$B$6+H66*((F66-$B$6)/G66)</f>
        <v/>
      </c>
      <c r="K66" s="9">
        <f>$B$11</f>
        <v/>
      </c>
      <c r="L66" s="10">
        <f>ABS(I66-K66)*10</f>
        <v/>
      </c>
      <c r="M66" s="9">
        <f>(J67-J65)/(B67-B65)</f>
        <v/>
      </c>
    </row>
    <row r="67">
      <c r="A67" s="11" t="n">
        <v>54</v>
      </c>
      <c r="B67" s="12" t="n">
        <v>7.495</v>
      </c>
      <c r="C67" s="12" t="n">
        <v>0.64808</v>
      </c>
      <c r="D67" s="11" t="n">
        <v>37.13</v>
      </c>
      <c r="E67" s="12">
        <f>($B$5+$B$7)+$B$7*COS(C67)</f>
        <v/>
      </c>
      <c r="F67" s="12">
        <f>$B$6+$B$7*SIN(C67)</f>
        <v/>
      </c>
      <c r="G67" s="12">
        <f>SQRT((E67-$B$5)^2+(F67-$B$6)^2)</f>
        <v/>
      </c>
      <c r="H67" s="12">
        <f>$B$10/G67</f>
        <v/>
      </c>
      <c r="I67" s="12">
        <f>$B$5+H67*((E67-$B$5)/G67)</f>
        <v/>
      </c>
      <c r="J67" s="12">
        <f>$B$6+H67*((F67-$B$6)/G67)</f>
        <v/>
      </c>
      <c r="K67" s="12">
        <f>$B$11</f>
        <v/>
      </c>
      <c r="L67" s="13">
        <f>ABS(I67-K67)*10</f>
        <v/>
      </c>
      <c r="M67" s="12">
        <f>(J68-J66)/(B68-B66)</f>
        <v/>
      </c>
    </row>
    <row r="68">
      <c r="A68" s="8" t="n">
        <v>55</v>
      </c>
      <c r="B68" s="9" t="n">
        <v>7.636</v>
      </c>
      <c r="C68" s="9" t="n">
        <v>0.72052</v>
      </c>
      <c r="D68" s="8" t="n">
        <v>41.28</v>
      </c>
      <c r="E68" s="9">
        <f>($B$5+$B$7)+$B$7*COS(C68)</f>
        <v/>
      </c>
      <c r="F68" s="9">
        <f>$B$6+$B$7*SIN(C68)</f>
        <v/>
      </c>
      <c r="G68" s="9">
        <f>SQRT((E68-$B$5)^2+(F68-$B$6)^2)</f>
        <v/>
      </c>
      <c r="H68" s="9">
        <f>$B$10/G68</f>
        <v/>
      </c>
      <c r="I68" s="9">
        <f>$B$5+H68*((E68-$B$5)/G68)</f>
        <v/>
      </c>
      <c r="J68" s="9">
        <f>$B$6+H68*((F68-$B$6)/G68)</f>
        <v/>
      </c>
      <c r="K68" s="9">
        <f>$B$11</f>
        <v/>
      </c>
      <c r="L68" s="10">
        <f>ABS(I68-K68)*10</f>
        <v/>
      </c>
      <c r="M68" s="9">
        <f>(J69-J67)/(B69-B67)</f>
        <v/>
      </c>
    </row>
    <row r="69">
      <c r="A69" s="11" t="n">
        <v>56</v>
      </c>
      <c r="B69" s="12" t="n">
        <v>7.778</v>
      </c>
      <c r="C69" s="12" t="n">
        <v>0.7799700000000001</v>
      </c>
      <c r="D69" s="11" t="n">
        <v>44.69</v>
      </c>
      <c r="E69" s="12">
        <f>($B$5+$B$7)+$B$7*COS(C69)</f>
        <v/>
      </c>
      <c r="F69" s="12">
        <f>$B$6+$B$7*SIN(C69)</f>
        <v/>
      </c>
      <c r="G69" s="12">
        <f>SQRT((E69-$B$5)^2+(F69-$B$6)^2)</f>
        <v/>
      </c>
      <c r="H69" s="12">
        <f>$B$10/G69</f>
        <v/>
      </c>
      <c r="I69" s="12">
        <f>$B$5+H69*((E69-$B$5)/G69)</f>
        <v/>
      </c>
      <c r="J69" s="12">
        <f>$B$6+H69*((F69-$B$6)/G69)</f>
        <v/>
      </c>
      <c r="K69" s="12">
        <f>$B$11</f>
        <v/>
      </c>
      <c r="L69" s="13">
        <f>ABS(I69-K69)*10</f>
        <v/>
      </c>
      <c r="M69" s="12">
        <f>(J70-J68)/(B70-B68)</f>
        <v/>
      </c>
    </row>
    <row r="70">
      <c r="A70" s="8" t="n">
        <v>57</v>
      </c>
      <c r="B70" s="9" t="n">
        <v>7.919</v>
      </c>
      <c r="C70" s="9" t="n">
        <v>0.82537</v>
      </c>
      <c r="D70" s="8" t="n">
        <v>47.29</v>
      </c>
      <c r="E70" s="9">
        <f>($B$5+$B$7)+$B$7*COS(C70)</f>
        <v/>
      </c>
      <c r="F70" s="9">
        <f>$B$6+$B$7*SIN(C70)</f>
        <v/>
      </c>
      <c r="G70" s="9">
        <f>SQRT((E70-$B$5)^2+(F70-$B$6)^2)</f>
        <v/>
      </c>
      <c r="H70" s="9">
        <f>$B$10/G70</f>
        <v/>
      </c>
      <c r="I70" s="9">
        <f>$B$5+H70*((E70-$B$5)/G70)</f>
        <v/>
      </c>
      <c r="J70" s="9">
        <f>$B$6+H70*((F70-$B$6)/G70)</f>
        <v/>
      </c>
      <c r="K70" s="9">
        <f>$B$11</f>
        <v/>
      </c>
      <c r="L70" s="10">
        <f>ABS(I70-K70)*10</f>
        <v/>
      </c>
      <c r="M70" s="9">
        <f>(J71-J69)/(B71-B69)</f>
        <v/>
      </c>
    </row>
    <row r="71">
      <c r="A71" s="11" t="n">
        <v>58</v>
      </c>
      <c r="B71" s="12" t="n">
        <v>8.061</v>
      </c>
      <c r="C71" s="12" t="n">
        <v>0.85589</v>
      </c>
      <c r="D71" s="11" t="n">
        <v>49.04</v>
      </c>
      <c r="E71" s="12">
        <f>($B$5+$B$7)+$B$7*COS(C71)</f>
        <v/>
      </c>
      <c r="F71" s="12">
        <f>$B$6+$B$7*SIN(C71)</f>
        <v/>
      </c>
      <c r="G71" s="12">
        <f>SQRT((E71-$B$5)^2+(F71-$B$6)^2)</f>
        <v/>
      </c>
      <c r="H71" s="12">
        <f>$B$10/G71</f>
        <v/>
      </c>
      <c r="I71" s="12">
        <f>$B$5+H71*((E71-$B$5)/G71)</f>
        <v/>
      </c>
      <c r="J71" s="12">
        <f>$B$6+H71*((F71-$B$6)/G71)</f>
        <v/>
      </c>
      <c r="K71" s="12">
        <f>$B$11</f>
        <v/>
      </c>
      <c r="L71" s="13">
        <f>ABS(I71-K71)*10</f>
        <v/>
      </c>
      <c r="M71" s="12">
        <f>(J72-J70)/(B72-B70)</f>
        <v/>
      </c>
    </row>
    <row r="72">
      <c r="A72" s="8" t="n">
        <v>59</v>
      </c>
      <c r="B72" s="9" t="n">
        <v>8.202</v>
      </c>
      <c r="C72" s="9" t="n">
        <v>0.87098</v>
      </c>
      <c r="D72" s="8" t="n">
        <v>49.9</v>
      </c>
      <c r="E72" s="9">
        <f>($B$5+$B$7)+$B$7*COS(C72)</f>
        <v/>
      </c>
      <c r="F72" s="9">
        <f>$B$6+$B$7*SIN(C72)</f>
        <v/>
      </c>
      <c r="G72" s="9">
        <f>SQRT((E72-$B$5)^2+(F72-$B$6)^2)</f>
        <v/>
      </c>
      <c r="H72" s="9">
        <f>$B$10/G72</f>
        <v/>
      </c>
      <c r="I72" s="9">
        <f>$B$5+H72*((E72-$B$5)/G72)</f>
        <v/>
      </c>
      <c r="J72" s="9">
        <f>$B$6+H72*((F72-$B$6)/G72)</f>
        <v/>
      </c>
      <c r="K72" s="9">
        <f>$B$11</f>
        <v/>
      </c>
      <c r="L72" s="10">
        <f>ABS(I72-K72)*10</f>
        <v/>
      </c>
      <c r="M72" s="9">
        <f>(J73-J71)/(B73-B71)</f>
        <v/>
      </c>
    </row>
    <row r="73">
      <c r="A73" s="11" t="n">
        <v>60</v>
      </c>
      <c r="B73" s="12" t="n">
        <v>8.343</v>
      </c>
      <c r="C73" s="12" t="n">
        <v>0.87039</v>
      </c>
      <c r="D73" s="11" t="n">
        <v>49.87</v>
      </c>
      <c r="E73" s="12">
        <f>($B$5+$B$7)+$B$7*COS(C73)</f>
        <v/>
      </c>
      <c r="F73" s="12">
        <f>$B$6+$B$7*SIN(C73)</f>
        <v/>
      </c>
      <c r="G73" s="12">
        <f>SQRT((E73-$B$5)^2+(F73-$B$6)^2)</f>
        <v/>
      </c>
      <c r="H73" s="12">
        <f>$B$10/G73</f>
        <v/>
      </c>
      <c r="I73" s="12">
        <f>$B$5+H73*((E73-$B$5)/G73)</f>
        <v/>
      </c>
      <c r="J73" s="12">
        <f>$B$6+H73*((F73-$B$6)/G73)</f>
        <v/>
      </c>
      <c r="K73" s="12">
        <f>$B$11</f>
        <v/>
      </c>
      <c r="L73" s="13">
        <f>ABS(I73-K73)*10</f>
        <v/>
      </c>
      <c r="M73" s="12">
        <f>(J74-J72)/(B74-B72)</f>
        <v/>
      </c>
    </row>
    <row r="74">
      <c r="A74" s="8" t="n">
        <v>61</v>
      </c>
      <c r="B74" s="9" t="n">
        <v>8.484999999999999</v>
      </c>
      <c r="C74" s="9" t="n">
        <v>0.8541</v>
      </c>
      <c r="D74" s="8" t="n">
        <v>48.94</v>
      </c>
      <c r="E74" s="9">
        <f>($B$5+$B$7)+$B$7*COS(C74)</f>
        <v/>
      </c>
      <c r="F74" s="9">
        <f>$B$6+$B$7*SIN(C74)</f>
        <v/>
      </c>
      <c r="G74" s="9">
        <f>SQRT((E74-$B$5)^2+(F74-$B$6)^2)</f>
        <v/>
      </c>
      <c r="H74" s="9">
        <f>$B$10/G74</f>
        <v/>
      </c>
      <c r="I74" s="9">
        <f>$B$5+H74*((E74-$B$5)/G74)</f>
        <v/>
      </c>
      <c r="J74" s="9">
        <f>$B$6+H74*((F74-$B$6)/G74)</f>
        <v/>
      </c>
      <c r="K74" s="9">
        <f>$B$11</f>
        <v/>
      </c>
      <c r="L74" s="10">
        <f>ABS(I74-K74)*10</f>
        <v/>
      </c>
      <c r="M74" s="9">
        <f>(J75-J73)/(B75-B73)</f>
        <v/>
      </c>
    </row>
    <row r="75">
      <c r="A75" s="11" t="n">
        <v>62</v>
      </c>
      <c r="B75" s="12" t="n">
        <v>8.625999999999999</v>
      </c>
      <c r="C75" s="12" t="n">
        <v>0.82243</v>
      </c>
      <c r="D75" s="11" t="n">
        <v>47.12</v>
      </c>
      <c r="E75" s="12">
        <f>($B$5+$B$7)+$B$7*COS(C75)</f>
        <v/>
      </c>
      <c r="F75" s="12">
        <f>$B$6+$B$7*SIN(C75)</f>
        <v/>
      </c>
      <c r="G75" s="12">
        <f>SQRT((E75-$B$5)^2+(F75-$B$6)^2)</f>
        <v/>
      </c>
      <c r="H75" s="12">
        <f>$B$10/G75</f>
        <v/>
      </c>
      <c r="I75" s="12">
        <f>$B$5+H75*((E75-$B$5)/G75)</f>
        <v/>
      </c>
      <c r="J75" s="12">
        <f>$B$6+H75*((F75-$B$6)/G75)</f>
        <v/>
      </c>
      <c r="K75" s="12">
        <f>$B$11</f>
        <v/>
      </c>
      <c r="L75" s="13">
        <f>ABS(I75-K75)*10</f>
        <v/>
      </c>
      <c r="M75" s="12">
        <f>(J76-J74)/(B76-B74)</f>
        <v/>
      </c>
    </row>
    <row r="76">
      <c r="A76" s="8" t="n">
        <v>63</v>
      </c>
      <c r="B76" s="9" t="n">
        <v>8.768000000000001</v>
      </c>
      <c r="C76" s="9" t="n">
        <v>0.77593</v>
      </c>
      <c r="D76" s="8" t="n">
        <v>44.46</v>
      </c>
      <c r="E76" s="9">
        <f>($B$5+$B$7)+$B$7*COS(C76)</f>
        <v/>
      </c>
      <c r="F76" s="9">
        <f>$B$6+$B$7*SIN(C76)</f>
        <v/>
      </c>
      <c r="G76" s="9">
        <f>SQRT((E76-$B$5)^2+(F76-$B$6)^2)</f>
        <v/>
      </c>
      <c r="H76" s="9">
        <f>$B$10/G76</f>
        <v/>
      </c>
      <c r="I76" s="9">
        <f>$B$5+H76*((E76-$B$5)/G76)</f>
        <v/>
      </c>
      <c r="J76" s="9">
        <f>$B$6+H76*((F76-$B$6)/G76)</f>
        <v/>
      </c>
      <c r="K76" s="9">
        <f>$B$11</f>
        <v/>
      </c>
      <c r="L76" s="10">
        <f>ABS(I76-K76)*10</f>
        <v/>
      </c>
      <c r="M76" s="9">
        <f>(J77-J75)/(B77-B75)</f>
        <v/>
      </c>
    </row>
    <row r="77">
      <c r="A77" s="11" t="n">
        <v>64</v>
      </c>
      <c r="B77" s="12" t="n">
        <v>8.909000000000001</v>
      </c>
      <c r="C77" s="12" t="n">
        <v>0.71545</v>
      </c>
      <c r="D77" s="11" t="n">
        <v>40.99</v>
      </c>
      <c r="E77" s="12">
        <f>($B$5+$B$7)+$B$7*COS(C77)</f>
        <v/>
      </c>
      <c r="F77" s="12">
        <f>$B$6+$B$7*SIN(C77)</f>
        <v/>
      </c>
      <c r="G77" s="12">
        <f>SQRT((E77-$B$5)^2+(F77-$B$6)^2)</f>
        <v/>
      </c>
      <c r="H77" s="12">
        <f>$B$10/G77</f>
        <v/>
      </c>
      <c r="I77" s="12">
        <f>$B$5+H77*((E77-$B$5)/G77)</f>
        <v/>
      </c>
      <c r="J77" s="12">
        <f>$B$6+H77*((F77-$B$6)/G77)</f>
        <v/>
      </c>
      <c r="K77" s="12">
        <f>$B$11</f>
        <v/>
      </c>
      <c r="L77" s="13">
        <f>ABS(I77-K77)*10</f>
        <v/>
      </c>
      <c r="M77" s="12">
        <f>(J78-J76)/(B78-B76)</f>
        <v/>
      </c>
    </row>
    <row r="78">
      <c r="A78" s="8" t="n">
        <v>65</v>
      </c>
      <c r="B78" s="9" t="n">
        <v>9.051</v>
      </c>
      <c r="C78" s="9" t="n">
        <v>0.64208</v>
      </c>
      <c r="D78" s="8" t="n">
        <v>36.79</v>
      </c>
      <c r="E78" s="9">
        <f>($B$5+$B$7)+$B$7*COS(C78)</f>
        <v/>
      </c>
      <c r="F78" s="9">
        <f>$B$6+$B$7*SIN(C78)</f>
        <v/>
      </c>
      <c r="G78" s="9">
        <f>SQRT((E78-$B$5)^2+(F78-$B$6)^2)</f>
        <v/>
      </c>
      <c r="H78" s="9">
        <f>$B$10/G78</f>
        <v/>
      </c>
      <c r="I78" s="9">
        <f>$B$5+H78*((E78-$B$5)/G78)</f>
        <v/>
      </c>
      <c r="J78" s="9">
        <f>$B$6+H78*((F78-$B$6)/G78)</f>
        <v/>
      </c>
      <c r="K78" s="9">
        <f>$B$11</f>
        <v/>
      </c>
      <c r="L78" s="10">
        <f>ABS(I78-K78)*10</f>
        <v/>
      </c>
      <c r="M78" s="9">
        <f>(J79-J77)/(B79-B77)</f>
        <v/>
      </c>
    </row>
    <row r="79">
      <c r="A79" s="11" t="n">
        <v>66</v>
      </c>
      <c r="B79" s="12" t="n">
        <v>9.192</v>
      </c>
      <c r="C79" s="12" t="n">
        <v>0.55713</v>
      </c>
      <c r="D79" s="11" t="n">
        <v>31.92</v>
      </c>
      <c r="E79" s="12">
        <f>($B$5+$B$7)+$B$7*COS(C79)</f>
        <v/>
      </c>
      <c r="F79" s="12">
        <f>$B$6+$B$7*SIN(C79)</f>
        <v/>
      </c>
      <c r="G79" s="12">
        <f>SQRT((E79-$B$5)^2+(F79-$B$6)^2)</f>
        <v/>
      </c>
      <c r="H79" s="12">
        <f>$B$10/G79</f>
        <v/>
      </c>
      <c r="I79" s="12">
        <f>$B$5+H79*((E79-$B$5)/G79)</f>
        <v/>
      </c>
      <c r="J79" s="12">
        <f>$B$6+H79*((F79-$B$6)/G79)</f>
        <v/>
      </c>
      <c r="K79" s="12">
        <f>$B$11</f>
        <v/>
      </c>
      <c r="L79" s="13">
        <f>ABS(I79-K79)*10</f>
        <v/>
      </c>
      <c r="M79" s="12">
        <f>(J80-J78)/(B80-B78)</f>
        <v/>
      </c>
    </row>
    <row r="80">
      <c r="A80" s="8" t="n">
        <v>67</v>
      </c>
      <c r="B80" s="9" t="n">
        <v>9.333</v>
      </c>
      <c r="C80" s="9" t="n">
        <v>0.46215</v>
      </c>
      <c r="D80" s="8" t="n">
        <v>26.48</v>
      </c>
      <c r="E80" s="9">
        <f>($B$5+$B$7)+$B$7*COS(C80)</f>
        <v/>
      </c>
      <c r="F80" s="9">
        <f>$B$6+$B$7*SIN(C80)</f>
        <v/>
      </c>
      <c r="G80" s="9">
        <f>SQRT((E80-$B$5)^2+(F80-$B$6)^2)</f>
        <v/>
      </c>
      <c r="H80" s="9">
        <f>$B$10/G80</f>
        <v/>
      </c>
      <c r="I80" s="9">
        <f>$B$5+H80*((E80-$B$5)/G80)</f>
        <v/>
      </c>
      <c r="J80" s="9">
        <f>$B$6+H80*((F80-$B$6)/G80)</f>
        <v/>
      </c>
      <c r="K80" s="9">
        <f>$B$11</f>
        <v/>
      </c>
      <c r="L80" s="10">
        <f>ABS(I80-K80)*10</f>
        <v/>
      </c>
      <c r="M80" s="9">
        <f>(J81-J79)/(B81-B79)</f>
        <v/>
      </c>
    </row>
    <row r="81">
      <c r="A81" s="11" t="n">
        <v>68</v>
      </c>
      <c r="B81" s="12" t="n">
        <v>9.475</v>
      </c>
      <c r="C81" s="12" t="n">
        <v>0.35884</v>
      </c>
      <c r="D81" s="11" t="n">
        <v>20.56</v>
      </c>
      <c r="E81" s="12">
        <f>($B$5+$B$7)+$B$7*COS(C81)</f>
        <v/>
      </c>
      <c r="F81" s="12">
        <f>$B$6+$B$7*SIN(C81)</f>
        <v/>
      </c>
      <c r="G81" s="12">
        <f>SQRT((E81-$B$5)^2+(F81-$B$6)^2)</f>
        <v/>
      </c>
      <c r="H81" s="12">
        <f>$B$10/G81</f>
        <v/>
      </c>
      <c r="I81" s="12">
        <f>$B$5+H81*((E81-$B$5)/G81)</f>
        <v/>
      </c>
      <c r="J81" s="12">
        <f>$B$6+H81*((F81-$B$6)/G81)</f>
        <v/>
      </c>
      <c r="K81" s="12">
        <f>$B$11</f>
        <v/>
      </c>
      <c r="L81" s="13">
        <f>ABS(I81-K81)*10</f>
        <v/>
      </c>
      <c r="M81" s="12">
        <f>(J82-J80)/(B82-B80)</f>
        <v/>
      </c>
    </row>
    <row r="82">
      <c r="A82" s="8" t="n">
        <v>69</v>
      </c>
      <c r="B82" s="9" t="n">
        <v>9.616</v>
      </c>
      <c r="C82" s="9" t="n">
        <v>0.24906</v>
      </c>
      <c r="D82" s="8" t="n">
        <v>14.27</v>
      </c>
      <c r="E82" s="9">
        <f>($B$5+$B$7)+$B$7*COS(C82)</f>
        <v/>
      </c>
      <c r="F82" s="9">
        <f>$B$6+$B$7*SIN(C82)</f>
        <v/>
      </c>
      <c r="G82" s="9">
        <f>SQRT((E82-$B$5)^2+(F82-$B$6)^2)</f>
        <v/>
      </c>
      <c r="H82" s="9">
        <f>$B$10/G82</f>
        <v/>
      </c>
      <c r="I82" s="9">
        <f>$B$5+H82*((E82-$B$5)/G82)</f>
        <v/>
      </c>
      <c r="J82" s="9">
        <f>$B$6+H82*((F82-$B$6)/G82)</f>
        <v/>
      </c>
      <c r="K82" s="9">
        <f>$B$11</f>
        <v/>
      </c>
      <c r="L82" s="10">
        <f>ABS(I82-K82)*10</f>
        <v/>
      </c>
      <c r="M82" s="9">
        <f>(J83-J81)/(B83-B81)</f>
        <v/>
      </c>
    </row>
    <row r="83">
      <c r="A83" s="11" t="n">
        <v>70</v>
      </c>
      <c r="B83" s="12" t="n">
        <v>9.757999999999999</v>
      </c>
      <c r="C83" s="12" t="n">
        <v>0.13479</v>
      </c>
      <c r="D83" s="11" t="n">
        <v>7.72</v>
      </c>
      <c r="E83" s="12">
        <f>($B$5+$B$7)+$B$7*COS(C83)</f>
        <v/>
      </c>
      <c r="F83" s="12">
        <f>$B$6+$B$7*SIN(C83)</f>
        <v/>
      </c>
      <c r="G83" s="12">
        <f>SQRT((E83-$B$5)^2+(F83-$B$6)^2)</f>
        <v/>
      </c>
      <c r="H83" s="12">
        <f>$B$10/G83</f>
        <v/>
      </c>
      <c r="I83" s="12">
        <f>$B$5+H83*((E83-$B$5)/G83)</f>
        <v/>
      </c>
      <c r="J83" s="12">
        <f>$B$6+H83*((F83-$B$6)/G83)</f>
        <v/>
      </c>
      <c r="K83" s="12">
        <f>$B$11</f>
        <v/>
      </c>
      <c r="L83" s="13">
        <f>ABS(I83-K83)*10</f>
        <v/>
      </c>
      <c r="M83" s="12">
        <f>(J84-J82)/(B84-B82)</f>
        <v/>
      </c>
    </row>
    <row r="84">
      <c r="A84" s="8" t="n">
        <v>71</v>
      </c>
      <c r="B84" s="9" t="n">
        <v>9.898999999999999</v>
      </c>
      <c r="C84" s="9" t="n">
        <v>0.0181</v>
      </c>
      <c r="D84" s="8" t="n">
        <v>1.04</v>
      </c>
      <c r="E84" s="9">
        <f>($B$5+$B$7)+$B$7*COS(C84)</f>
        <v/>
      </c>
      <c r="F84" s="9">
        <f>$B$6+$B$7*SIN(C84)</f>
        <v/>
      </c>
      <c r="G84" s="9">
        <f>SQRT((E84-$B$5)^2+(F84-$B$6)^2)</f>
        <v/>
      </c>
      <c r="H84" s="9">
        <f>$B$10/G84</f>
        <v/>
      </c>
      <c r="I84" s="9">
        <f>$B$5+H84*((E84-$B$5)/G84)</f>
        <v/>
      </c>
      <c r="J84" s="9">
        <f>$B$6+H84*((F84-$B$6)/G84)</f>
        <v/>
      </c>
      <c r="K84" s="9">
        <f>$B$11</f>
        <v/>
      </c>
      <c r="L84" s="10">
        <f>ABS(I84-K84)*10</f>
        <v/>
      </c>
      <c r="M84" s="9">
        <f>(J85-J83)/(B85-B83)</f>
        <v/>
      </c>
    </row>
    <row r="85">
      <c r="A85" s="11" t="n">
        <v>72</v>
      </c>
      <c r="B85" s="12" t="n">
        <v>10.04</v>
      </c>
      <c r="C85" s="12" t="n">
        <v>-0.09893</v>
      </c>
      <c r="D85" s="11" t="n">
        <v>-5.67</v>
      </c>
      <c r="E85" s="12">
        <f>($B$5+$B$7)+$B$7*COS(C85)</f>
        <v/>
      </c>
      <c r="F85" s="12">
        <f>$B$6+$B$7*SIN(C85)</f>
        <v/>
      </c>
      <c r="G85" s="12">
        <f>SQRT((E85-$B$5)^2+(F85-$B$6)^2)</f>
        <v/>
      </c>
      <c r="H85" s="12">
        <f>$B$10/G85</f>
        <v/>
      </c>
      <c r="I85" s="12">
        <f>$B$5+H85*((E85-$B$5)/G85)</f>
        <v/>
      </c>
      <c r="J85" s="12">
        <f>$B$6+H85*((F85-$B$6)/G85)</f>
        <v/>
      </c>
      <c r="K85" s="12">
        <f>$B$11</f>
        <v/>
      </c>
      <c r="L85" s="13">
        <f>ABS(I85-K85)*10</f>
        <v/>
      </c>
      <c r="M85" s="12">
        <f>(J86-J84)/(B86-B84)</f>
        <v/>
      </c>
    </row>
    <row r="86">
      <c r="A86" s="8" t="n">
        <v>73</v>
      </c>
      <c r="B86" s="9" t="n">
        <v>10.182</v>
      </c>
      <c r="C86" s="9" t="n">
        <v>-0.21417</v>
      </c>
      <c r="D86" s="8" t="n">
        <v>-12.27</v>
      </c>
      <c r="E86" s="9">
        <f>($B$5+$B$7)+$B$7*COS(C86)</f>
        <v/>
      </c>
      <c r="F86" s="9">
        <f>$B$6+$B$7*SIN(C86)</f>
        <v/>
      </c>
      <c r="G86" s="9">
        <f>SQRT((E86-$B$5)^2+(F86-$B$6)^2)</f>
        <v/>
      </c>
      <c r="H86" s="9">
        <f>$B$10/G86</f>
        <v/>
      </c>
      <c r="I86" s="9">
        <f>$B$5+H86*((E86-$B$5)/G86)</f>
        <v/>
      </c>
      <c r="J86" s="9">
        <f>$B$6+H86*((F86-$B$6)/G86)</f>
        <v/>
      </c>
      <c r="K86" s="9">
        <f>$B$11</f>
        <v/>
      </c>
      <c r="L86" s="10">
        <f>ABS(I86-K86)*10</f>
        <v/>
      </c>
      <c r="M86" s="9">
        <f>(J87-J85)/(B87-B85)</f>
        <v/>
      </c>
    </row>
    <row r="87">
      <c r="A87" s="11" t="n">
        <v>74</v>
      </c>
      <c r="B87" s="12" t="n">
        <v>10.323</v>
      </c>
      <c r="C87" s="12" t="n">
        <v>-0.32555</v>
      </c>
      <c r="D87" s="11" t="n">
        <v>-18.65</v>
      </c>
      <c r="E87" s="12">
        <f>($B$5+$B$7)+$B$7*COS(C87)</f>
        <v/>
      </c>
      <c r="F87" s="12">
        <f>$B$6+$B$7*SIN(C87)</f>
        <v/>
      </c>
      <c r="G87" s="12">
        <f>SQRT((E87-$B$5)^2+(F87-$B$6)^2)</f>
        <v/>
      </c>
      <c r="H87" s="12">
        <f>$B$10/G87</f>
        <v/>
      </c>
      <c r="I87" s="12">
        <f>$B$5+H87*((E87-$B$5)/G87)</f>
        <v/>
      </c>
      <c r="J87" s="12">
        <f>$B$6+H87*((F87-$B$6)/G87)</f>
        <v/>
      </c>
      <c r="K87" s="12">
        <f>$B$11</f>
        <v/>
      </c>
      <c r="L87" s="13">
        <f>ABS(I87-K87)*10</f>
        <v/>
      </c>
      <c r="M87" s="12">
        <f>(J88-J86)/(B88-B86)</f>
        <v/>
      </c>
    </row>
    <row r="88">
      <c r="A88" s="8" t="n">
        <v>75</v>
      </c>
      <c r="B88" s="9" t="n">
        <v>10.465</v>
      </c>
      <c r="C88" s="9" t="n">
        <v>-0.43106</v>
      </c>
      <c r="D88" s="8" t="n">
        <v>-24.7</v>
      </c>
      <c r="E88" s="9">
        <f>($B$5+$B$7)+$B$7*COS(C88)</f>
        <v/>
      </c>
      <c r="F88" s="9">
        <f>$B$6+$B$7*SIN(C88)</f>
        <v/>
      </c>
      <c r="G88" s="9">
        <f>SQRT((E88-$B$5)^2+(F88-$B$6)^2)</f>
        <v/>
      </c>
      <c r="H88" s="9">
        <f>$B$10/G88</f>
        <v/>
      </c>
      <c r="I88" s="9">
        <f>$B$5+H88*((E88-$B$5)/G88)</f>
        <v/>
      </c>
      <c r="J88" s="9">
        <f>$B$6+H88*((F88-$B$6)/G88)</f>
        <v/>
      </c>
      <c r="K88" s="9">
        <f>$B$11</f>
        <v/>
      </c>
      <c r="L88" s="10">
        <f>ABS(I88-K88)*10</f>
        <v/>
      </c>
      <c r="M88" s="9">
        <f>(J89-J87)/(B89-B87)</f>
        <v/>
      </c>
    </row>
    <row r="89">
      <c r="A89" s="11" t="n">
        <v>76</v>
      </c>
      <c r="B89" s="12" t="n">
        <v>10.606</v>
      </c>
      <c r="C89" s="12" t="n">
        <v>-0.52881</v>
      </c>
      <c r="D89" s="11" t="n">
        <v>-30.3</v>
      </c>
      <c r="E89" s="12">
        <f>($B$5+$B$7)+$B$7*COS(C89)</f>
        <v/>
      </c>
      <c r="F89" s="12">
        <f>$B$6+$B$7*SIN(C89)</f>
        <v/>
      </c>
      <c r="G89" s="12">
        <f>SQRT((E89-$B$5)^2+(F89-$B$6)^2)</f>
        <v/>
      </c>
      <c r="H89" s="12">
        <f>$B$10/G89</f>
        <v/>
      </c>
      <c r="I89" s="12">
        <f>$B$5+H89*((E89-$B$5)/G89)</f>
        <v/>
      </c>
      <c r="J89" s="12">
        <f>$B$6+H89*((F89-$B$6)/G89)</f>
        <v/>
      </c>
      <c r="K89" s="12">
        <f>$B$11</f>
        <v/>
      </c>
      <c r="L89" s="13">
        <f>ABS(I89-K89)*10</f>
        <v/>
      </c>
      <c r="M89" s="12">
        <f>(J90-J88)/(B90-B88)</f>
        <v/>
      </c>
    </row>
    <row r="90">
      <c r="A90" s="8" t="n">
        <v>77</v>
      </c>
      <c r="B90" s="9" t="n">
        <v>10.747</v>
      </c>
      <c r="C90" s="9" t="n">
        <v>-0.61702</v>
      </c>
      <c r="D90" s="8" t="n">
        <v>-35.35</v>
      </c>
      <c r="E90" s="9">
        <f>($B$5+$B$7)+$B$7*COS(C90)</f>
        <v/>
      </c>
      <c r="F90" s="9">
        <f>$B$6+$B$7*SIN(C90)</f>
        <v/>
      </c>
      <c r="G90" s="9">
        <f>SQRT((E90-$B$5)^2+(F90-$B$6)^2)</f>
        <v/>
      </c>
      <c r="H90" s="9">
        <f>$B$10/G90</f>
        <v/>
      </c>
      <c r="I90" s="9">
        <f>$B$5+H90*((E90-$B$5)/G90)</f>
        <v/>
      </c>
      <c r="J90" s="9">
        <f>$B$6+H90*((F90-$B$6)/G90)</f>
        <v/>
      </c>
      <c r="K90" s="9">
        <f>$B$11</f>
        <v/>
      </c>
      <c r="L90" s="10">
        <f>ABS(I90-K90)*10</f>
        <v/>
      </c>
      <c r="M90" s="9">
        <f>(J91-J89)/(B91-B89)</f>
        <v/>
      </c>
    </row>
    <row r="91">
      <c r="A91" s="11" t="n">
        <v>78</v>
      </c>
      <c r="B91" s="12" t="n">
        <v>10.889</v>
      </c>
      <c r="C91" s="12" t="n">
        <v>-0.69412</v>
      </c>
      <c r="D91" s="11" t="n">
        <v>-39.77</v>
      </c>
      <c r="E91" s="12">
        <f>($B$5+$B$7)+$B$7*COS(C91)</f>
        <v/>
      </c>
      <c r="F91" s="12">
        <f>$B$6+$B$7*SIN(C91)</f>
        <v/>
      </c>
      <c r="G91" s="12">
        <f>SQRT((E91-$B$5)^2+(F91-$B$6)^2)</f>
        <v/>
      </c>
      <c r="H91" s="12">
        <f>$B$10/G91</f>
        <v/>
      </c>
      <c r="I91" s="12">
        <f>$B$5+H91*((E91-$B$5)/G91)</f>
        <v/>
      </c>
      <c r="J91" s="12">
        <f>$B$6+H91*((F91-$B$6)/G91)</f>
        <v/>
      </c>
      <c r="K91" s="12">
        <f>$B$11</f>
        <v/>
      </c>
      <c r="L91" s="13">
        <f>ABS(I91-K91)*10</f>
        <v/>
      </c>
      <c r="M91" s="12">
        <f>(J92-J90)/(B92-B90)</f>
        <v/>
      </c>
    </row>
    <row r="92">
      <c r="A92" s="8" t="n">
        <v>79</v>
      </c>
      <c r="B92" s="9" t="n">
        <v>11.03</v>
      </c>
      <c r="C92" s="9" t="n">
        <v>-0.7587</v>
      </c>
      <c r="D92" s="8" t="n">
        <v>-43.47</v>
      </c>
      <c r="E92" s="9">
        <f>($B$5+$B$7)+$B$7*COS(C92)</f>
        <v/>
      </c>
      <c r="F92" s="9">
        <f>$B$6+$B$7*SIN(C92)</f>
        <v/>
      </c>
      <c r="G92" s="9">
        <f>SQRT((E92-$B$5)^2+(F92-$B$6)^2)</f>
        <v/>
      </c>
      <c r="H92" s="9">
        <f>$B$10/G92</f>
        <v/>
      </c>
      <c r="I92" s="9">
        <f>$B$5+H92*((E92-$B$5)/G92)</f>
        <v/>
      </c>
      <c r="J92" s="9">
        <f>$B$6+H92*((F92-$B$6)/G92)</f>
        <v/>
      </c>
      <c r="K92" s="9">
        <f>$B$11</f>
        <v/>
      </c>
      <c r="L92" s="10">
        <f>ABS(I92-K92)*10</f>
        <v/>
      </c>
      <c r="M92" s="9">
        <f>(J93-J91)/(B93-B91)</f>
        <v/>
      </c>
    </row>
    <row r="93">
      <c r="A93" s="11" t="n">
        <v>80</v>
      </c>
      <c r="B93" s="12" t="n">
        <v>11.172</v>
      </c>
      <c r="C93" s="12" t="n">
        <v>-0.80962</v>
      </c>
      <c r="D93" s="11" t="n">
        <v>-46.39</v>
      </c>
      <c r="E93" s="12">
        <f>($B$5+$B$7)+$B$7*COS(C93)</f>
        <v/>
      </c>
      <c r="F93" s="12">
        <f>$B$6+$B$7*SIN(C93)</f>
        <v/>
      </c>
      <c r="G93" s="12">
        <f>SQRT((E93-$B$5)^2+(F93-$B$6)^2)</f>
        <v/>
      </c>
      <c r="H93" s="12">
        <f>$B$10/G93</f>
        <v/>
      </c>
      <c r="I93" s="12">
        <f>$B$5+H93*((E93-$B$5)/G93)</f>
        <v/>
      </c>
      <c r="J93" s="12">
        <f>$B$6+H93*((F93-$B$6)/G93)</f>
        <v/>
      </c>
      <c r="K93" s="12">
        <f>$B$11</f>
        <v/>
      </c>
      <c r="L93" s="13">
        <f>ABS(I93-K93)*10</f>
        <v/>
      </c>
      <c r="M93" s="12">
        <f>(J94-J92)/(B94-B92)</f>
        <v/>
      </c>
    </row>
    <row r="94">
      <c r="A94" s="8" t="n">
        <v>81</v>
      </c>
      <c r="B94" s="9" t="n">
        <v>11.313</v>
      </c>
      <c r="C94" s="9" t="n">
        <v>-0.84594</v>
      </c>
      <c r="D94" s="8" t="n">
        <v>-48.47</v>
      </c>
      <c r="E94" s="9">
        <f>($B$5+$B$7)+$B$7*COS(C94)</f>
        <v/>
      </c>
      <c r="F94" s="9">
        <f>$B$6+$B$7*SIN(C94)</f>
        <v/>
      </c>
      <c r="G94" s="9">
        <f>SQRT((E94-$B$5)^2+(F94-$B$6)^2)</f>
        <v/>
      </c>
      <c r="H94" s="9">
        <f>$B$10/G94</f>
        <v/>
      </c>
      <c r="I94" s="9">
        <f>$B$5+H94*((E94-$B$5)/G94)</f>
        <v/>
      </c>
      <c r="J94" s="9">
        <f>$B$6+H94*((F94-$B$6)/G94)</f>
        <v/>
      </c>
      <c r="K94" s="9">
        <f>$B$11</f>
        <v/>
      </c>
      <c r="L94" s="10">
        <f>ABS(I94-K94)*10</f>
        <v/>
      </c>
      <c r="M94" s="9">
        <f>(J95-J93)/(B95-B93)</f>
        <v/>
      </c>
    </row>
    <row r="95">
      <c r="A95" s="11" t="n">
        <v>82</v>
      </c>
      <c r="B95" s="12" t="n">
        <v>11.455</v>
      </c>
      <c r="C95" s="12" t="n">
        <v>-0.86702</v>
      </c>
      <c r="D95" s="11" t="n">
        <v>-49.68</v>
      </c>
      <c r="E95" s="12">
        <f>($B$5+$B$7)+$B$7*COS(C95)</f>
        <v/>
      </c>
      <c r="F95" s="12">
        <f>$B$6+$B$7*SIN(C95)</f>
        <v/>
      </c>
      <c r="G95" s="12">
        <f>SQRT((E95-$B$5)^2+(F95-$B$6)^2)</f>
        <v/>
      </c>
      <c r="H95" s="12">
        <f>$B$10/G95</f>
        <v/>
      </c>
      <c r="I95" s="12">
        <f>$B$5+H95*((E95-$B$5)/G95)</f>
        <v/>
      </c>
      <c r="J95" s="12">
        <f>$B$6+H95*((F95-$B$6)/G95)</f>
        <v/>
      </c>
      <c r="K95" s="12">
        <f>$B$11</f>
        <v/>
      </c>
      <c r="L95" s="13">
        <f>ABS(I95-K95)*10</f>
        <v/>
      </c>
      <c r="M95" s="12">
        <f>(J96-J94)/(B96-B94)</f>
        <v/>
      </c>
    </row>
    <row r="96">
      <c r="A96" s="8" t="n">
        <v>83</v>
      </c>
      <c r="B96" s="9" t="n">
        <v>11.596</v>
      </c>
      <c r="C96" s="9" t="n">
        <v>-0.87248</v>
      </c>
      <c r="D96" s="8" t="n">
        <v>-49.99</v>
      </c>
      <c r="E96" s="9">
        <f>($B$5+$B$7)+$B$7*COS(C96)</f>
        <v/>
      </c>
      <c r="F96" s="9">
        <f>$B$6+$B$7*SIN(C96)</f>
        <v/>
      </c>
      <c r="G96" s="9">
        <f>SQRT((E96-$B$5)^2+(F96-$B$6)^2)</f>
        <v/>
      </c>
      <c r="H96" s="9">
        <f>$B$10/G96</f>
        <v/>
      </c>
      <c r="I96" s="9">
        <f>$B$5+H96*((E96-$B$5)/G96)</f>
        <v/>
      </c>
      <c r="J96" s="9">
        <f>$B$6+H96*((F96-$B$6)/G96)</f>
        <v/>
      </c>
      <c r="K96" s="9">
        <f>$B$11</f>
        <v/>
      </c>
      <c r="L96" s="10">
        <f>ABS(I96-K96)*10</f>
        <v/>
      </c>
      <c r="M96" s="9">
        <f>(J97-J95)/(B97-B95)</f>
        <v/>
      </c>
    </row>
    <row r="97">
      <c r="A97" s="11" t="n">
        <v>84</v>
      </c>
      <c r="B97" s="12" t="n">
        <v>11.737</v>
      </c>
      <c r="C97" s="12" t="n">
        <v>-0.86221</v>
      </c>
      <c r="D97" s="11" t="n">
        <v>-49.4</v>
      </c>
      <c r="E97" s="12">
        <f>($B$5+$B$7)+$B$7*COS(C97)</f>
        <v/>
      </c>
      <c r="F97" s="12">
        <f>$B$6+$B$7*SIN(C97)</f>
        <v/>
      </c>
      <c r="G97" s="12">
        <f>SQRT((E97-$B$5)^2+(F97-$B$6)^2)</f>
        <v/>
      </c>
      <c r="H97" s="12">
        <f>$B$10/G97</f>
        <v/>
      </c>
      <c r="I97" s="12">
        <f>$B$5+H97*((E97-$B$5)/G97)</f>
        <v/>
      </c>
      <c r="J97" s="12">
        <f>$B$6+H97*((F97-$B$6)/G97)</f>
        <v/>
      </c>
      <c r="K97" s="12">
        <f>$B$11</f>
        <v/>
      </c>
      <c r="L97" s="13">
        <f>ABS(I97-K97)*10</f>
        <v/>
      </c>
      <c r="M97" s="12">
        <f>(J98-J96)/(B98-B96)</f>
        <v/>
      </c>
    </row>
    <row r="98">
      <c r="A98" s="8" t="n">
        <v>85</v>
      </c>
      <c r="B98" s="9" t="n">
        <v>11.879</v>
      </c>
      <c r="C98" s="9" t="n">
        <v>-0.83641</v>
      </c>
      <c r="D98" s="8" t="n">
        <v>-47.92</v>
      </c>
      <c r="E98" s="9">
        <f>($B$5+$B$7)+$B$7*COS(C98)</f>
        <v/>
      </c>
      <c r="F98" s="9">
        <f>$B$6+$B$7*SIN(C98)</f>
        <v/>
      </c>
      <c r="G98" s="9">
        <f>SQRT((E98-$B$5)^2+(F98-$B$6)^2)</f>
        <v/>
      </c>
      <c r="H98" s="9">
        <f>$B$10/G98</f>
        <v/>
      </c>
      <c r="I98" s="9">
        <f>$B$5+H98*((E98-$B$5)/G98)</f>
        <v/>
      </c>
      <c r="J98" s="9">
        <f>$B$6+H98*((F98-$B$6)/G98)</f>
        <v/>
      </c>
      <c r="K98" s="9">
        <f>$B$11</f>
        <v/>
      </c>
      <c r="L98" s="10">
        <f>ABS(I98-K98)*10</f>
        <v/>
      </c>
      <c r="M98" s="9">
        <f>(J99-J97)/(B99-B97)</f>
        <v/>
      </c>
    </row>
    <row r="99">
      <c r="A99" s="11" t="n">
        <v>86</v>
      </c>
      <c r="B99" s="12" t="n">
        <v>12.02</v>
      </c>
      <c r="C99" s="12" t="n">
        <v>-0.79553</v>
      </c>
      <c r="D99" s="11" t="n">
        <v>-45.58</v>
      </c>
      <c r="E99" s="12">
        <f>($B$5+$B$7)+$B$7*COS(C99)</f>
        <v/>
      </c>
      <c r="F99" s="12">
        <f>$B$6+$B$7*SIN(C99)</f>
        <v/>
      </c>
      <c r="G99" s="12">
        <f>SQRT((E99-$B$5)^2+(F99-$B$6)^2)</f>
        <v/>
      </c>
      <c r="H99" s="12">
        <f>$B$10/G99</f>
        <v/>
      </c>
      <c r="I99" s="12">
        <f>$B$5+H99*((E99-$B$5)/G99)</f>
        <v/>
      </c>
      <c r="J99" s="12">
        <f>$B$6+H99*((F99-$B$6)/G99)</f>
        <v/>
      </c>
      <c r="K99" s="12">
        <f>$B$11</f>
        <v/>
      </c>
      <c r="L99" s="13">
        <f>ABS(I99-K99)*10</f>
        <v/>
      </c>
      <c r="M99" s="12">
        <f>(J100-J98)/(B100-B98)</f>
        <v/>
      </c>
    </row>
    <row r="100">
      <c r="A100" s="8" t="n">
        <v>87</v>
      </c>
      <c r="B100" s="9" t="n">
        <v>12.162</v>
      </c>
      <c r="C100" s="9" t="n">
        <v>-0.74031</v>
      </c>
      <c r="D100" s="8" t="n">
        <v>-42.42</v>
      </c>
      <c r="E100" s="9">
        <f>($B$5+$B$7)+$B$7*COS(C100)</f>
        <v/>
      </c>
      <c r="F100" s="9">
        <f>$B$6+$B$7*SIN(C100)</f>
        <v/>
      </c>
      <c r="G100" s="9">
        <f>SQRT((E100-$B$5)^2+(F100-$B$6)^2)</f>
        <v/>
      </c>
      <c r="H100" s="9">
        <f>$B$10/G100</f>
        <v/>
      </c>
      <c r="I100" s="9">
        <f>$B$5+H100*((E100-$B$5)/G100)</f>
        <v/>
      </c>
      <c r="J100" s="9">
        <f>$B$6+H100*((F100-$B$6)/G100)</f>
        <v/>
      </c>
      <c r="K100" s="9">
        <f>$B$11</f>
        <v/>
      </c>
      <c r="L100" s="10">
        <f>ABS(I100-K100)*10</f>
        <v/>
      </c>
      <c r="M100" s="9">
        <f>(J101-J99)/(B101-B99)</f>
        <v/>
      </c>
    </row>
    <row r="101">
      <c r="A101" s="11" t="n">
        <v>88</v>
      </c>
      <c r="B101" s="12" t="n">
        <v>12.303</v>
      </c>
      <c r="C101" s="12" t="n">
        <v>-0.67176</v>
      </c>
      <c r="D101" s="11" t="n">
        <v>-38.49</v>
      </c>
      <c r="E101" s="12">
        <f>($B$5+$B$7)+$B$7*COS(C101)</f>
        <v/>
      </c>
      <c r="F101" s="12">
        <f>$B$6+$B$7*SIN(C101)</f>
        <v/>
      </c>
      <c r="G101" s="12">
        <f>SQRT((E101-$B$5)^2+(F101-$B$6)^2)</f>
        <v/>
      </c>
      <c r="H101" s="12">
        <f>$B$10/G101</f>
        <v/>
      </c>
      <c r="I101" s="12">
        <f>$B$5+H101*((E101-$B$5)/G101)</f>
        <v/>
      </c>
      <c r="J101" s="12">
        <f>$B$6+H101*((F101-$B$6)/G101)</f>
        <v/>
      </c>
      <c r="K101" s="12">
        <f>$B$11</f>
        <v/>
      </c>
      <c r="L101" s="13">
        <f>ABS(I101-K101)*10</f>
        <v/>
      </c>
      <c r="M101" s="12">
        <f>(J102-J100)/(B102-B100)</f>
        <v/>
      </c>
    </row>
    <row r="102">
      <c r="A102" s="8" t="n">
        <v>89</v>
      </c>
      <c r="B102" s="9" t="n">
        <v>12.444</v>
      </c>
      <c r="C102" s="9" t="n">
        <v>-0.5911</v>
      </c>
      <c r="D102" s="8" t="n">
        <v>-33.87</v>
      </c>
      <c r="E102" s="9">
        <f>($B$5+$B$7)+$B$7*COS(C102)</f>
        <v/>
      </c>
      <c r="F102" s="9">
        <f>$B$6+$B$7*SIN(C102)</f>
        <v/>
      </c>
      <c r="G102" s="9">
        <f>SQRT((E102-$B$5)^2+(F102-$B$6)^2)</f>
        <v/>
      </c>
      <c r="H102" s="9">
        <f>$B$10/G102</f>
        <v/>
      </c>
      <c r="I102" s="9">
        <f>$B$5+H102*((E102-$B$5)/G102)</f>
        <v/>
      </c>
      <c r="J102" s="9">
        <f>$B$6+H102*((F102-$B$6)/G102)</f>
        <v/>
      </c>
      <c r="K102" s="9">
        <f>$B$11</f>
        <v/>
      </c>
      <c r="L102" s="10">
        <f>ABS(I102-K102)*10</f>
        <v/>
      </c>
      <c r="M102" s="9">
        <f>(J103-J101)/(B103-B101)</f>
        <v/>
      </c>
    </row>
    <row r="103">
      <c r="A103" s="11" t="n">
        <v>90</v>
      </c>
      <c r="B103" s="12" t="n">
        <v>12.586</v>
      </c>
      <c r="C103" s="12" t="n">
        <v>-0.49978</v>
      </c>
      <c r="D103" s="11" t="n">
        <v>-28.64</v>
      </c>
      <c r="E103" s="12">
        <f>($B$5+$B$7)+$B$7*COS(C103)</f>
        <v/>
      </c>
      <c r="F103" s="12">
        <f>$B$6+$B$7*SIN(C103)</f>
        <v/>
      </c>
      <c r="G103" s="12">
        <f>SQRT((E103-$B$5)^2+(F103-$B$6)^2)</f>
        <v/>
      </c>
      <c r="H103" s="12">
        <f>$B$10/G103</f>
        <v/>
      </c>
      <c r="I103" s="12">
        <f>$B$5+H103*((E103-$B$5)/G103)</f>
        <v/>
      </c>
      <c r="J103" s="12">
        <f>$B$6+H103*((F103-$B$6)/G103)</f>
        <v/>
      </c>
      <c r="K103" s="12">
        <f>$B$11</f>
        <v/>
      </c>
      <c r="L103" s="13">
        <f>ABS(I103-K103)*10</f>
        <v/>
      </c>
      <c r="M103" s="12">
        <f>(J104-J102)/(B104-B102)</f>
        <v/>
      </c>
    </row>
    <row r="104">
      <c r="A104" s="8" t="n">
        <v>91</v>
      </c>
      <c r="B104" s="9" t="n">
        <v>12.727</v>
      </c>
      <c r="C104" s="9" t="n">
        <v>-0.39946</v>
      </c>
      <c r="D104" s="8" t="n">
        <v>-22.89</v>
      </c>
      <c r="E104" s="9">
        <f>($B$5+$B$7)+$B$7*COS(C104)</f>
        <v/>
      </c>
      <c r="F104" s="9">
        <f>$B$6+$B$7*SIN(C104)</f>
        <v/>
      </c>
      <c r="G104" s="9">
        <f>SQRT((E104-$B$5)^2+(F104-$B$6)^2)</f>
        <v/>
      </c>
      <c r="H104" s="9">
        <f>$B$10/G104</f>
        <v/>
      </c>
      <c r="I104" s="9">
        <f>$B$5+H104*((E104-$B$5)/G104)</f>
        <v/>
      </c>
      <c r="J104" s="9">
        <f>$B$6+H104*((F104-$B$6)/G104)</f>
        <v/>
      </c>
      <c r="K104" s="9">
        <f>$B$11</f>
        <v/>
      </c>
      <c r="L104" s="10">
        <f>ABS(I104-K104)*10</f>
        <v/>
      </c>
      <c r="M104" s="9">
        <f>(J105-J103)/(B105-B103)</f>
        <v/>
      </c>
    </row>
    <row r="105">
      <c r="A105" s="11" t="n">
        <v>92</v>
      </c>
      <c r="B105" s="12" t="n">
        <v>12.869</v>
      </c>
      <c r="C105" s="12" t="n">
        <v>-0.29194</v>
      </c>
      <c r="D105" s="11" t="n">
        <v>-16.73</v>
      </c>
      <c r="E105" s="12">
        <f>($B$5+$B$7)+$B$7*COS(C105)</f>
        <v/>
      </c>
      <c r="F105" s="12">
        <f>$B$6+$B$7*SIN(C105)</f>
        <v/>
      </c>
      <c r="G105" s="12">
        <f>SQRT((E105-$B$5)^2+(F105-$B$6)^2)</f>
        <v/>
      </c>
      <c r="H105" s="12">
        <f>$B$10/G105</f>
        <v/>
      </c>
      <c r="I105" s="12">
        <f>$B$5+H105*((E105-$B$5)/G105)</f>
        <v/>
      </c>
      <c r="J105" s="12">
        <f>$B$6+H105*((F105-$B$6)/G105)</f>
        <v/>
      </c>
      <c r="K105" s="12">
        <f>$B$11</f>
        <v/>
      </c>
      <c r="L105" s="13">
        <f>ABS(I105-K105)*10</f>
        <v/>
      </c>
      <c r="M105" s="12">
        <f>(J106-J104)/(B106-B104)</f>
        <v/>
      </c>
    </row>
    <row r="106">
      <c r="A106" s="8" t="n">
        <v>93</v>
      </c>
      <c r="B106" s="9" t="n">
        <v>13.01</v>
      </c>
      <c r="C106" s="9" t="n">
        <v>-0.17916</v>
      </c>
      <c r="D106" s="8" t="n">
        <v>-10.27</v>
      </c>
      <c r="E106" s="9">
        <f>($B$5+$B$7)+$B$7*COS(C106)</f>
        <v/>
      </c>
      <c r="F106" s="9">
        <f>$B$6+$B$7*SIN(C106)</f>
        <v/>
      </c>
      <c r="G106" s="9">
        <f>SQRT((E106-$B$5)^2+(F106-$B$6)^2)</f>
        <v/>
      </c>
      <c r="H106" s="9">
        <f>$B$10/G106</f>
        <v/>
      </c>
      <c r="I106" s="9">
        <f>$B$5+H106*((E106-$B$5)/G106)</f>
        <v/>
      </c>
      <c r="J106" s="9">
        <f>$B$6+H106*((F106-$B$6)/G106)</f>
        <v/>
      </c>
      <c r="K106" s="9">
        <f>$B$11</f>
        <v/>
      </c>
      <c r="L106" s="10">
        <f>ABS(I106-K106)*10</f>
        <v/>
      </c>
      <c r="M106" s="9">
        <f>(J107-J105)/(B107-B105)</f>
        <v/>
      </c>
    </row>
    <row r="107">
      <c r="A107" s="11" t="n">
        <v>94</v>
      </c>
      <c r="B107" s="12" t="n">
        <v>13.152</v>
      </c>
      <c r="C107" s="12" t="n">
        <v>-0.06315</v>
      </c>
      <c r="D107" s="11" t="n">
        <v>-3.62</v>
      </c>
      <c r="E107" s="12">
        <f>($B$5+$B$7)+$B$7*COS(C107)</f>
        <v/>
      </c>
      <c r="F107" s="12">
        <f>$B$6+$B$7*SIN(C107)</f>
        <v/>
      </c>
      <c r="G107" s="12">
        <f>SQRT((E107-$B$5)^2+(F107-$B$6)^2)</f>
        <v/>
      </c>
      <c r="H107" s="12">
        <f>$B$10/G107</f>
        <v/>
      </c>
      <c r="I107" s="12">
        <f>$B$5+H107*((E107-$B$5)/G107)</f>
        <v/>
      </c>
      <c r="J107" s="12">
        <f>$B$6+H107*((F107-$B$6)/G107)</f>
        <v/>
      </c>
      <c r="K107" s="12">
        <f>$B$11</f>
        <v/>
      </c>
      <c r="L107" s="13">
        <f>ABS(I107-K107)*10</f>
        <v/>
      </c>
      <c r="M107" s="12">
        <f>(J108-J106)/(B108-B106)</f>
        <v/>
      </c>
    </row>
    <row r="108">
      <c r="A108" s="8" t="n">
        <v>95</v>
      </c>
      <c r="B108" s="9" t="n">
        <v>13.293</v>
      </c>
      <c r="C108" s="9" t="n">
        <v>0.05399</v>
      </c>
      <c r="D108" s="8" t="n">
        <v>3.09</v>
      </c>
      <c r="E108" s="9">
        <f>($B$5+$B$7)+$B$7*COS(C108)</f>
        <v/>
      </c>
      <c r="F108" s="9">
        <f>$B$6+$B$7*SIN(C108)</f>
        <v/>
      </c>
      <c r="G108" s="9">
        <f>SQRT((E108-$B$5)^2+(F108-$B$6)^2)</f>
        <v/>
      </c>
      <c r="H108" s="9">
        <f>$B$10/G108</f>
        <v/>
      </c>
      <c r="I108" s="9">
        <f>$B$5+H108*((E108-$B$5)/G108)</f>
        <v/>
      </c>
      <c r="J108" s="9">
        <f>$B$6+H108*((F108-$B$6)/G108)</f>
        <v/>
      </c>
      <c r="K108" s="9">
        <f>$B$11</f>
        <v/>
      </c>
      <c r="L108" s="10">
        <f>ABS(I108-K108)*10</f>
        <v/>
      </c>
      <c r="M108" s="9">
        <f>(J109-J107)/(B109-B107)</f>
        <v/>
      </c>
    </row>
    <row r="109">
      <c r="A109" s="11" t="n">
        <v>96</v>
      </c>
      <c r="B109" s="12" t="n">
        <v>13.434</v>
      </c>
      <c r="C109" s="12" t="n">
        <v>0.17017</v>
      </c>
      <c r="D109" s="11" t="n">
        <v>9.75</v>
      </c>
      <c r="E109" s="12">
        <f>($B$5+$B$7)+$B$7*COS(C109)</f>
        <v/>
      </c>
      <c r="F109" s="12">
        <f>$B$6+$B$7*SIN(C109)</f>
        <v/>
      </c>
      <c r="G109" s="12">
        <f>SQRT((E109-$B$5)^2+(F109-$B$6)^2)</f>
        <v/>
      </c>
      <c r="H109" s="12">
        <f>$B$10/G109</f>
        <v/>
      </c>
      <c r="I109" s="12">
        <f>$B$5+H109*((E109-$B$5)/G109)</f>
        <v/>
      </c>
      <c r="J109" s="12">
        <f>$B$6+H109*((F109-$B$6)/G109)</f>
        <v/>
      </c>
      <c r="K109" s="12">
        <f>$B$11</f>
        <v/>
      </c>
      <c r="L109" s="13">
        <f>ABS(I109-K109)*10</f>
        <v/>
      </c>
      <c r="M109" s="12">
        <f>(J110-J108)/(B110-B108)</f>
        <v/>
      </c>
    </row>
    <row r="110">
      <c r="A110" s="8" t="n">
        <v>97</v>
      </c>
      <c r="B110" s="9" t="n">
        <v>13.576</v>
      </c>
      <c r="C110" s="9" t="n">
        <v>0.28328</v>
      </c>
      <c r="D110" s="8" t="n">
        <v>16.23</v>
      </c>
      <c r="E110" s="9">
        <f>($B$5+$B$7)+$B$7*COS(C110)</f>
        <v/>
      </c>
      <c r="F110" s="9">
        <f>$B$6+$B$7*SIN(C110)</f>
        <v/>
      </c>
      <c r="G110" s="9">
        <f>SQRT((E110-$B$5)^2+(F110-$B$6)^2)</f>
        <v/>
      </c>
      <c r="H110" s="9">
        <f>$B$10/G110</f>
        <v/>
      </c>
      <c r="I110" s="9">
        <f>$B$5+H110*((E110-$B$5)/G110)</f>
        <v/>
      </c>
      <c r="J110" s="9">
        <f>$B$6+H110*((F110-$B$6)/G110)</f>
        <v/>
      </c>
      <c r="K110" s="9">
        <f>$B$11</f>
        <v/>
      </c>
      <c r="L110" s="10">
        <f>ABS(I110-K110)*10</f>
        <v/>
      </c>
      <c r="M110" s="9">
        <f>(J111-J109)/(B111-B109)</f>
        <v/>
      </c>
    </row>
    <row r="111">
      <c r="A111" s="11" t="n">
        <v>98</v>
      </c>
      <c r="B111" s="12" t="n">
        <v>13.717</v>
      </c>
      <c r="C111" s="12" t="n">
        <v>0.39128</v>
      </c>
      <c r="D111" s="11" t="n">
        <v>22.42</v>
      </c>
      <c r="E111" s="12">
        <f>($B$5+$B$7)+$B$7*COS(C111)</f>
        <v/>
      </c>
      <c r="F111" s="12">
        <f>$B$6+$B$7*SIN(C111)</f>
        <v/>
      </c>
      <c r="G111" s="12">
        <f>SQRT((E111-$B$5)^2+(F111-$B$6)^2)</f>
        <v/>
      </c>
      <c r="H111" s="12">
        <f>$B$10/G111</f>
        <v/>
      </c>
      <c r="I111" s="12">
        <f>$B$5+H111*((E111-$B$5)/G111)</f>
        <v/>
      </c>
      <c r="J111" s="12">
        <f>$B$6+H111*((F111-$B$6)/G111)</f>
        <v/>
      </c>
      <c r="K111" s="12">
        <f>$B$11</f>
        <v/>
      </c>
      <c r="L111" s="13">
        <f>ABS(I111-K111)*10</f>
        <v/>
      </c>
      <c r="M111" s="12">
        <f>(J112-J110)/(B112-B110)</f>
        <v/>
      </c>
    </row>
    <row r="112">
      <c r="A112" s="8" t="n">
        <v>99</v>
      </c>
      <c r="B112" s="9" t="n">
        <v>13.859</v>
      </c>
      <c r="C112" s="9" t="n">
        <v>0.49223</v>
      </c>
      <c r="D112" s="8" t="n">
        <v>28.2</v>
      </c>
      <c r="E112" s="9">
        <f>($B$5+$B$7)+$B$7*COS(C112)</f>
        <v/>
      </c>
      <c r="F112" s="9">
        <f>$B$6+$B$7*SIN(C112)</f>
        <v/>
      </c>
      <c r="G112" s="9">
        <f>SQRT((E112-$B$5)^2+(F112-$B$6)^2)</f>
        <v/>
      </c>
      <c r="H112" s="9">
        <f>$B$10/G112</f>
        <v/>
      </c>
      <c r="I112" s="9">
        <f>$B$5+H112*((E112-$B$5)/G112)</f>
        <v/>
      </c>
      <c r="J112" s="9">
        <f>$B$6+H112*((F112-$B$6)/G112)</f>
        <v/>
      </c>
      <c r="K112" s="9">
        <f>$B$11</f>
        <v/>
      </c>
      <c r="L112" s="10">
        <f>ABS(I112-K112)*10</f>
        <v/>
      </c>
      <c r="M112" s="9">
        <f>(J113-J111)/(B113-B111)</f>
        <v/>
      </c>
    </row>
    <row r="113">
      <c r="A113" s="11" t="n">
        <v>100</v>
      </c>
      <c r="B113" s="12" t="n">
        <v>14</v>
      </c>
      <c r="C113" s="12" t="n">
        <v>0.58431</v>
      </c>
      <c r="D113" s="11" t="n">
        <v>33.48</v>
      </c>
      <c r="E113" s="12">
        <f>($B$5+$B$7)+$B$7*COS(C113)</f>
        <v/>
      </c>
      <c r="F113" s="12">
        <f>$B$6+$B$7*SIN(C113)</f>
        <v/>
      </c>
      <c r="G113" s="12">
        <f>SQRT((E113-$B$5)^2+(F113-$B$6)^2)</f>
        <v/>
      </c>
      <c r="H113" s="12">
        <f>$B$10/G113</f>
        <v/>
      </c>
      <c r="I113" s="12">
        <f>$B$5+H113*((E113-$B$5)/G113)</f>
        <v/>
      </c>
      <c r="J113" s="12">
        <f>$B$6+H113*((F113-$B$6)/G113)</f>
        <v/>
      </c>
      <c r="K113" s="12">
        <f>$B$11</f>
        <v/>
      </c>
      <c r="L113" s="13">
        <f>ABS(I113-K113)*10</f>
        <v/>
      </c>
      <c r="M113" s="12">
        <f>(J113-J112)/(B113-B112)</f>
        <v/>
      </c>
    </row>
    <row r="114"/>
    <row r="115">
      <c r="A115" s="14" t="inlineStr">
        <is>
          <t>MÁXIMO ERROR ABSOLUTO ε_max [mm]</t>
        </is>
      </c>
      <c r="L115" s="15">
        <f>MAX(L14:L113)</f>
        <v/>
      </c>
    </row>
  </sheetData>
  <mergeCells count="4">
    <mergeCell ref="A2:M2"/>
    <mergeCell ref="A4:D4"/>
    <mergeCell ref="A1:M1"/>
    <mergeCell ref="A115:K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2026-10-15T22:43:42Z</dcterms:created>
  <dcterms:modified xmlns:dcterms="http://purl.org/dc/terms/" xmlns:xsi="http://www.w3.org/2001/XMLSchema-instance" xsi:type="dcterms:W3CDTF">2026-10-15T22:43:42Z</dcterms:modified>
</cp:coreProperties>
</file>