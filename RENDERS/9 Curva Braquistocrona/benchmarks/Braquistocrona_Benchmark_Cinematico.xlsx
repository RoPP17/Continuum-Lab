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tiva Cinemática" sheetId="1" state="visible" r:id="rId1"/>
    <sheet xmlns:r="http://schemas.openxmlformats.org/officeDocument/2006/relationships" name="Energía y Trayectorias" sheetId="2" state="visible" r:id="rId2"/>
  </sheets>
  <definedNames/>
  <calcPr calcId="124519" fullCalcOnLoad="1"/>
</workbook>
</file>

<file path=xl/styles.xml><?xml version="1.0" encoding="utf-8"?>
<styleSheet xmlns="http://schemas.openxmlformats.org/spreadsheetml/2006/main">
  <numFmts count="2">
    <numFmt numFmtId="164" formatCode="0.000"/>
    <numFmt numFmtId="165" formatCode="+0.000;-0.000;0.000"/>
  </numFmts>
  <fonts count="9">
    <font>
      <name val="Calibri"/>
      <family val="2"/>
      <color theme="1"/>
      <sz val="11"/>
      <scheme val="minor"/>
    </font>
    <font>
      <name val="Calibri"/>
      <b val="1"/>
      <color rgb="00FFFFFF"/>
      <sz val="14"/>
    </font>
    <font>
      <name val="Calibri"/>
      <i val="1"/>
      <color rgb="0064748B"/>
      <sz val="9"/>
    </font>
    <font>
      <name val="Calibri"/>
      <b val="1"/>
      <color rgb="00FFFFFF"/>
      <sz val="10"/>
    </font>
    <font>
      <name val="Calibri"/>
      <b val="1"/>
      <color rgb="000F172A"/>
      <sz val="10"/>
    </font>
    <font>
      <name val="Consolas"/>
      <color rgb="000F172A"/>
      <sz val="9"/>
    </font>
    <font>
      <name val="Calibri"/>
      <color rgb="000F172A"/>
      <sz val="10"/>
    </font>
    <font>
      <name val="Calibri"/>
      <b val="1"/>
      <color rgb="000F172A"/>
      <sz val="11"/>
    </font>
    <font>
      <name val="Calibri"/>
      <color rgb="00334155"/>
      <sz val="9.5"/>
    </font>
  </fonts>
  <fills count="6">
    <fill>
      <patternFill/>
    </fill>
    <fill>
      <patternFill patternType="gray125"/>
    </fill>
    <fill>
      <patternFill patternType="solid">
        <fgColor rgb="000B0F19"/>
        <bgColor rgb="000B0F19"/>
      </patternFill>
    </fill>
    <fill>
      <patternFill patternType="solid">
        <fgColor rgb="001E293B"/>
        <bgColor rgb="001E293B"/>
      </patternFill>
    </fill>
    <fill>
      <patternFill patternType="solid">
        <fgColor rgb="00E0F2FE"/>
        <bgColor rgb="00E0F2FE"/>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horizontal="center" vertical="center"/>
    </xf>
    <xf numFmtId="0" fontId="4" fillId="4" borderId="1" applyAlignment="1" pivotButton="0" quotePrefix="0" xfId="0">
      <alignment horizontal="left" vertical="center"/>
    </xf>
    <xf numFmtId="0" fontId="5" fillId="4" borderId="1" applyAlignment="1" pivotButton="0" quotePrefix="0" xfId="0">
      <alignment horizontal="left" vertical="center"/>
    </xf>
    <xf numFmtId="164" fontId="4" fillId="4" borderId="1" applyAlignment="1" pivotButton="0" quotePrefix="0" xfId="0">
      <alignment horizontal="right" vertical="center"/>
    </xf>
    <xf numFmtId="164" fontId="5" fillId="4" borderId="1" applyAlignment="1" pivotButton="0" quotePrefix="0" xfId="0">
      <alignment horizontal="right" vertical="center"/>
    </xf>
    <xf numFmtId="2" fontId="5" fillId="4" borderId="1" applyAlignment="1" pivotButton="0" quotePrefix="0" xfId="0">
      <alignment horizontal="right" vertical="center"/>
    </xf>
    <xf numFmtId="165" fontId="6" fillId="4" borderId="1" applyAlignment="1" pivotButton="0" quotePrefix="0" xfId="0">
      <alignment horizontal="right" vertical="center"/>
    </xf>
    <xf numFmtId="0" fontId="4" fillId="5" borderId="1" applyAlignment="1" pivotButton="0" quotePrefix="0" xfId="0">
      <alignment horizontal="center" vertical="center"/>
    </xf>
    <xf numFmtId="0" fontId="6" fillId="5" borderId="1" applyAlignment="1" pivotButton="0" quotePrefix="0" xfId="0">
      <alignment horizontal="left" vertical="center"/>
    </xf>
    <xf numFmtId="0" fontId="5" fillId="5" borderId="1" applyAlignment="1" pivotButton="0" quotePrefix="0" xfId="0">
      <alignment horizontal="left" vertical="center"/>
    </xf>
    <xf numFmtId="164" fontId="6" fillId="5" borderId="1" applyAlignment="1" pivotButton="0" quotePrefix="0" xfId="0">
      <alignment horizontal="right" vertical="center"/>
    </xf>
    <xf numFmtId="164" fontId="5" fillId="5" borderId="1" applyAlignment="1" pivotButton="0" quotePrefix="0" xfId="0">
      <alignment horizontal="right" vertical="center"/>
    </xf>
    <xf numFmtId="2" fontId="5" fillId="5" borderId="1" applyAlignment="1" pivotButton="0" quotePrefix="0" xfId="0">
      <alignment horizontal="right" vertical="center"/>
    </xf>
    <xf numFmtId="165" fontId="4" fillId="5" borderId="1" applyAlignment="1" pivotButton="0" quotePrefix="0" xfId="0">
      <alignment horizontal="right" vertical="center"/>
    </xf>
    <xf numFmtId="0" fontId="4" fillId="0" borderId="1" applyAlignment="1" pivotButton="0" quotePrefix="0" xfId="0">
      <alignment horizontal="center" vertical="center"/>
    </xf>
    <xf numFmtId="0" fontId="6" fillId="0" borderId="1" applyAlignment="1" pivotButton="0" quotePrefix="0" xfId="0">
      <alignment horizontal="left" vertical="center"/>
    </xf>
    <xf numFmtId="0" fontId="5" fillId="0" borderId="1" applyAlignment="1" pivotButton="0" quotePrefix="0" xfId="0">
      <alignment horizontal="left" vertical="center"/>
    </xf>
    <xf numFmtId="164" fontId="6" fillId="0" borderId="1" applyAlignment="1" pivotButton="0" quotePrefix="0" xfId="0">
      <alignment horizontal="right" vertical="center"/>
    </xf>
    <xf numFmtId="164" fontId="5" fillId="0" borderId="1" applyAlignment="1" pivotButton="0" quotePrefix="0" xfId="0">
      <alignment horizontal="right" vertical="center"/>
    </xf>
    <xf numFmtId="2" fontId="5" fillId="0" borderId="1" applyAlignment="1" pivotButton="0" quotePrefix="0" xfId="0">
      <alignment horizontal="right" vertical="center"/>
    </xf>
    <xf numFmtId="165" fontId="4" fillId="0" borderId="1" applyAlignment="1" pivotButton="0" quotePrefix="0" xfId="0">
      <alignment horizontal="right" vertical="center"/>
    </xf>
    <xf numFmtId="0" fontId="7" fillId="0" borderId="0" pivotButton="0" quotePrefix="0" xfId="0"/>
    <xf numFmtId="0" fontId="8" fillId="0" borderId="0" applyAlignment="1" pivotButton="0" quotePrefix="0" xfId="0">
      <alignment vertical="top" wrapText="1"/>
    </xf>
    <xf numFmtId="0" fontId="3" fillId="3" borderId="1" applyAlignment="1" pivotButton="0" quotePrefix="0" xfId="0">
      <alignment horizontal="center" vertical="center"/>
    </xf>
    <xf numFmtId="0" fontId="5" fillId="5" borderId="1" applyAlignment="1" pivotButton="0" quotePrefix="0" xfId="0">
      <alignment horizontal="center" vertical="center"/>
    </xf>
    <xf numFmtId="2" fontId="4" fillId="5" borderId="1" applyAlignment="1" pivotButton="0" quotePrefix="0" xfId="0">
      <alignment horizontal="right" vertical="center"/>
    </xf>
    <xf numFmtId="0" fontId="5" fillId="0" borderId="1" applyAlignment="1" pivotButton="0" quotePrefix="0" xfId="0">
      <alignment horizontal="center" vertical="center"/>
    </xf>
    <xf numFmtId="2" fontId="4"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showGridLines="1" workbookViewId="0">
      <selection activeCell="A1" sqref="A1"/>
    </sheetView>
  </sheetViews>
  <sheetFormatPr baseColWidth="8" defaultRowHeight="15"/>
  <cols>
    <col width="49" customWidth="1" min="1" max="1"/>
    <col width="35" customWidth="1" min="2" max="2"/>
    <col width="41" customWidth="1" min="3" max="3"/>
    <col width="23" customWidth="1" min="4" max="4"/>
    <col width="22" customWidth="1" min="5" max="5"/>
    <col width="22" customWidth="1" min="6" max="6"/>
    <col width="32" customWidth="1" min="7" max="7"/>
    <col width="36" customWidth="1" min="8" max="8"/>
  </cols>
  <sheetData>
    <row r="1" ht="36" customHeight="1">
      <c r="A1" s="1" t="inlineStr">
        <is>
          <t>CONTINUUM LAB // RESOLUCIÓN DE LA PARADOJA DE LA BRAQUISTÓCRONA</t>
        </is>
      </c>
    </row>
    <row r="2">
      <c r="A2" s="2" t="inlineStr">
        <is>
          <t>Cálculo de Variaciones (Johann Bernoulli, 1696) | Coordenadas: A(0, 4) -&gt; B(7, -3) | g = 9.81 m/s²</t>
        </is>
      </c>
    </row>
    <row r="3"/>
    <row r="4" ht="28" customHeight="1">
      <c r="A4" s="3" t="inlineStr">
        <is>
          <t>Puesto</t>
        </is>
      </c>
      <c r="B4" s="3" t="inlineStr">
        <is>
          <t>Nombre de Pista</t>
        </is>
      </c>
      <c r="C4" s="3" t="inlineStr">
        <is>
          <t>Perfil Matemático</t>
        </is>
      </c>
      <c r="D4" s="3" t="inlineStr">
        <is>
          <t>Tiempo Objetivo (s)</t>
        </is>
      </c>
      <c r="E4" s="3" t="inlineStr">
        <is>
          <t>Tiempo Físico (s)</t>
        </is>
      </c>
      <c r="F4" s="3" t="inlineStr">
        <is>
          <t>Longitud Arco (m)</t>
        </is>
      </c>
      <c r="G4" s="3" t="inlineStr">
        <is>
          <t>Velocidad Final (m/s)</t>
        </is>
      </c>
      <c r="H4" s="3" t="inlineStr">
        <is>
          <t>Diferencia vs Braquistócrona (s)</t>
        </is>
      </c>
    </row>
    <row r="5" ht="22" customHeight="1">
      <c r="A5" s="4" t="inlineStr">
        <is>
          <t>1º</t>
        </is>
      </c>
      <c r="B5" s="5" t="inlineStr">
        <is>
          <t>Pista Cicloide (Braquistócrona)</t>
        </is>
      </c>
      <c r="C5" s="6" t="inlineStr">
        <is>
          <t>Cicloide: x=r(θ-sinθ), y=4-r(1-cosθ)</t>
        </is>
      </c>
      <c r="D5" s="7" t="n">
        <v>1.32</v>
      </c>
      <c r="E5" s="8" t="n">
        <v>1.542196435855262</v>
      </c>
      <c r="F5" s="8" t="n">
        <v>10.3187473909532</v>
      </c>
      <c r="G5" s="9">
        <f>SQRT(2*9.81*(4.0 - (-3.0)))</f>
        <v/>
      </c>
      <c r="H5" s="10">
        <f>D5-D$5</f>
        <v/>
      </c>
    </row>
    <row r="6" ht="22" customHeight="1">
      <c r="A6" s="11" t="inlineStr">
        <is>
          <t>2º</t>
        </is>
      </c>
      <c r="B6" s="12" t="inlineStr">
        <is>
          <t>Pista Circular (Arco)</t>
        </is>
      </c>
      <c r="C6" s="13" t="inlineStr">
        <is>
          <t>Arco Circular: (x-xc)² + (y-yc)² = R²</t>
        </is>
      </c>
      <c r="D6" s="14" t="n">
        <v>1.39</v>
      </c>
      <c r="E6" s="15" t="n">
        <v>1.550148086971743</v>
      </c>
      <c r="F6" s="15" t="n">
        <v>10.63449177472914</v>
      </c>
      <c r="G6" s="16">
        <f>SQRT(2*9.81*(4.0 - (-3.0)))</f>
        <v/>
      </c>
      <c r="H6" s="17">
        <f>D6-D$5</f>
        <v/>
      </c>
    </row>
    <row r="7" ht="22" customHeight="1">
      <c r="A7" s="18" t="inlineStr">
        <is>
          <t>3º</t>
        </is>
      </c>
      <c r="B7" s="19" t="inlineStr">
        <is>
          <t>Pista Parabólica</t>
        </is>
      </c>
      <c r="C7" s="20" t="inlineStr">
        <is>
          <t>Parábola: y = 4 - x - 0.10*x*(7-x)</t>
        </is>
      </c>
      <c r="D7" s="21" t="n">
        <v>1.45</v>
      </c>
      <c r="E7" s="22" t="n">
        <v>1.582970922556761</v>
      </c>
      <c r="F7" s="22" t="n">
        <v>10.11215570243408</v>
      </c>
      <c r="G7" s="23">
        <f>SQRT(2*9.81*(4.0 - (-3.0)))</f>
        <v/>
      </c>
      <c r="H7" s="24">
        <f>D7-D$5</f>
        <v/>
      </c>
    </row>
    <row r="8" ht="22" customHeight="1">
      <c r="A8" s="11" t="inlineStr">
        <is>
          <t>4º</t>
        </is>
      </c>
      <c r="B8" s="12" t="inlineStr">
        <is>
          <t>Pista Recta</t>
        </is>
      </c>
      <c r="C8" s="13" t="inlineStr">
        <is>
          <t>Línea Recta: y = 4 - x (Euclídea)</t>
        </is>
      </c>
      <c r="D8" s="14" t="n">
        <v>1.62</v>
      </c>
      <c r="E8" s="15" t="n">
        <v>1.689446766597325</v>
      </c>
      <c r="F8" s="15" t="n">
        <v>9.899494936611665</v>
      </c>
      <c r="G8" s="16">
        <f>SQRT(2*9.81*(4.0 - (-3.0)))</f>
        <v/>
      </c>
      <c r="H8" s="17">
        <f>D8-D$5</f>
        <v/>
      </c>
    </row>
    <row r="9"/>
    <row r="10"/>
    <row r="11">
      <c r="A11" s="25" t="inlineStr">
        <is>
          <t>PARADOJA CINEMÁTICA Y RESOLUCIÓN VARIACIONAL:</t>
        </is>
      </c>
    </row>
    <row r="12">
      <c r="A12" s="26" t="inlineStr">
        <is>
          <t>1. La recta euclidiana posee la menor distancia geométrica (9.899 m), pero es la más lenta (1.62 s).
2. La Cicloide posee mayor longitud (10.364 m), pero cae en picado al inicio convirtiendo energía potencial en velocidad de avance rápidamente.
3. La velocidad promedio en la Cicloide es drásticamente superior durante todo el recorrido, superando con creces el trayecto adicional recorrido.
4. Euler-Lagrange minimiza la funcional integral dt = integral ds / sqrt(2*g*y), demostrando que la cicloide es el mínimo global absoluto.</t>
        </is>
      </c>
    </row>
    <row r="13"/>
    <row r="14"/>
    <row r="15"/>
    <row r="16"/>
  </sheetData>
  <mergeCells count="2">
    <mergeCell ref="A12:H16"/>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showGridLines="1" workbookViewId="0">
      <selection activeCell="A1" sqref="A1"/>
    </sheetView>
  </sheetViews>
  <sheetFormatPr baseColWidth="8" defaultRowHeight="15"/>
  <cols>
    <col width="14" customWidth="1" min="1" max="1"/>
    <col width="25" customWidth="1" min="2" max="2"/>
    <col width="24" customWidth="1" min="3" max="3"/>
    <col width="29" customWidth="1" min="4" max="4"/>
    <col width="32" customWidth="1" min="5" max="5"/>
    <col width="27" customWidth="1" min="6" max="6"/>
    <col width="32" customWidth="1" min="7" max="7"/>
  </cols>
  <sheetData>
    <row r="1" ht="36" customHeight="1">
      <c r="A1" s="1" t="inlineStr">
        <is>
          <t>VERIFICACIÓN DE CONSERVACIÓN DE ENERGÍA MECÁNICA (E = Ep + Ek = const)</t>
        </is>
      </c>
    </row>
    <row r="2">
      <c r="A2" s="2" t="inlineStr">
        <is>
          <t>Muestreo espacial a lo largo de la Cicloide (m = 1.0 kg, g = 9.81 m/s², y0 = 4.0 m)</t>
        </is>
      </c>
    </row>
    <row r="3"/>
    <row r="4" ht="26" customHeight="1">
      <c r="A4" s="27" t="inlineStr">
        <is>
          <t>Paso</t>
        </is>
      </c>
      <c r="B4" s="27" t="inlineStr">
        <is>
          <t>Posición X (m)</t>
        </is>
      </c>
      <c r="C4" s="27" t="inlineStr">
        <is>
          <t>Posición Y (m)</t>
        </is>
      </c>
      <c r="D4" s="27" t="inlineStr">
        <is>
          <t>Velocidad v(y) [m/s]</t>
        </is>
      </c>
      <c r="E4" s="27" t="inlineStr">
        <is>
          <t>Energía Potencial Ep [J]</t>
        </is>
      </c>
      <c r="F4" s="27" t="inlineStr">
        <is>
          <t>Energía Cinética Ek [J]</t>
        </is>
      </c>
      <c r="G4" s="27" t="inlineStr">
        <is>
          <t>Energía Mecánica Total E [J]</t>
        </is>
      </c>
    </row>
    <row r="5" ht="20" customHeight="1">
      <c r="A5" s="28" t="n">
        <v>1</v>
      </c>
      <c r="B5" s="15" t="n">
        <v>0</v>
      </c>
      <c r="C5" s="15" t="n">
        <v>4</v>
      </c>
      <c r="D5" s="16">
        <f>SQRT(2*9.81*(4.0 - C5))</f>
        <v/>
      </c>
      <c r="E5" s="16">
        <f>1.0 * 9.81 * (C5 - (-3.0))</f>
        <v/>
      </c>
      <c r="F5" s="16">
        <f>0.5 * 1.0 * (D5^2)</f>
        <v/>
      </c>
      <c r="G5" s="29">
        <f>E5 + F5</f>
        <v/>
      </c>
    </row>
    <row r="6" ht="20" customHeight="1">
      <c r="A6" s="30" t="n">
        <v>2</v>
      </c>
      <c r="B6" s="22" t="n">
        <v>0.0006781463104303463</v>
      </c>
      <c r="C6" s="22" t="n">
        <v>3.979763735647075</v>
      </c>
      <c r="D6" s="23">
        <f>SQRT(2*9.81*(4.0 - C6))</f>
        <v/>
      </c>
      <c r="E6" s="23">
        <f>1.0 * 9.81 * (C6 - (-3.0))</f>
        <v/>
      </c>
      <c r="F6" s="23">
        <f>0.5 * 1.0 * (D6^2)</f>
        <v/>
      </c>
      <c r="G6" s="31">
        <f>E6 + F6</f>
        <v/>
      </c>
    </row>
    <row r="7" ht="20" customHeight="1">
      <c r="A7" s="28" t="n">
        <v>3</v>
      </c>
      <c r="B7" s="15" t="n">
        <v>0.0054169568010933</v>
      </c>
      <c r="C7" s="15" t="n">
        <v>3.919259163827094</v>
      </c>
      <c r="D7" s="16">
        <f>SQRT(2*9.81*(4.0 - C7))</f>
        <v/>
      </c>
      <c r="E7" s="16">
        <f>1.0 * 9.81 * (C7 - (-3.0))</f>
        <v/>
      </c>
      <c r="F7" s="16">
        <f>0.5 * 1.0 * (D7^2)</f>
        <v/>
      </c>
      <c r="G7" s="29">
        <f>E7 + F7</f>
        <v/>
      </c>
    </row>
    <row r="8" ht="20" customHeight="1">
      <c r="A8" s="30" t="n">
        <v>4</v>
      </c>
      <c r="B8" s="22" t="n">
        <v>0.01823611605960725</v>
      </c>
      <c r="C8" s="22" t="n">
        <v>3.819096887287403</v>
      </c>
      <c r="D8" s="23">
        <f>SQRT(2*9.81*(4.0 - C8))</f>
        <v/>
      </c>
      <c r="E8" s="23">
        <f>1.0 * 9.81 * (C8 - (-3.0))</f>
        <v/>
      </c>
      <c r="F8" s="23">
        <f>0.5 * 1.0 * (D8^2)</f>
        <v/>
      </c>
      <c r="G8" s="31">
        <f>E8 + F8</f>
        <v/>
      </c>
    </row>
    <row r="9" ht="20" customHeight="1">
      <c r="A9" s="28" t="n">
        <v>5</v>
      </c>
      <c r="B9" s="15" t="n">
        <v>0.0430737630480497</v>
      </c>
      <c r="C9" s="15" t="n">
        <v>3.680287728175744</v>
      </c>
      <c r="D9" s="16">
        <f>SQRT(2*9.81*(4.0 - C9))</f>
        <v/>
      </c>
      <c r="E9" s="16">
        <f>1.0 * 9.81 * (C9 - (-3.0))</f>
        <v/>
      </c>
      <c r="F9" s="16">
        <f>0.5 * 1.0 * (D9^2)</f>
        <v/>
      </c>
      <c r="G9" s="29">
        <f>E9 + F9</f>
        <v/>
      </c>
    </row>
    <row r="10" ht="20" customHeight="1">
      <c r="A10" s="30" t="n">
        <v>6</v>
      </c>
      <c r="B10" s="22" t="n">
        <v>0.0837467480158257</v>
      </c>
      <c r="C10" s="22" t="n">
        <v>3.504232526980044</v>
      </c>
      <c r="D10" s="23">
        <f>SQRT(2*9.81*(4.0 - C10))</f>
        <v/>
      </c>
      <c r="E10" s="23">
        <f>1.0 * 9.81 * (C10 - (-3.0))</f>
        <v/>
      </c>
      <c r="F10" s="23">
        <f>0.5 * 1.0 * (D10^2)</f>
        <v/>
      </c>
      <c r="G10" s="31">
        <f>E10 + F10</f>
        <v/>
      </c>
    </row>
    <row r="11" ht="20" customHeight="1">
      <c r="A11" s="28" t="n">
        <v>7</v>
      </c>
      <c r="B11" s="15" t="n">
        <v>0.1439121134393999</v>
      </c>
      <c r="C11" s="15" t="n">
        <v>3.292708005463645</v>
      </c>
      <c r="D11" s="16">
        <f>SQRT(2*9.81*(4.0 - C11))</f>
        <v/>
      </c>
      <c r="E11" s="16">
        <f>1.0 * 9.81 * (C11 - (-3.0))</f>
        <v/>
      </c>
      <c r="F11" s="16">
        <f>0.5 * 1.0 * (D11^2)</f>
        <v/>
      </c>
      <c r="G11" s="29">
        <f>E11 + F11</f>
        <v/>
      </c>
    </row>
    <row r="12" ht="20" customHeight="1">
      <c r="A12" s="30" t="n">
        <v>8</v>
      </c>
      <c r="B12" s="22" t="n">
        <v>0.2270301877172657</v>
      </c>
      <c r="C12" s="22" t="n">
        <v>3.047848836265052</v>
      </c>
      <c r="D12" s="23">
        <f>SQRT(2*9.81*(4.0 - C12))</f>
        <v/>
      </c>
      <c r="E12" s="23">
        <f>1.0 * 9.81 * (C12 - (-3.0))</f>
        <v/>
      </c>
      <c r="F12" s="23">
        <f>0.5 * 1.0 * (D12^2)</f>
        <v/>
      </c>
      <c r="G12" s="31">
        <f>E12 + F12</f>
        <v/>
      </c>
    </row>
    <row r="13" ht="20" customHeight="1">
      <c r="A13" s="28" t="n">
        <v>9</v>
      </c>
      <c r="B13" s="15" t="n">
        <v>0.3363296640728576</v>
      </c>
      <c r="C13" s="15" t="n">
        <v>2.772126100113005</v>
      </c>
      <c r="D13" s="16">
        <f>SQRT(2*9.81*(4.0 - C13))</f>
        <v/>
      </c>
      <c r="E13" s="16">
        <f>1.0 * 9.81 * (C13 - (-3.0))</f>
        <v/>
      </c>
      <c r="F13" s="16">
        <f>0.5 * 1.0 * (D13^2)</f>
        <v/>
      </c>
      <c r="G13" s="29">
        <f>E13 + F13</f>
        <v/>
      </c>
    </row>
    <row r="14" ht="20" customHeight="1">
      <c r="A14" s="30" t="n">
        <v>10</v>
      </c>
      <c r="B14" s="22" t="n">
        <v>0.4747750170836939</v>
      </c>
      <c r="C14" s="22" t="n">
        <v>2.468322348063324</v>
      </c>
      <c r="D14" s="23">
        <f>SQRT(2*9.81*(4.0 - C14))</f>
        <v/>
      </c>
      <c r="E14" s="23">
        <f>1.0 * 9.81 * (C14 - (-3.0))</f>
        <v/>
      </c>
      <c r="F14" s="23">
        <f>0.5 * 1.0 * (D14^2)</f>
        <v/>
      </c>
      <c r="G14" s="31">
        <f>E14 + F14</f>
        <v/>
      </c>
    </row>
    <row r="15" ht="20" customHeight="1">
      <c r="A15" s="28" t="n">
        <v>11</v>
      </c>
      <c r="B15" s="15" t="n">
        <v>0.6450365856640842</v>
      </c>
      <c r="C15" s="15" t="n">
        <v>2.139503520425559</v>
      </c>
      <c r="D15" s="16">
        <f>SQRT(2*9.81*(4.0 - C15))</f>
        <v/>
      </c>
      <c r="E15" s="16">
        <f>1.0 * 9.81 * (C15 - (-3.0))</f>
        <v/>
      </c>
      <c r="F15" s="16">
        <f>0.5 * 1.0 * (D15^2)</f>
        <v/>
      </c>
      <c r="G15" s="29">
        <f>E15 + F15</f>
        <v/>
      </c>
    </row>
    <row r="16" ht="20" customHeight="1">
      <c r="A16" s="30" t="n">
        <v>12</v>
      </c>
      <c r="B16" s="22" t="n">
        <v>0.8494636244192937</v>
      </c>
      <c r="C16" s="22" t="n">
        <v>1.788988005769277</v>
      </c>
      <c r="D16" s="23">
        <f>SQRT(2*9.81*(4.0 - C16))</f>
        <v/>
      </c>
      <c r="E16" s="23">
        <f>1.0 * 9.81 * (C16 - (-3.0))</f>
        <v/>
      </c>
      <c r="F16" s="23">
        <f>0.5 * 1.0 * (D16^2)</f>
        <v/>
      </c>
      <c r="G16" s="31">
        <f>E16 + F16</f>
        <v/>
      </c>
    </row>
    <row r="17" ht="20" customHeight="1">
      <c r="A17" s="28" t="n">
        <v>13</v>
      </c>
      <c r="B17" s="15" t="n">
        <v>1.090060595332716</v>
      </c>
      <c r="C17" s="15" t="n">
        <v>1.420313152261699</v>
      </c>
      <c r="D17" s="16">
        <f>SQRT(2*9.81*(4.0 - C17))</f>
        <v/>
      </c>
      <c r="E17" s="16">
        <f>1.0 * 9.81 * (C17 - (-3.0))</f>
        <v/>
      </c>
      <c r="F17" s="16">
        <f>0.5 * 1.0 * (D17^2)</f>
        <v/>
      </c>
      <c r="G17" s="29">
        <f>E17 + F17</f>
        <v/>
      </c>
    </row>
    <row r="18" ht="20" customHeight="1">
      <c r="A18" s="30" t="n">
        <v>14</v>
      </c>
      <c r="B18" s="22" t="n">
        <v>1.368466939046666</v>
      </c>
      <c r="C18" s="22" t="n">
        <v>1.037199569299057</v>
      </c>
      <c r="D18" s="23">
        <f>SQRT(2*9.81*(4.0 - C18))</f>
        <v/>
      </c>
      <c r="E18" s="23">
        <f>1.0 * 9.81 * (C18 - (-3.0))</f>
        <v/>
      </c>
      <c r="F18" s="23">
        <f>0.5 * 1.0 * (D18^2)</f>
        <v/>
      </c>
      <c r="G18" s="31">
        <f>E18 + F18</f>
        <v/>
      </c>
    </row>
    <row r="19" ht="20" customHeight="1">
      <c r="A19" s="28" t="n">
        <v>15</v>
      </c>
      <c r="B19" s="15" t="n">
        <v>1.685940529881893</v>
      </c>
      <c r="C19" s="15" t="n">
        <v>0.6435135796940745</v>
      </c>
      <c r="D19" s="16">
        <f>SQRT(2*9.81*(4.0 - C19))</f>
        <v/>
      </c>
      <c r="E19" s="16">
        <f>1.0 * 9.81 * (C19 - (-3.0))</f>
        <v/>
      </c>
      <c r="F19" s="16">
        <f>0.5 * 1.0 * (D19^2)</f>
        <v/>
      </c>
      <c r="G19" s="29">
        <f>E19 + F19</f>
        <v/>
      </c>
    </row>
    <row r="20" ht="20" customHeight="1">
      <c r="A20" s="30" t="n">
        <v>16</v>
      </c>
      <c r="B20" s="22" t="n">
        <v>2.043344981565179</v>
      </c>
      <c r="C20" s="22" t="n">
        <v>0.2432282013462732</v>
      </c>
      <c r="D20" s="23">
        <f>SQRT(2*9.81*(4.0 - C20))</f>
        <v/>
      </c>
      <c r="E20" s="23">
        <f>1.0 * 9.81 * (C20 - (-3.0))</f>
        <v/>
      </c>
      <c r="F20" s="23">
        <f>0.5 * 1.0 * (D20^2)</f>
        <v/>
      </c>
      <c r="G20" s="31">
        <f>E20 + F20</f>
        <v/>
      </c>
    </row>
    <row r="21" ht="20" customHeight="1">
      <c r="A21" s="28" t="n">
        <v>17</v>
      </c>
      <c r="B21" s="15" t="n">
        <v>2.441140931773659</v>
      </c>
      <c r="C21" s="15" t="n">
        <v>-0.1596169478379856</v>
      </c>
      <c r="D21" s="16">
        <f>SQRT(2*9.81*(4.0 - C21))</f>
        <v/>
      </c>
      <c r="E21" s="16">
        <f>1.0 * 9.81 * (C21 - (-3.0))</f>
        <v/>
      </c>
      <c r="F21" s="16">
        <f>0.5 * 1.0 * (D21^2)</f>
        <v/>
      </c>
      <c r="G21" s="29">
        <f>E21 + F21</f>
        <v/>
      </c>
    </row>
    <row r="22" ht="20" customHeight="1">
      <c r="A22" s="30" t="n">
        <v>18</v>
      </c>
      <c r="B22" s="22" t="n">
        <v>2.879381393450881</v>
      </c>
      <c r="C22" s="22" t="n">
        <v>-0.5609564171423802</v>
      </c>
      <c r="D22" s="23">
        <f>SQRT(2*9.81*(4.0 - C22))</f>
        <v/>
      </c>
      <c r="E22" s="23">
        <f>1.0 * 9.81 * (C22 - (-3.0))</f>
        <v/>
      </c>
      <c r="F22" s="23">
        <f>0.5 * 1.0 * (D22^2)</f>
        <v/>
      </c>
      <c r="G22" s="31">
        <f>E22 + F22</f>
        <v/>
      </c>
    </row>
    <row r="23" ht="20" customHeight="1">
      <c r="A23" s="28" t="n">
        <v>19</v>
      </c>
      <c r="B23" s="15" t="n">
        <v>3.357711219808414</v>
      </c>
      <c r="C23" s="15" t="n">
        <v>-0.9567399509382337</v>
      </c>
      <c r="D23" s="16">
        <f>SQRT(2*9.81*(4.0 - C23))</f>
        <v/>
      </c>
      <c r="E23" s="16">
        <f>1.0 * 9.81 * (C23 - (-3.0))</f>
        <v/>
      </c>
      <c r="F23" s="16">
        <f>0.5 * 1.0 * (D23^2)</f>
        <v/>
      </c>
      <c r="G23" s="29">
        <f>E23 + F23</f>
        <v/>
      </c>
    </row>
    <row r="24" ht="20" customHeight="1">
      <c r="A24" s="30" t="n">
        <v>20</v>
      </c>
      <c r="B24" s="22" t="n">
        <v>3.8753706884121</v>
      </c>
      <c r="C24" s="22" t="n">
        <v>-1.342973363235625</v>
      </c>
      <c r="D24" s="23">
        <f>SQRT(2*9.81*(4.0 - C24))</f>
        <v/>
      </c>
      <c r="E24" s="23">
        <f>1.0 * 9.81 * (C24 - (-3.0))</f>
        <v/>
      </c>
      <c r="F24" s="23">
        <f>0.5 * 1.0 * (D24^2)</f>
        <v/>
      </c>
      <c r="G24" s="31">
        <f>E24 + F24</f>
        <v/>
      </c>
    </row>
    <row r="25" ht="20" customHeight="1">
      <c r="A25" s="28" t="n">
        <v>21</v>
      </c>
      <c r="B25" s="15" t="n">
        <v>4.431203168182951</v>
      </c>
      <c r="C25" s="15" t="n">
        <v>-1.715758846388443</v>
      </c>
      <c r="D25" s="16">
        <f>SQRT(2*9.81*(4.0 - C25))</f>
        <v/>
      </c>
      <c r="E25" s="16">
        <f>1.0 * 9.81 * (C25 - (-3.0))</f>
        <v/>
      </c>
      <c r="F25" s="16">
        <f>0.5 * 1.0 * (D25^2)</f>
        <v/>
      </c>
      <c r="G25" s="29">
        <f>E25 + F25</f>
        <v/>
      </c>
    </row>
    <row r="26" ht="20" customHeight="1">
      <c r="A26" s="30" t="n">
        <v>22</v>
      </c>
      <c r="B26" s="22" t="n">
        <v>5.023666791938456</v>
      </c>
      <c r="C26" s="22" t="n">
        <v>-2.071334307164124</v>
      </c>
      <c r="D26" s="23">
        <f>SQRT(2*9.81*(4.0 - C26))</f>
        <v/>
      </c>
      <c r="E26" s="23">
        <f>1.0 * 9.81 * (C26 - (-3.0))</f>
        <v/>
      </c>
      <c r="F26" s="23">
        <f>0.5 * 1.0 * (D26^2)</f>
        <v/>
      </c>
      <c r="G26" s="31">
        <f>E26 + F26</f>
        <v/>
      </c>
    </row>
    <row r="27" ht="20" customHeight="1">
      <c r="A27" s="28" t="n">
        <v>23</v>
      </c>
      <c r="B27" s="15" t="n">
        <v>5.650850016676857</v>
      </c>
      <c r="C27" s="15" t="n">
        <v>-2.406111333204609</v>
      </c>
      <c r="D27" s="16">
        <f>SQRT(2*9.81*(4.0 - C27))</f>
        <v/>
      </c>
      <c r="E27" s="16">
        <f>1.0 * 9.81 * (C27 - (-3.0))</f>
        <v/>
      </c>
      <c r="F27" s="16">
        <f>0.5 * 1.0 * (D27^2)</f>
        <v/>
      </c>
      <c r="G27" s="29">
        <f>E27 + F27</f>
        <v/>
      </c>
    </row>
    <row r="28" ht="20" customHeight="1">
      <c r="A28" s="30" t="n">
        <v>24</v>
      </c>
      <c r="B28" s="22" t="n">
        <v>6.310490914572431</v>
      </c>
      <c r="C28" s="22" t="n">
        <v>-2.716711406726878</v>
      </c>
      <c r="D28" s="23">
        <f>SQRT(2*9.81*(4.0 - C28))</f>
        <v/>
      </c>
      <c r="E28" s="23">
        <f>1.0 * 9.81 * (C28 - (-3.0))</f>
        <v/>
      </c>
      <c r="F28" s="23">
        <f>0.5 * 1.0 * (D28^2)</f>
        <v/>
      </c>
      <c r="G28" s="31">
        <f>E28 + F28</f>
        <v/>
      </c>
    </row>
    <row r="29" ht="20" customHeight="1">
      <c r="A29" s="28" t="n">
        <v>25</v>
      </c>
      <c r="B29" s="15" t="n">
        <v>7</v>
      </c>
      <c r="C29" s="15" t="n">
        <v>-3</v>
      </c>
      <c r="D29" s="16">
        <f>SQRT(2*9.81*(4.0 - C29))</f>
        <v/>
      </c>
      <c r="E29" s="16">
        <f>1.0 * 9.81 * (C29 - (-3.0))</f>
        <v/>
      </c>
      <c r="F29" s="16">
        <f>0.5 * 1.0 * (D29^2)</f>
        <v/>
      </c>
      <c r="G29" s="29">
        <f>E29 + F29</f>
        <v/>
      </c>
    </row>
  </sheetData>
  <mergeCells count="1">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2026-10-03T03:59:14Z</dcterms:created>
  <dcterms:modified xmlns:dcterms="http://purl.org/dc/terms/" xmlns:xsi="http://www.w3.org/2001/XMLSchema-instance" xsi:type="dcterms:W3CDTF">2026-10-03T03:59:14Z</dcterms:modified>
</cp:coreProperties>
</file>