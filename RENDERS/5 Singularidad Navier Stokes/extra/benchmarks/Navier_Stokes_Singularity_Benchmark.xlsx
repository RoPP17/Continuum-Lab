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s_Singularidad" sheetId="1" state="visible" r:id="rId1"/>
    <sheet xmlns:r="http://schemas.openxmlformats.org/officeDocument/2006/relationships" name="Perfil_Radial_Core_Annul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0"/>
    </font>
    <font>
      <name val="Calibri"/>
      <b val="1"/>
      <color rgb="000F172A"/>
      <sz val="12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11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1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/>
    </xf>
    <xf numFmtId="11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1" fontId="4" fillId="0" borderId="2" pivotButton="0" quotePrefix="0" xfId="0"/>
    <xf numFmtId="165" fontId="4" fillId="0" borderId="2" pivotButton="0" quotePrefix="0" xfId="0"/>
    <xf numFmtId="2" fontId="4" fillId="0" borderId="2" pivotButton="0" quotePrefix="0" xfId="0"/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  <col width="46" customWidth="1" min="4" max="4"/>
    <col width="25" customWidth="1" min="5" max="5"/>
    <col width="25" customWidth="1" min="6" max="6"/>
    <col width="29" customWidth="1" min="7" max="7"/>
    <col width="32" customWidth="1" min="8" max="8"/>
    <col width="41" customWidth="1" min="9" max="9"/>
    <col width="37" customWidth="1" min="10" max="10"/>
    <col width="31" customWidth="1" min="11" max="11"/>
  </cols>
  <sheetData>
    <row r="1" ht="36" customHeight="1">
      <c r="A1" s="1" t="inlineStr">
        <is>
          <t>CONTINUUM LAB // NAVIER-STOKES FINITE-TIME BLOWUP BENCHMARK</t>
        </is>
      </c>
    </row>
    <row r="2" ht="20" customHeight="1">
      <c r="A2" s="2" t="inlineStr">
        <is>
          <t>Anisotropic Core Contraction, Velocity Divergence &amp; Uniform Kinetic Energy Boundedness (OpenAI Alternative C)</t>
        </is>
      </c>
    </row>
    <row r="3"/>
    <row r="4">
      <c r="A4" s="3" t="inlineStr">
        <is>
          <t>MODEL PARAMETERS</t>
        </is>
      </c>
      <c r="F4" s="4" t="inlineStr">
        <is>
          <t>MAX VELOCITY (T -&gt; 1)</t>
        </is>
      </c>
      <c r="H4" s="4" t="inlineStr">
        <is>
          <t>TOTAL ENERGY SUP_T</t>
        </is>
      </c>
      <c r="J4" s="4" t="inlineStr">
        <is>
          <t>FINAL SLENDERNESS lr/lz</t>
        </is>
      </c>
    </row>
    <row r="5">
      <c r="A5" s="5" t="inlineStr">
        <is>
          <t>Singular Time T*</t>
        </is>
      </c>
      <c r="B5" s="6" t="n">
        <v>1</v>
      </c>
      <c r="C5" s="7" t="inlineStr">
        <is>
          <t>s</t>
        </is>
      </c>
      <c r="D5" s="7" t="inlineStr">
        <is>
          <t>Fixed blowup horizon</t>
        </is>
      </c>
      <c r="F5" s="8">
        <f>MAX(G11:G31)</f>
        <v/>
      </c>
      <c r="H5" s="9">
        <f>MAX(I11:I31)</f>
        <v/>
      </c>
      <c r="J5" s="8">
        <f>K31</f>
        <v/>
      </c>
    </row>
    <row r="6">
      <c r="A6" s="5" t="inlineStr">
        <is>
          <t>Scaling Exponent h</t>
        </is>
      </c>
      <c r="B6" s="10" t="n">
        <v>0.008</v>
      </c>
      <c r="C6" s="7" t="inlineStr">
        <is>
          <t>-</t>
        </is>
      </c>
      <c r="D6" s="7" t="inlineStr">
        <is>
          <t>0 &lt; h &lt; 0.01 (Paper constraint)</t>
        </is>
      </c>
    </row>
    <row r="7">
      <c r="A7" s="5" t="inlineStr">
        <is>
          <t>Velocity Exponent A = 1/2 + h</t>
        </is>
      </c>
      <c r="B7" s="10">
        <f>0.5+B6</f>
        <v/>
      </c>
      <c r="C7" s="7" t="inlineStr">
        <is>
          <t>-</t>
        </is>
      </c>
      <c r="D7" s="7" t="inlineStr">
        <is>
          <t>Radial/Azimuthal velocity divergence scale</t>
        </is>
      </c>
    </row>
    <row r="8">
      <c r="A8" s="5" t="inlineStr">
        <is>
          <t>Axial Exponent D = 1/2 - h</t>
        </is>
      </c>
      <c r="B8" s="10">
        <f>0.5-B6</f>
        <v/>
      </c>
      <c r="C8" s="7" t="inlineStr">
        <is>
          <t>-</t>
        </is>
      </c>
      <c r="D8" s="7" t="inlineStr">
        <is>
          <t>Axial coordinate contraction scale</t>
        </is>
      </c>
    </row>
    <row r="9"/>
    <row r="10" ht="28" customHeight="1">
      <c r="A10" s="11" t="inlineStr">
        <is>
          <t>Tiempo t [s]</t>
        </is>
      </c>
      <c r="B10" s="11" t="inlineStr">
        <is>
          <t>tau = T* - t [s]</t>
        </is>
      </c>
      <c r="C10" s="11" t="inlineStr">
        <is>
          <t>Escala q(0,tau)</t>
        </is>
      </c>
      <c r="D10" s="11" t="inlineStr">
        <is>
          <t>Radio lr ~ tau^1/2 [m]</t>
        </is>
      </c>
      <c r="E10" s="11" t="inlineStr">
        <is>
          <t>Altura lz ~ tau^D [m]</t>
        </is>
      </c>
      <c r="F10" s="11" t="inlineStr">
        <is>
          <t>Esbeltez lr / lz [-]</t>
        </is>
      </c>
      <c r="G10" s="11" t="inlineStr">
        <is>
          <t>Velocidad Max ||u|| [m/s]</t>
        </is>
      </c>
      <c r="H10" s="11" t="inlineStr">
        <is>
          <t>Vorticidad Max ||w|| [1/s]</t>
        </is>
      </c>
      <c r="I10" s="11" t="inlineStr">
        <is>
          <t>Energia Cinetica E_tot [J]</t>
        </is>
      </c>
      <c r="J10" s="11" t="inlineStr">
        <is>
          <t>Enstrofia Omega [1/s^2]</t>
        </is>
      </c>
      <c r="K10" s="11" t="inlineStr">
        <is>
          <t>Reynolds Azimutal Re_th [-]</t>
        </is>
      </c>
    </row>
    <row r="11" ht="20" customHeight="1">
      <c r="A11" s="12" t="n">
        <v>0</v>
      </c>
      <c r="B11" s="13">
        <f>$B$5-A11</f>
        <v/>
      </c>
      <c r="C11" s="13">
        <f>B11</f>
        <v/>
      </c>
      <c r="D11" s="14">
        <f>SQRT(B11)</f>
        <v/>
      </c>
      <c r="E11" s="14">
        <f>POWER(B11, $B$8)</f>
        <v/>
      </c>
      <c r="F11" s="14">
        <f>D11/E11</f>
        <v/>
      </c>
      <c r="G11" s="13">
        <f>1.968*POWER(B11, -$B$7)</f>
        <v/>
      </c>
      <c r="H11" s="13">
        <f>6.0*POWER(B11, -(1.0+$B$6))</f>
        <v/>
      </c>
      <c r="I11" s="14">
        <f>0.45*POWER(B11, (0.5-3.0*$B$6))+2.50</f>
        <v/>
      </c>
      <c r="J11" s="13">
        <f>1.85*POWER(B11, -(0.5+3.0*$B$6))</f>
        <v/>
      </c>
      <c r="K11" s="15">
        <f>POWER(B11, -$B$6)</f>
        <v/>
      </c>
    </row>
    <row r="12" ht="20" customHeight="1">
      <c r="A12" s="16" t="n">
        <v>0.1</v>
      </c>
      <c r="B12" s="17">
        <f>$B$5-A12</f>
        <v/>
      </c>
      <c r="C12" s="17">
        <f>B12</f>
        <v/>
      </c>
      <c r="D12" s="18">
        <f>SQRT(B12)</f>
        <v/>
      </c>
      <c r="E12" s="18">
        <f>POWER(B12, $B$8)</f>
        <v/>
      </c>
      <c r="F12" s="18">
        <f>D12/E12</f>
        <v/>
      </c>
      <c r="G12" s="17">
        <f>1.968*POWER(B12, -$B$7)</f>
        <v/>
      </c>
      <c r="H12" s="17">
        <f>6.0*POWER(B12, -(1.0+$B$6))</f>
        <v/>
      </c>
      <c r="I12" s="18">
        <f>0.45*POWER(B12, (0.5-3.0*$B$6))+2.50</f>
        <v/>
      </c>
      <c r="J12" s="17">
        <f>1.85*POWER(B12, -(0.5+3.0*$B$6))</f>
        <v/>
      </c>
      <c r="K12" s="19">
        <f>POWER(B12, -$B$6)</f>
        <v/>
      </c>
    </row>
    <row r="13" ht="20" customHeight="1">
      <c r="A13" s="12" t="n">
        <v>0.2</v>
      </c>
      <c r="B13" s="13">
        <f>$B$5-A13</f>
        <v/>
      </c>
      <c r="C13" s="13">
        <f>B13</f>
        <v/>
      </c>
      <c r="D13" s="14">
        <f>SQRT(B13)</f>
        <v/>
      </c>
      <c r="E13" s="14">
        <f>POWER(B13, $B$8)</f>
        <v/>
      </c>
      <c r="F13" s="14">
        <f>D13/E13</f>
        <v/>
      </c>
      <c r="G13" s="13">
        <f>1.968*POWER(B13, -$B$7)</f>
        <v/>
      </c>
      <c r="H13" s="13">
        <f>6.0*POWER(B13, -(1.0+$B$6))</f>
        <v/>
      </c>
      <c r="I13" s="14">
        <f>0.45*POWER(B13, (0.5-3.0*$B$6))+2.50</f>
        <v/>
      </c>
      <c r="J13" s="13">
        <f>1.85*POWER(B13, -(0.5+3.0*$B$6))</f>
        <v/>
      </c>
      <c r="K13" s="15">
        <f>POWER(B13, -$B$6)</f>
        <v/>
      </c>
    </row>
    <row r="14" ht="20" customHeight="1">
      <c r="A14" s="16" t="n">
        <v>0.3</v>
      </c>
      <c r="B14" s="17">
        <f>$B$5-A14</f>
        <v/>
      </c>
      <c r="C14" s="17">
        <f>B14</f>
        <v/>
      </c>
      <c r="D14" s="18">
        <f>SQRT(B14)</f>
        <v/>
      </c>
      <c r="E14" s="18">
        <f>POWER(B14, $B$8)</f>
        <v/>
      </c>
      <c r="F14" s="18">
        <f>D14/E14</f>
        <v/>
      </c>
      <c r="G14" s="17">
        <f>1.968*POWER(B14, -$B$7)</f>
        <v/>
      </c>
      <c r="H14" s="17">
        <f>6.0*POWER(B14, -(1.0+$B$6))</f>
        <v/>
      </c>
      <c r="I14" s="18">
        <f>0.45*POWER(B14, (0.5-3.0*$B$6))+2.50</f>
        <v/>
      </c>
      <c r="J14" s="17">
        <f>1.85*POWER(B14, -(0.5+3.0*$B$6))</f>
        <v/>
      </c>
      <c r="K14" s="19">
        <f>POWER(B14, -$B$6)</f>
        <v/>
      </c>
    </row>
    <row r="15" ht="20" customHeight="1">
      <c r="A15" s="12" t="n">
        <v>0.4</v>
      </c>
      <c r="B15" s="13">
        <f>$B$5-A15</f>
        <v/>
      </c>
      <c r="C15" s="13">
        <f>B15</f>
        <v/>
      </c>
      <c r="D15" s="14">
        <f>SQRT(B15)</f>
        <v/>
      </c>
      <c r="E15" s="14">
        <f>POWER(B15, $B$8)</f>
        <v/>
      </c>
      <c r="F15" s="14">
        <f>D15/E15</f>
        <v/>
      </c>
      <c r="G15" s="13">
        <f>1.968*POWER(B15, -$B$7)</f>
        <v/>
      </c>
      <c r="H15" s="13">
        <f>6.0*POWER(B15, -(1.0+$B$6))</f>
        <v/>
      </c>
      <c r="I15" s="14">
        <f>0.45*POWER(B15, (0.5-3.0*$B$6))+2.50</f>
        <v/>
      </c>
      <c r="J15" s="13">
        <f>1.85*POWER(B15, -(0.5+3.0*$B$6))</f>
        <v/>
      </c>
      <c r="K15" s="15">
        <f>POWER(B15, -$B$6)</f>
        <v/>
      </c>
    </row>
    <row r="16" ht="20" customHeight="1">
      <c r="A16" s="16" t="n">
        <v>0.5</v>
      </c>
      <c r="B16" s="17">
        <f>$B$5-A16</f>
        <v/>
      </c>
      <c r="C16" s="17">
        <f>B16</f>
        <v/>
      </c>
      <c r="D16" s="18">
        <f>SQRT(B16)</f>
        <v/>
      </c>
      <c r="E16" s="18">
        <f>POWER(B16, $B$8)</f>
        <v/>
      </c>
      <c r="F16" s="18">
        <f>D16/E16</f>
        <v/>
      </c>
      <c r="G16" s="17">
        <f>1.968*POWER(B16, -$B$7)</f>
        <v/>
      </c>
      <c r="H16" s="17">
        <f>6.0*POWER(B16, -(1.0+$B$6))</f>
        <v/>
      </c>
      <c r="I16" s="18">
        <f>0.45*POWER(B16, (0.5-3.0*$B$6))+2.50</f>
        <v/>
      </c>
      <c r="J16" s="17">
        <f>1.85*POWER(B16, -(0.5+3.0*$B$6))</f>
        <v/>
      </c>
      <c r="K16" s="19">
        <f>POWER(B16, -$B$6)</f>
        <v/>
      </c>
    </row>
    <row r="17" ht="20" customHeight="1">
      <c r="A17" s="12" t="n">
        <v>0.6</v>
      </c>
      <c r="B17" s="13">
        <f>$B$5-A17</f>
        <v/>
      </c>
      <c r="C17" s="13">
        <f>B17</f>
        <v/>
      </c>
      <c r="D17" s="14">
        <f>SQRT(B17)</f>
        <v/>
      </c>
      <c r="E17" s="14">
        <f>POWER(B17, $B$8)</f>
        <v/>
      </c>
      <c r="F17" s="14">
        <f>D17/E17</f>
        <v/>
      </c>
      <c r="G17" s="13">
        <f>1.968*POWER(B17, -$B$7)</f>
        <v/>
      </c>
      <c r="H17" s="13">
        <f>6.0*POWER(B17, -(1.0+$B$6))</f>
        <v/>
      </c>
      <c r="I17" s="14">
        <f>0.45*POWER(B17, (0.5-3.0*$B$6))+2.50</f>
        <v/>
      </c>
      <c r="J17" s="13">
        <f>1.85*POWER(B17, -(0.5+3.0*$B$6))</f>
        <v/>
      </c>
      <c r="K17" s="15">
        <f>POWER(B17, -$B$6)</f>
        <v/>
      </c>
    </row>
    <row r="18" ht="20" customHeight="1">
      <c r="A18" s="16" t="n">
        <v>0.7</v>
      </c>
      <c r="B18" s="17">
        <f>$B$5-A18</f>
        <v/>
      </c>
      <c r="C18" s="17">
        <f>B18</f>
        <v/>
      </c>
      <c r="D18" s="18">
        <f>SQRT(B18)</f>
        <v/>
      </c>
      <c r="E18" s="18">
        <f>POWER(B18, $B$8)</f>
        <v/>
      </c>
      <c r="F18" s="18">
        <f>D18/E18</f>
        <v/>
      </c>
      <c r="G18" s="17">
        <f>1.968*POWER(B18, -$B$7)</f>
        <v/>
      </c>
      <c r="H18" s="17">
        <f>6.0*POWER(B18, -(1.0+$B$6))</f>
        <v/>
      </c>
      <c r="I18" s="18">
        <f>0.45*POWER(B18, (0.5-3.0*$B$6))+2.50</f>
        <v/>
      </c>
      <c r="J18" s="17">
        <f>1.85*POWER(B18, -(0.5+3.0*$B$6))</f>
        <v/>
      </c>
      <c r="K18" s="19">
        <f>POWER(B18, -$B$6)</f>
        <v/>
      </c>
    </row>
    <row r="19" ht="20" customHeight="1">
      <c r="A19" s="12" t="n">
        <v>0.8</v>
      </c>
      <c r="B19" s="13">
        <f>$B$5-A19</f>
        <v/>
      </c>
      <c r="C19" s="13">
        <f>B19</f>
        <v/>
      </c>
      <c r="D19" s="14">
        <f>SQRT(B19)</f>
        <v/>
      </c>
      <c r="E19" s="14">
        <f>POWER(B19, $B$8)</f>
        <v/>
      </c>
      <c r="F19" s="14">
        <f>D19/E19</f>
        <v/>
      </c>
      <c r="G19" s="13">
        <f>1.968*POWER(B19, -$B$7)</f>
        <v/>
      </c>
      <c r="H19" s="13">
        <f>6.0*POWER(B19, -(1.0+$B$6))</f>
        <v/>
      </c>
      <c r="I19" s="14">
        <f>0.45*POWER(B19, (0.5-3.0*$B$6))+2.50</f>
        <v/>
      </c>
      <c r="J19" s="13">
        <f>1.85*POWER(B19, -(0.5+3.0*$B$6))</f>
        <v/>
      </c>
      <c r="K19" s="15">
        <f>POWER(B19, -$B$6)</f>
        <v/>
      </c>
    </row>
    <row r="20" ht="20" customHeight="1">
      <c r="A20" s="16" t="n">
        <v>0.85</v>
      </c>
      <c r="B20" s="17">
        <f>$B$5-A20</f>
        <v/>
      </c>
      <c r="C20" s="17">
        <f>B20</f>
        <v/>
      </c>
      <c r="D20" s="18">
        <f>SQRT(B20)</f>
        <v/>
      </c>
      <c r="E20" s="18">
        <f>POWER(B20, $B$8)</f>
        <v/>
      </c>
      <c r="F20" s="18">
        <f>D20/E20</f>
        <v/>
      </c>
      <c r="G20" s="17">
        <f>1.968*POWER(B20, -$B$7)</f>
        <v/>
      </c>
      <c r="H20" s="17">
        <f>6.0*POWER(B20, -(1.0+$B$6))</f>
        <v/>
      </c>
      <c r="I20" s="18">
        <f>0.45*POWER(B20, (0.5-3.0*$B$6))+2.50</f>
        <v/>
      </c>
      <c r="J20" s="17">
        <f>1.85*POWER(B20, -(0.5+3.0*$B$6))</f>
        <v/>
      </c>
      <c r="K20" s="19">
        <f>POWER(B20, -$B$6)</f>
        <v/>
      </c>
    </row>
    <row r="21" ht="20" customHeight="1">
      <c r="A21" s="12" t="n">
        <v>0.9</v>
      </c>
      <c r="B21" s="13">
        <f>$B$5-A21</f>
        <v/>
      </c>
      <c r="C21" s="13">
        <f>B21</f>
        <v/>
      </c>
      <c r="D21" s="14">
        <f>SQRT(B21)</f>
        <v/>
      </c>
      <c r="E21" s="14">
        <f>POWER(B21, $B$8)</f>
        <v/>
      </c>
      <c r="F21" s="14">
        <f>D21/E21</f>
        <v/>
      </c>
      <c r="G21" s="13">
        <f>1.968*POWER(B21, -$B$7)</f>
        <v/>
      </c>
      <c r="H21" s="13">
        <f>6.0*POWER(B21, -(1.0+$B$6))</f>
        <v/>
      </c>
      <c r="I21" s="14">
        <f>0.45*POWER(B21, (0.5-3.0*$B$6))+2.50</f>
        <v/>
      </c>
      <c r="J21" s="13">
        <f>1.85*POWER(B21, -(0.5+3.0*$B$6))</f>
        <v/>
      </c>
      <c r="K21" s="15">
        <f>POWER(B21, -$B$6)</f>
        <v/>
      </c>
    </row>
    <row r="22" ht="20" customHeight="1">
      <c r="A22" s="16" t="n">
        <v>0.93</v>
      </c>
      <c r="B22" s="17">
        <f>$B$5-A22</f>
        <v/>
      </c>
      <c r="C22" s="17">
        <f>B22</f>
        <v/>
      </c>
      <c r="D22" s="18">
        <f>SQRT(B22)</f>
        <v/>
      </c>
      <c r="E22" s="18">
        <f>POWER(B22, $B$8)</f>
        <v/>
      </c>
      <c r="F22" s="18">
        <f>D22/E22</f>
        <v/>
      </c>
      <c r="G22" s="17">
        <f>1.968*POWER(B22, -$B$7)</f>
        <v/>
      </c>
      <c r="H22" s="17">
        <f>6.0*POWER(B22, -(1.0+$B$6))</f>
        <v/>
      </c>
      <c r="I22" s="18">
        <f>0.45*POWER(B22, (0.5-3.0*$B$6))+2.50</f>
        <v/>
      </c>
      <c r="J22" s="17">
        <f>1.85*POWER(B22, -(0.5+3.0*$B$6))</f>
        <v/>
      </c>
      <c r="K22" s="19">
        <f>POWER(B22, -$B$6)</f>
        <v/>
      </c>
    </row>
    <row r="23" ht="20" customHeight="1">
      <c r="A23" s="12" t="n">
        <v>0.95</v>
      </c>
      <c r="B23" s="13">
        <f>$B$5-A23</f>
        <v/>
      </c>
      <c r="C23" s="13">
        <f>B23</f>
        <v/>
      </c>
      <c r="D23" s="14">
        <f>SQRT(B23)</f>
        <v/>
      </c>
      <c r="E23" s="14">
        <f>POWER(B23, $B$8)</f>
        <v/>
      </c>
      <c r="F23" s="14">
        <f>D23/E23</f>
        <v/>
      </c>
      <c r="G23" s="13">
        <f>1.968*POWER(B23, -$B$7)</f>
        <v/>
      </c>
      <c r="H23" s="13">
        <f>6.0*POWER(B23, -(1.0+$B$6))</f>
        <v/>
      </c>
      <c r="I23" s="14">
        <f>0.45*POWER(B23, (0.5-3.0*$B$6))+2.50</f>
        <v/>
      </c>
      <c r="J23" s="13">
        <f>1.85*POWER(B23, -(0.5+3.0*$B$6))</f>
        <v/>
      </c>
      <c r="K23" s="15">
        <f>POWER(B23, -$B$6)</f>
        <v/>
      </c>
    </row>
    <row r="24" ht="20" customHeight="1">
      <c r="A24" s="16" t="n">
        <v>0.97</v>
      </c>
      <c r="B24" s="17">
        <f>$B$5-A24</f>
        <v/>
      </c>
      <c r="C24" s="17">
        <f>B24</f>
        <v/>
      </c>
      <c r="D24" s="18">
        <f>SQRT(B24)</f>
        <v/>
      </c>
      <c r="E24" s="18">
        <f>POWER(B24, $B$8)</f>
        <v/>
      </c>
      <c r="F24" s="18">
        <f>D24/E24</f>
        <v/>
      </c>
      <c r="G24" s="17">
        <f>1.968*POWER(B24, -$B$7)</f>
        <v/>
      </c>
      <c r="H24" s="17">
        <f>6.0*POWER(B24, -(1.0+$B$6))</f>
        <v/>
      </c>
      <c r="I24" s="18">
        <f>0.45*POWER(B24, (0.5-3.0*$B$6))+2.50</f>
        <v/>
      </c>
      <c r="J24" s="17">
        <f>1.85*POWER(B24, -(0.5+3.0*$B$6))</f>
        <v/>
      </c>
      <c r="K24" s="19">
        <f>POWER(B24, -$B$6)</f>
        <v/>
      </c>
    </row>
    <row r="25" ht="20" customHeight="1">
      <c r="A25" s="12" t="n">
        <v>0.98</v>
      </c>
      <c r="B25" s="13">
        <f>$B$5-A25</f>
        <v/>
      </c>
      <c r="C25" s="13">
        <f>B25</f>
        <v/>
      </c>
      <c r="D25" s="14">
        <f>SQRT(B25)</f>
        <v/>
      </c>
      <c r="E25" s="14">
        <f>POWER(B25, $B$8)</f>
        <v/>
      </c>
      <c r="F25" s="14">
        <f>D25/E25</f>
        <v/>
      </c>
      <c r="G25" s="13">
        <f>1.968*POWER(B25, -$B$7)</f>
        <v/>
      </c>
      <c r="H25" s="13">
        <f>6.0*POWER(B25, -(1.0+$B$6))</f>
        <v/>
      </c>
      <c r="I25" s="14">
        <f>0.45*POWER(B25, (0.5-3.0*$B$6))+2.50</f>
        <v/>
      </c>
      <c r="J25" s="13">
        <f>1.85*POWER(B25, -(0.5+3.0*$B$6))</f>
        <v/>
      </c>
      <c r="K25" s="15">
        <f>POWER(B25, -$B$6)</f>
        <v/>
      </c>
    </row>
    <row r="26" ht="20" customHeight="1">
      <c r="A26" s="16" t="n">
        <v>0.99</v>
      </c>
      <c r="B26" s="17">
        <f>$B$5-A26</f>
        <v/>
      </c>
      <c r="C26" s="17">
        <f>B26</f>
        <v/>
      </c>
      <c r="D26" s="18">
        <f>SQRT(B26)</f>
        <v/>
      </c>
      <c r="E26" s="18">
        <f>POWER(B26, $B$8)</f>
        <v/>
      </c>
      <c r="F26" s="18">
        <f>D26/E26</f>
        <v/>
      </c>
      <c r="G26" s="17">
        <f>1.968*POWER(B26, -$B$7)</f>
        <v/>
      </c>
      <c r="H26" s="17">
        <f>6.0*POWER(B26, -(1.0+$B$6))</f>
        <v/>
      </c>
      <c r="I26" s="18">
        <f>0.45*POWER(B26, (0.5-3.0*$B$6))+2.50</f>
        <v/>
      </c>
      <c r="J26" s="17">
        <f>1.85*POWER(B26, -(0.5+3.0*$B$6))</f>
        <v/>
      </c>
      <c r="K26" s="19">
        <f>POWER(B26, -$B$6)</f>
        <v/>
      </c>
    </row>
    <row r="27" ht="20" customHeight="1">
      <c r="A27" s="12" t="n">
        <v>0.995</v>
      </c>
      <c r="B27" s="13">
        <f>$B$5-A27</f>
        <v/>
      </c>
      <c r="C27" s="13">
        <f>B27</f>
        <v/>
      </c>
      <c r="D27" s="14">
        <f>SQRT(B27)</f>
        <v/>
      </c>
      <c r="E27" s="14">
        <f>POWER(B27, $B$8)</f>
        <v/>
      </c>
      <c r="F27" s="14">
        <f>D27/E27</f>
        <v/>
      </c>
      <c r="G27" s="13">
        <f>1.968*POWER(B27, -$B$7)</f>
        <v/>
      </c>
      <c r="H27" s="13">
        <f>6.0*POWER(B27, -(1.0+$B$6))</f>
        <v/>
      </c>
      <c r="I27" s="14">
        <f>0.45*POWER(B27, (0.5-3.0*$B$6))+2.50</f>
        <v/>
      </c>
      <c r="J27" s="13">
        <f>1.85*POWER(B27, -(0.5+3.0*$B$6))</f>
        <v/>
      </c>
      <c r="K27" s="15">
        <f>POWER(B27, -$B$6)</f>
        <v/>
      </c>
    </row>
    <row r="28" ht="20" customHeight="1">
      <c r="A28" s="16" t="n">
        <v>0.998</v>
      </c>
      <c r="B28" s="17">
        <f>$B$5-A28</f>
        <v/>
      </c>
      <c r="C28" s="17">
        <f>B28</f>
        <v/>
      </c>
      <c r="D28" s="18">
        <f>SQRT(B28)</f>
        <v/>
      </c>
      <c r="E28" s="18">
        <f>POWER(B28, $B$8)</f>
        <v/>
      </c>
      <c r="F28" s="18">
        <f>D28/E28</f>
        <v/>
      </c>
      <c r="G28" s="17">
        <f>1.968*POWER(B28, -$B$7)</f>
        <v/>
      </c>
      <c r="H28" s="17">
        <f>6.0*POWER(B28, -(1.0+$B$6))</f>
        <v/>
      </c>
      <c r="I28" s="18">
        <f>0.45*POWER(B28, (0.5-3.0*$B$6))+2.50</f>
        <v/>
      </c>
      <c r="J28" s="17">
        <f>1.85*POWER(B28, -(0.5+3.0*$B$6))</f>
        <v/>
      </c>
      <c r="K28" s="19">
        <f>POWER(B28, -$B$6)</f>
        <v/>
      </c>
    </row>
    <row r="29" ht="20" customHeight="1">
      <c r="A29" s="12" t="n">
        <v>0.999</v>
      </c>
      <c r="B29" s="13">
        <f>$B$5-A29</f>
        <v/>
      </c>
      <c r="C29" s="13">
        <f>B29</f>
        <v/>
      </c>
      <c r="D29" s="14">
        <f>SQRT(B29)</f>
        <v/>
      </c>
      <c r="E29" s="14">
        <f>POWER(B29, $B$8)</f>
        <v/>
      </c>
      <c r="F29" s="14">
        <f>D29/E29</f>
        <v/>
      </c>
      <c r="G29" s="13">
        <f>1.968*POWER(B29, -$B$7)</f>
        <v/>
      </c>
      <c r="H29" s="13">
        <f>6.0*POWER(B29, -(1.0+$B$6))</f>
        <v/>
      </c>
      <c r="I29" s="14">
        <f>0.45*POWER(B29, (0.5-3.0*$B$6))+2.50</f>
        <v/>
      </c>
      <c r="J29" s="13">
        <f>1.85*POWER(B29, -(0.5+3.0*$B$6))</f>
        <v/>
      </c>
      <c r="K29" s="15">
        <f>POWER(B29, -$B$6)</f>
        <v/>
      </c>
    </row>
    <row r="30" ht="20" customHeight="1">
      <c r="A30" s="16" t="n">
        <v>0.9995000000000001</v>
      </c>
      <c r="B30" s="17">
        <f>$B$5-A30</f>
        <v/>
      </c>
      <c r="C30" s="17">
        <f>B30</f>
        <v/>
      </c>
      <c r="D30" s="18">
        <f>SQRT(B30)</f>
        <v/>
      </c>
      <c r="E30" s="18">
        <f>POWER(B30, $B$8)</f>
        <v/>
      </c>
      <c r="F30" s="18">
        <f>D30/E30</f>
        <v/>
      </c>
      <c r="G30" s="17">
        <f>1.968*POWER(B30, -$B$7)</f>
        <v/>
      </c>
      <c r="H30" s="17">
        <f>6.0*POWER(B30, -(1.0+$B$6))</f>
        <v/>
      </c>
      <c r="I30" s="18">
        <f>0.45*POWER(B30, (0.5-3.0*$B$6))+2.50</f>
        <v/>
      </c>
      <c r="J30" s="17">
        <f>1.85*POWER(B30, -(0.5+3.0*$B$6))</f>
        <v/>
      </c>
      <c r="K30" s="19">
        <f>POWER(B30, -$B$6)</f>
        <v/>
      </c>
    </row>
    <row r="31" ht="20" customHeight="1">
      <c r="A31" s="12" t="n">
        <v>0.9999</v>
      </c>
      <c r="B31" s="13">
        <f>$B$5-A31</f>
        <v/>
      </c>
      <c r="C31" s="13">
        <f>B31</f>
        <v/>
      </c>
      <c r="D31" s="14">
        <f>SQRT(B31)</f>
        <v/>
      </c>
      <c r="E31" s="14">
        <f>POWER(B31, $B$8)</f>
        <v/>
      </c>
      <c r="F31" s="14">
        <f>D31/E31</f>
        <v/>
      </c>
      <c r="G31" s="13">
        <f>1.968*POWER(B31, -$B$7)</f>
        <v/>
      </c>
      <c r="H31" s="13">
        <f>6.0*POWER(B31, -(1.0+$B$6))</f>
        <v/>
      </c>
      <c r="I31" s="14">
        <f>0.45*POWER(B31, (0.5-3.0*$B$6))+2.50</f>
        <v/>
      </c>
      <c r="J31" s="13">
        <f>1.85*POWER(B31, -(0.5+3.0*$B$6))</f>
        <v/>
      </c>
      <c r="K31" s="15">
        <f>POWER(B31, -$B$6)</f>
        <v/>
      </c>
    </row>
    <row r="32" ht="22" customHeight="1">
      <c r="A32" s="20" t="inlineStr">
        <is>
          <t>PROMEDIO / TOTAL</t>
        </is>
      </c>
      <c r="B32" s="21">
        <f>AVERAGE(B11:B31)</f>
        <v/>
      </c>
      <c r="C32" s="21">
        <f>AVERAGE(C11:C31)</f>
        <v/>
      </c>
      <c r="D32" s="22">
        <f>AVERAGE(D11:D31)</f>
        <v/>
      </c>
      <c r="E32" s="22">
        <f>AVERAGE(E11:E31)</f>
        <v/>
      </c>
      <c r="F32" s="22">
        <f>AVERAGE(F11:F31)</f>
        <v/>
      </c>
      <c r="G32" s="21">
        <f>MAX(G11:G31)</f>
        <v/>
      </c>
      <c r="H32" s="21">
        <f>MAX(H11:H31)</f>
        <v/>
      </c>
      <c r="I32" s="22">
        <f>MAX(I11:I31)</f>
        <v/>
      </c>
      <c r="J32" s="21">
        <f>MAX(J11:J31)</f>
        <v/>
      </c>
      <c r="K32" s="23">
        <f>MAX(K11:K31)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35" customWidth="1" min="3" max="3"/>
    <col width="30" customWidth="1" min="4" max="4"/>
    <col width="51" customWidth="1" min="5" max="5"/>
    <col width="32" customWidth="1" min="6" max="6"/>
    <col width="86" customWidth="1" min="7" max="7"/>
    <col width="91" customWidth="1" min="8" max="8"/>
    <col width="25" customWidth="1" min="9" max="9"/>
    <col width="22" customWidth="1" min="10" max="10"/>
  </cols>
  <sheetData>
    <row r="1" ht="36" customHeight="1">
      <c r="A1" s="1" t="inlineStr">
        <is>
          <t>CONTINUUM LAB // RADIAL PROFILE &amp; REYNOLDS STRESS IN THE ANNULUS (t = 0.95 s)</t>
        </is>
      </c>
    </row>
    <row r="2" ht="20" customHeight="1">
      <c r="A2" s="2" t="inlineStr">
        <is>
          <t>Inner Core Vortex (0 &lt;= X &lt;= Xa), Oscillatory Pulse Annulus (Xa &lt;= X &lt;= Xb), and Viscous Heat Exterior (X &gt;= Xb)</t>
        </is>
      </c>
    </row>
    <row r="3"/>
    <row r="4"/>
    <row r="5" ht="26" customHeight="1">
      <c r="A5" s="11" t="inlineStr">
        <is>
          <t>Radio r [m]</t>
        </is>
      </c>
      <c r="B5" s="11" t="inlineStr">
        <is>
          <t>Coord X = r^2/2q</t>
        </is>
      </c>
      <c r="C5" s="11" t="inlineStr">
        <is>
          <t>Perfil E(X, 0)</t>
        </is>
      </c>
      <c r="D5" s="11" t="inlineStr">
        <is>
          <t>Vel Azimutal u_theta [m/s]</t>
        </is>
      </c>
      <c r="E5" s="11" t="inlineStr">
        <is>
          <t>Vel Radial u_r [m/s]</t>
        </is>
      </c>
      <c r="F5" s="11" t="inlineStr">
        <is>
          <t>Presion p(r, 0) [Pa]</t>
        </is>
      </c>
      <c r="G5" s="11" t="inlineStr">
        <is>
          <t>Stress Tr_theta [Pa]</t>
        </is>
      </c>
      <c r="H5" s="11" t="inlineStr">
        <is>
          <t>Stress Tr_z [Pa]</t>
        </is>
      </c>
      <c r="I5" s="11" t="inlineStr">
        <is>
          <t>Amplitud Pulso A_wave</t>
        </is>
      </c>
      <c r="J5" s="11" t="inlineStr">
        <is>
          <t>Zona Hidrodinamica</t>
        </is>
      </c>
    </row>
    <row r="6" ht="20" customHeight="1">
      <c r="A6" s="16" t="n">
        <v>0.001</v>
      </c>
      <c r="B6" s="18">
        <f>(A6^2)/(2*0.05)</f>
        <v/>
      </c>
      <c r="C6" s="18">
        <f>3.0*SQRT(2*B6)*EXP(-0.85*B6)</f>
        <v/>
      </c>
      <c r="D6" s="24">
        <f>4.5806*C6</f>
        <v/>
      </c>
      <c r="E6" s="24">
        <f>-1.5*0.42/SQRT(0.05)*(1-EXP(-B6))/SQRT(2*B6)</f>
        <v/>
      </c>
      <c r="F6" s="24">
        <f>-20.9820*0.45*EXP(-1.5*B6)</f>
        <v/>
      </c>
      <c r="G6" s="24">
        <f>IF(AND(B6&gt;=0.5, B6&lt;=2.8), 0.35*POWER(0.05, -1.008)*EXP(-((B6-1.65)/0.8)^4), 0)</f>
        <v/>
      </c>
      <c r="H6" s="24">
        <f>IF(AND(B6&gt;=0.5, B6&lt;=2.8), 0.22*POWER(0.05, -1.008)*0.05*EXP(-((B6-1.65)/0.8)^4), 0)</f>
        <v/>
      </c>
      <c r="I6" s="24">
        <f>SQRT(G6+ABS(H6))</f>
        <v/>
      </c>
      <c r="J6" s="25" t="inlineStr">
        <is>
          <t>1. Inner Core</t>
        </is>
      </c>
    </row>
    <row r="7" ht="20" customHeight="1">
      <c r="A7" s="12" t="n">
        <v>0.05095833333333333</v>
      </c>
      <c r="B7" s="14">
        <f>(A7^2)/(2*0.05)</f>
        <v/>
      </c>
      <c r="C7" s="14">
        <f>3.0*SQRT(2*B7)*EXP(-0.85*B7)</f>
        <v/>
      </c>
      <c r="D7" s="26">
        <f>4.5806*C7</f>
        <v/>
      </c>
      <c r="E7" s="26">
        <f>-1.5*0.42/SQRT(0.05)*(1-EXP(-B7))/SQRT(2*B7)</f>
        <v/>
      </c>
      <c r="F7" s="26">
        <f>-20.9820*0.45*EXP(-1.5*B7)</f>
        <v/>
      </c>
      <c r="G7" s="26">
        <f>IF(AND(B7&gt;=0.5, B7&lt;=2.8), 0.35*POWER(0.05, -1.008)*EXP(-((B7-1.65)/0.8)^4), 0)</f>
        <v/>
      </c>
      <c r="H7" s="26">
        <f>IF(AND(B7&gt;=0.5, B7&lt;=2.8), 0.22*POWER(0.05, -1.008)*0.05*EXP(-((B7-1.65)/0.8)^4), 0)</f>
        <v/>
      </c>
      <c r="I7" s="26">
        <f>SQRT(G7+ABS(H7))</f>
        <v/>
      </c>
      <c r="J7" s="27" t="inlineStr">
        <is>
          <t>1. Inner Core</t>
        </is>
      </c>
    </row>
    <row r="8" ht="20" customHeight="1">
      <c r="A8" s="16" t="n">
        <v>0.1009166666666667</v>
      </c>
      <c r="B8" s="18">
        <f>(A8^2)/(2*0.05)</f>
        <v/>
      </c>
      <c r="C8" s="18">
        <f>3.0*SQRT(2*B8)*EXP(-0.85*B8)</f>
        <v/>
      </c>
      <c r="D8" s="24">
        <f>4.5806*C8</f>
        <v/>
      </c>
      <c r="E8" s="24">
        <f>-1.5*0.42/SQRT(0.05)*(1-EXP(-B8))/SQRT(2*B8)</f>
        <v/>
      </c>
      <c r="F8" s="24">
        <f>-20.9820*0.45*EXP(-1.5*B8)</f>
        <v/>
      </c>
      <c r="G8" s="24">
        <f>IF(AND(B8&gt;=0.5, B8&lt;=2.8), 0.35*POWER(0.05, -1.008)*EXP(-((B8-1.65)/0.8)^4), 0)</f>
        <v/>
      </c>
      <c r="H8" s="24">
        <f>IF(AND(B8&gt;=0.5, B8&lt;=2.8), 0.22*POWER(0.05, -1.008)*0.05*EXP(-((B8-1.65)/0.8)^4), 0)</f>
        <v/>
      </c>
      <c r="I8" s="24">
        <f>SQRT(G8+ABS(H8))</f>
        <v/>
      </c>
      <c r="J8" s="25" t="inlineStr">
        <is>
          <t>1. Inner Core</t>
        </is>
      </c>
    </row>
    <row r="9" ht="20" customHeight="1">
      <c r="A9" s="12" t="n">
        <v>0.150875</v>
      </c>
      <c r="B9" s="14">
        <f>(A9^2)/(2*0.05)</f>
        <v/>
      </c>
      <c r="C9" s="14">
        <f>3.0*SQRT(2*B9)*EXP(-0.85*B9)</f>
        <v/>
      </c>
      <c r="D9" s="26">
        <f>4.5806*C9</f>
        <v/>
      </c>
      <c r="E9" s="26">
        <f>-1.5*0.42/SQRT(0.05)*(1-EXP(-B9))/SQRT(2*B9)</f>
        <v/>
      </c>
      <c r="F9" s="26">
        <f>-20.9820*0.45*EXP(-1.5*B9)</f>
        <v/>
      </c>
      <c r="G9" s="26">
        <f>IF(AND(B9&gt;=0.5, B9&lt;=2.8), 0.35*POWER(0.05, -1.008)*EXP(-((B9-1.65)/0.8)^4), 0)</f>
        <v/>
      </c>
      <c r="H9" s="26">
        <f>IF(AND(B9&gt;=0.5, B9&lt;=2.8), 0.22*POWER(0.05, -1.008)*0.05*EXP(-((B9-1.65)/0.8)^4), 0)</f>
        <v/>
      </c>
      <c r="I9" s="26">
        <f>SQRT(G9+ABS(H9))</f>
        <v/>
      </c>
      <c r="J9" s="27" t="inlineStr">
        <is>
          <t>1. Inner Core</t>
        </is>
      </c>
    </row>
    <row r="10" ht="20" customHeight="1">
      <c r="A10" s="16" t="n">
        <v>0.2008333333333333</v>
      </c>
      <c r="B10" s="18">
        <f>(A10^2)/(2*0.05)</f>
        <v/>
      </c>
      <c r="C10" s="18">
        <f>3.0*SQRT(2*B10)*EXP(-0.85*B10)</f>
        <v/>
      </c>
      <c r="D10" s="24">
        <f>4.5806*C10</f>
        <v/>
      </c>
      <c r="E10" s="24">
        <f>-1.5*0.42/SQRT(0.05)*(1-EXP(-B10))/SQRT(2*B10)</f>
        <v/>
      </c>
      <c r="F10" s="24">
        <f>-20.9820*0.45*EXP(-1.5*B10)</f>
        <v/>
      </c>
      <c r="G10" s="24">
        <f>IF(AND(B10&gt;=0.5, B10&lt;=2.8), 0.35*POWER(0.05, -1.008)*EXP(-((B10-1.65)/0.8)^4), 0)</f>
        <v/>
      </c>
      <c r="H10" s="24">
        <f>IF(AND(B10&gt;=0.5, B10&lt;=2.8), 0.22*POWER(0.05, -1.008)*0.05*EXP(-((B10-1.65)/0.8)^4), 0)</f>
        <v/>
      </c>
      <c r="I10" s="24">
        <f>SQRT(G10+ABS(H10))</f>
        <v/>
      </c>
      <c r="J10" s="25" t="inlineStr">
        <is>
          <t>1. Inner Core</t>
        </is>
      </c>
    </row>
    <row r="11" ht="20" customHeight="1">
      <c r="A11" s="12" t="n">
        <v>0.2507916666666666</v>
      </c>
      <c r="B11" s="14">
        <f>(A11^2)/(2*0.05)</f>
        <v/>
      </c>
      <c r="C11" s="14">
        <f>3.0*SQRT(2*B11)*EXP(-0.85*B11)</f>
        <v/>
      </c>
      <c r="D11" s="26">
        <f>4.5806*C11</f>
        <v/>
      </c>
      <c r="E11" s="26">
        <f>-1.5*0.42/SQRT(0.05)*(1-EXP(-B11))/SQRT(2*B11)</f>
        <v/>
      </c>
      <c r="F11" s="26">
        <f>-20.9820*0.45*EXP(-1.5*B11)</f>
        <v/>
      </c>
      <c r="G11" s="26">
        <f>IF(AND(B11&gt;=0.5, B11&lt;=2.8), 0.35*POWER(0.05, -1.008)*EXP(-((B11-1.65)/0.8)^4), 0)</f>
        <v/>
      </c>
      <c r="H11" s="26">
        <f>IF(AND(B11&gt;=0.5, B11&lt;=2.8), 0.22*POWER(0.05, -1.008)*0.05*EXP(-((B11-1.65)/0.8)^4), 0)</f>
        <v/>
      </c>
      <c r="I11" s="26">
        <f>SQRT(G11+ABS(H11))</f>
        <v/>
      </c>
      <c r="J11" s="27" t="inlineStr">
        <is>
          <t>2. Annulus Pulses</t>
        </is>
      </c>
    </row>
    <row r="12" ht="20" customHeight="1">
      <c r="A12" s="16" t="n">
        <v>0.30075</v>
      </c>
      <c r="B12" s="18">
        <f>(A12^2)/(2*0.05)</f>
        <v/>
      </c>
      <c r="C12" s="18">
        <f>3.0*SQRT(2*B12)*EXP(-0.85*B12)</f>
        <v/>
      </c>
      <c r="D12" s="24">
        <f>4.5806*C12</f>
        <v/>
      </c>
      <c r="E12" s="24">
        <f>-1.5*0.42/SQRT(0.05)*(1-EXP(-B12))/SQRT(2*B12)</f>
        <v/>
      </c>
      <c r="F12" s="24">
        <f>-20.9820*0.45*EXP(-1.5*B12)</f>
        <v/>
      </c>
      <c r="G12" s="24">
        <f>IF(AND(B12&gt;=0.5, B12&lt;=2.8), 0.35*POWER(0.05, -1.008)*EXP(-((B12-1.65)/0.8)^4), 0)</f>
        <v/>
      </c>
      <c r="H12" s="24">
        <f>IF(AND(B12&gt;=0.5, B12&lt;=2.8), 0.22*POWER(0.05, -1.008)*0.05*EXP(-((B12-1.65)/0.8)^4), 0)</f>
        <v/>
      </c>
      <c r="I12" s="24">
        <f>SQRT(G12+ABS(H12))</f>
        <v/>
      </c>
      <c r="J12" s="25" t="inlineStr">
        <is>
          <t>2. Annulus Pulses</t>
        </is>
      </c>
    </row>
    <row r="13" ht="20" customHeight="1">
      <c r="A13" s="12" t="n">
        <v>0.3507083333333333</v>
      </c>
      <c r="B13" s="14">
        <f>(A13^2)/(2*0.05)</f>
        <v/>
      </c>
      <c r="C13" s="14">
        <f>3.0*SQRT(2*B13)*EXP(-0.85*B13)</f>
        <v/>
      </c>
      <c r="D13" s="26">
        <f>4.5806*C13</f>
        <v/>
      </c>
      <c r="E13" s="26">
        <f>-1.5*0.42/SQRT(0.05)*(1-EXP(-B13))/SQRT(2*B13)</f>
        <v/>
      </c>
      <c r="F13" s="26">
        <f>-20.9820*0.45*EXP(-1.5*B13)</f>
        <v/>
      </c>
      <c r="G13" s="26">
        <f>IF(AND(B13&gt;=0.5, B13&lt;=2.8), 0.35*POWER(0.05, -1.008)*EXP(-((B13-1.65)/0.8)^4), 0)</f>
        <v/>
      </c>
      <c r="H13" s="26">
        <f>IF(AND(B13&gt;=0.5, B13&lt;=2.8), 0.22*POWER(0.05, -1.008)*0.05*EXP(-((B13-1.65)/0.8)^4), 0)</f>
        <v/>
      </c>
      <c r="I13" s="26">
        <f>SQRT(G13+ABS(H13))</f>
        <v/>
      </c>
      <c r="J13" s="27" t="inlineStr">
        <is>
          <t>2. Annulus Pulses</t>
        </is>
      </c>
    </row>
    <row r="14" ht="20" customHeight="1">
      <c r="A14" s="16" t="n">
        <v>0.4006666666666667</v>
      </c>
      <c r="B14" s="18">
        <f>(A14^2)/(2*0.05)</f>
        <v/>
      </c>
      <c r="C14" s="18">
        <f>3.0*SQRT(2*B14)*EXP(-0.85*B14)</f>
        <v/>
      </c>
      <c r="D14" s="24">
        <f>4.5806*C14</f>
        <v/>
      </c>
      <c r="E14" s="24">
        <f>-1.5*0.42/SQRT(0.05)*(1-EXP(-B14))/SQRT(2*B14)</f>
        <v/>
      </c>
      <c r="F14" s="24">
        <f>-20.9820*0.45*EXP(-1.5*B14)</f>
        <v/>
      </c>
      <c r="G14" s="24">
        <f>IF(AND(B14&gt;=0.5, B14&lt;=2.8), 0.35*POWER(0.05, -1.008)*EXP(-((B14-1.65)/0.8)^4), 0)</f>
        <v/>
      </c>
      <c r="H14" s="24">
        <f>IF(AND(B14&gt;=0.5, B14&lt;=2.8), 0.22*POWER(0.05, -1.008)*0.05*EXP(-((B14-1.65)/0.8)^4), 0)</f>
        <v/>
      </c>
      <c r="I14" s="24">
        <f>SQRT(G14+ABS(H14))</f>
        <v/>
      </c>
      <c r="J14" s="25" t="inlineStr">
        <is>
          <t>2. Annulus Pulses</t>
        </is>
      </c>
    </row>
    <row r="15" ht="20" customHeight="1">
      <c r="A15" s="12" t="n">
        <v>0.450625</v>
      </c>
      <c r="B15" s="14">
        <f>(A15^2)/(2*0.05)</f>
        <v/>
      </c>
      <c r="C15" s="14">
        <f>3.0*SQRT(2*B15)*EXP(-0.85*B15)</f>
        <v/>
      </c>
      <c r="D15" s="26">
        <f>4.5806*C15</f>
        <v/>
      </c>
      <c r="E15" s="26">
        <f>-1.5*0.42/SQRT(0.05)*(1-EXP(-B15))/SQRT(2*B15)</f>
        <v/>
      </c>
      <c r="F15" s="26">
        <f>-20.9820*0.45*EXP(-1.5*B15)</f>
        <v/>
      </c>
      <c r="G15" s="26">
        <f>IF(AND(B15&gt;=0.5, B15&lt;=2.8), 0.35*POWER(0.05, -1.008)*EXP(-((B15-1.65)/0.8)^4), 0)</f>
        <v/>
      </c>
      <c r="H15" s="26">
        <f>IF(AND(B15&gt;=0.5, B15&lt;=2.8), 0.22*POWER(0.05, -1.008)*0.05*EXP(-((B15-1.65)/0.8)^4), 0)</f>
        <v/>
      </c>
      <c r="I15" s="26">
        <f>SQRT(G15+ABS(H15))</f>
        <v/>
      </c>
      <c r="J15" s="27" t="inlineStr">
        <is>
          <t>2. Annulus Pulses</t>
        </is>
      </c>
    </row>
    <row r="16" ht="20" customHeight="1">
      <c r="A16" s="16" t="n">
        <v>0.5005833333333333</v>
      </c>
      <c r="B16" s="18">
        <f>(A16^2)/(2*0.05)</f>
        <v/>
      </c>
      <c r="C16" s="18">
        <f>3.0*SQRT(2*B16)*EXP(-0.85*B16)</f>
        <v/>
      </c>
      <c r="D16" s="24">
        <f>4.5806*C16</f>
        <v/>
      </c>
      <c r="E16" s="24">
        <f>-1.5*0.42/SQRT(0.05)*(1-EXP(-B16))/SQRT(2*B16)</f>
        <v/>
      </c>
      <c r="F16" s="24">
        <f>-20.9820*0.45*EXP(-1.5*B16)</f>
        <v/>
      </c>
      <c r="G16" s="24">
        <f>IF(AND(B16&gt;=0.5, B16&lt;=2.8), 0.35*POWER(0.05, -1.008)*EXP(-((B16-1.65)/0.8)^4), 0)</f>
        <v/>
      </c>
      <c r="H16" s="24">
        <f>IF(AND(B16&gt;=0.5, B16&lt;=2.8), 0.22*POWER(0.05, -1.008)*0.05*EXP(-((B16-1.65)/0.8)^4), 0)</f>
        <v/>
      </c>
      <c r="I16" s="24">
        <f>SQRT(G16+ABS(H16))</f>
        <v/>
      </c>
      <c r="J16" s="25" t="inlineStr">
        <is>
          <t>2. Annulus Pulses</t>
        </is>
      </c>
    </row>
    <row r="17" ht="20" customHeight="1">
      <c r="A17" s="12" t="n">
        <v>0.5505416666666667</v>
      </c>
      <c r="B17" s="14">
        <f>(A17^2)/(2*0.05)</f>
        <v/>
      </c>
      <c r="C17" s="14">
        <f>3.0*SQRT(2*B17)*EXP(-0.85*B17)</f>
        <v/>
      </c>
      <c r="D17" s="26">
        <f>4.5806*C17</f>
        <v/>
      </c>
      <c r="E17" s="26">
        <f>-1.5*0.42/SQRT(0.05)*(1-EXP(-B17))/SQRT(2*B17)</f>
        <v/>
      </c>
      <c r="F17" s="26">
        <f>-20.9820*0.45*EXP(-1.5*B17)</f>
        <v/>
      </c>
      <c r="G17" s="26">
        <f>IF(AND(B17&gt;=0.5, B17&lt;=2.8), 0.35*POWER(0.05, -1.008)*EXP(-((B17-1.65)/0.8)^4), 0)</f>
        <v/>
      </c>
      <c r="H17" s="26">
        <f>IF(AND(B17&gt;=0.5, B17&lt;=2.8), 0.22*POWER(0.05, -1.008)*0.05*EXP(-((B17-1.65)/0.8)^4), 0)</f>
        <v/>
      </c>
      <c r="I17" s="26">
        <f>SQRT(G17+ABS(H17))</f>
        <v/>
      </c>
      <c r="J17" s="27" t="inlineStr">
        <is>
          <t>3. Heat Exterior</t>
        </is>
      </c>
    </row>
    <row r="18" ht="20" customHeight="1">
      <c r="A18" s="16" t="n">
        <v>0.6005</v>
      </c>
      <c r="B18" s="18">
        <f>(A18^2)/(2*0.05)</f>
        <v/>
      </c>
      <c r="C18" s="18">
        <f>3.0*SQRT(2*B18)*EXP(-0.85*B18)</f>
        <v/>
      </c>
      <c r="D18" s="24">
        <f>4.5806*C18</f>
        <v/>
      </c>
      <c r="E18" s="24">
        <f>-1.5*0.42/SQRT(0.05)*(1-EXP(-B18))/SQRT(2*B18)</f>
        <v/>
      </c>
      <c r="F18" s="24">
        <f>-20.9820*0.45*EXP(-1.5*B18)</f>
        <v/>
      </c>
      <c r="G18" s="24">
        <f>IF(AND(B18&gt;=0.5, B18&lt;=2.8), 0.35*POWER(0.05, -1.008)*EXP(-((B18-1.65)/0.8)^4), 0)</f>
        <v/>
      </c>
      <c r="H18" s="24">
        <f>IF(AND(B18&gt;=0.5, B18&lt;=2.8), 0.22*POWER(0.05, -1.008)*0.05*EXP(-((B18-1.65)/0.8)^4), 0)</f>
        <v/>
      </c>
      <c r="I18" s="24">
        <f>SQRT(G18+ABS(H18))</f>
        <v/>
      </c>
      <c r="J18" s="25" t="inlineStr">
        <is>
          <t>3. Heat Exterior</t>
        </is>
      </c>
    </row>
    <row r="19" ht="20" customHeight="1">
      <c r="A19" s="12" t="n">
        <v>0.6504583333333334</v>
      </c>
      <c r="B19" s="14">
        <f>(A19^2)/(2*0.05)</f>
        <v/>
      </c>
      <c r="C19" s="14">
        <f>3.0*SQRT(2*B19)*EXP(-0.85*B19)</f>
        <v/>
      </c>
      <c r="D19" s="26">
        <f>4.5806*C19</f>
        <v/>
      </c>
      <c r="E19" s="26">
        <f>-1.5*0.42/SQRT(0.05)*(1-EXP(-B19))/SQRT(2*B19)</f>
        <v/>
      </c>
      <c r="F19" s="26">
        <f>-20.9820*0.45*EXP(-1.5*B19)</f>
        <v/>
      </c>
      <c r="G19" s="26">
        <f>IF(AND(B19&gt;=0.5, B19&lt;=2.8), 0.35*POWER(0.05, -1.008)*EXP(-((B19-1.65)/0.8)^4), 0)</f>
        <v/>
      </c>
      <c r="H19" s="26">
        <f>IF(AND(B19&gt;=0.5, B19&lt;=2.8), 0.22*POWER(0.05, -1.008)*0.05*EXP(-((B19-1.65)/0.8)^4), 0)</f>
        <v/>
      </c>
      <c r="I19" s="26">
        <f>SQRT(G19+ABS(H19))</f>
        <v/>
      </c>
      <c r="J19" s="27" t="inlineStr">
        <is>
          <t>3. Heat Exterior</t>
        </is>
      </c>
    </row>
    <row r="20" ht="20" customHeight="1">
      <c r="A20" s="16" t="n">
        <v>0.7004166666666667</v>
      </c>
      <c r="B20" s="18">
        <f>(A20^2)/(2*0.05)</f>
        <v/>
      </c>
      <c r="C20" s="18">
        <f>3.0*SQRT(2*B20)*EXP(-0.85*B20)</f>
        <v/>
      </c>
      <c r="D20" s="24">
        <f>4.5806*C20</f>
        <v/>
      </c>
      <c r="E20" s="24">
        <f>-1.5*0.42/SQRT(0.05)*(1-EXP(-B20))/SQRT(2*B20)</f>
        <v/>
      </c>
      <c r="F20" s="24">
        <f>-20.9820*0.45*EXP(-1.5*B20)</f>
        <v/>
      </c>
      <c r="G20" s="24">
        <f>IF(AND(B20&gt;=0.5, B20&lt;=2.8), 0.35*POWER(0.05, -1.008)*EXP(-((B20-1.65)/0.8)^4), 0)</f>
        <v/>
      </c>
      <c r="H20" s="24">
        <f>IF(AND(B20&gt;=0.5, B20&lt;=2.8), 0.22*POWER(0.05, -1.008)*0.05*EXP(-((B20-1.65)/0.8)^4), 0)</f>
        <v/>
      </c>
      <c r="I20" s="24">
        <f>SQRT(G20+ABS(H20))</f>
        <v/>
      </c>
      <c r="J20" s="25" t="inlineStr">
        <is>
          <t>3. Heat Exterior</t>
        </is>
      </c>
    </row>
    <row r="21" ht="20" customHeight="1">
      <c r="A21" s="12" t="n">
        <v>0.750375</v>
      </c>
      <c r="B21" s="14">
        <f>(A21^2)/(2*0.05)</f>
        <v/>
      </c>
      <c r="C21" s="14">
        <f>3.0*SQRT(2*B21)*EXP(-0.85*B21)</f>
        <v/>
      </c>
      <c r="D21" s="26">
        <f>4.5806*C21</f>
        <v/>
      </c>
      <c r="E21" s="26">
        <f>-1.5*0.42/SQRT(0.05)*(1-EXP(-B21))/SQRT(2*B21)</f>
        <v/>
      </c>
      <c r="F21" s="26">
        <f>-20.9820*0.45*EXP(-1.5*B21)</f>
        <v/>
      </c>
      <c r="G21" s="26">
        <f>IF(AND(B21&gt;=0.5, B21&lt;=2.8), 0.35*POWER(0.05, -1.008)*EXP(-((B21-1.65)/0.8)^4), 0)</f>
        <v/>
      </c>
      <c r="H21" s="26">
        <f>IF(AND(B21&gt;=0.5, B21&lt;=2.8), 0.22*POWER(0.05, -1.008)*0.05*EXP(-((B21-1.65)/0.8)^4), 0)</f>
        <v/>
      </c>
      <c r="I21" s="26">
        <f>SQRT(G21+ABS(H21))</f>
        <v/>
      </c>
      <c r="J21" s="27" t="inlineStr">
        <is>
          <t>3. Heat Exterior</t>
        </is>
      </c>
    </row>
    <row r="22" ht="20" customHeight="1">
      <c r="A22" s="16" t="n">
        <v>0.8003333333333333</v>
      </c>
      <c r="B22" s="18">
        <f>(A22^2)/(2*0.05)</f>
        <v/>
      </c>
      <c r="C22" s="18">
        <f>3.0*SQRT(2*B22)*EXP(-0.85*B22)</f>
        <v/>
      </c>
      <c r="D22" s="24">
        <f>4.5806*C22</f>
        <v/>
      </c>
      <c r="E22" s="24">
        <f>-1.5*0.42/SQRT(0.05)*(1-EXP(-B22))/SQRT(2*B22)</f>
        <v/>
      </c>
      <c r="F22" s="24">
        <f>-20.9820*0.45*EXP(-1.5*B22)</f>
        <v/>
      </c>
      <c r="G22" s="24">
        <f>IF(AND(B22&gt;=0.5, B22&lt;=2.8), 0.35*POWER(0.05, -1.008)*EXP(-((B22-1.65)/0.8)^4), 0)</f>
        <v/>
      </c>
      <c r="H22" s="24">
        <f>IF(AND(B22&gt;=0.5, B22&lt;=2.8), 0.22*POWER(0.05, -1.008)*0.05*EXP(-((B22-1.65)/0.8)^4), 0)</f>
        <v/>
      </c>
      <c r="I22" s="24">
        <f>SQRT(G22+ABS(H22))</f>
        <v/>
      </c>
      <c r="J22" s="25" t="inlineStr">
        <is>
          <t>3. Heat Exterior</t>
        </is>
      </c>
    </row>
    <row r="23" ht="20" customHeight="1">
      <c r="A23" s="12" t="n">
        <v>0.8502916666666667</v>
      </c>
      <c r="B23" s="14">
        <f>(A23^2)/(2*0.05)</f>
        <v/>
      </c>
      <c r="C23" s="14">
        <f>3.0*SQRT(2*B23)*EXP(-0.85*B23)</f>
        <v/>
      </c>
      <c r="D23" s="26">
        <f>4.5806*C23</f>
        <v/>
      </c>
      <c r="E23" s="26">
        <f>-1.5*0.42/SQRT(0.05)*(1-EXP(-B23))/SQRT(2*B23)</f>
        <v/>
      </c>
      <c r="F23" s="26">
        <f>-20.9820*0.45*EXP(-1.5*B23)</f>
        <v/>
      </c>
      <c r="G23" s="26">
        <f>IF(AND(B23&gt;=0.5, B23&lt;=2.8), 0.35*POWER(0.05, -1.008)*EXP(-((B23-1.65)/0.8)^4), 0)</f>
        <v/>
      </c>
      <c r="H23" s="26">
        <f>IF(AND(B23&gt;=0.5, B23&lt;=2.8), 0.22*POWER(0.05, -1.008)*0.05*EXP(-((B23-1.65)/0.8)^4), 0)</f>
        <v/>
      </c>
      <c r="I23" s="26">
        <f>SQRT(G23+ABS(H23))</f>
        <v/>
      </c>
      <c r="J23" s="27" t="inlineStr">
        <is>
          <t>3. Heat Exterior</t>
        </is>
      </c>
    </row>
    <row r="24" ht="20" customHeight="1">
      <c r="A24" s="16" t="n">
        <v>0.90025</v>
      </c>
      <c r="B24" s="18">
        <f>(A24^2)/(2*0.05)</f>
        <v/>
      </c>
      <c r="C24" s="18">
        <f>3.0*SQRT(2*B24)*EXP(-0.85*B24)</f>
        <v/>
      </c>
      <c r="D24" s="24">
        <f>4.5806*C24</f>
        <v/>
      </c>
      <c r="E24" s="24">
        <f>-1.5*0.42/SQRT(0.05)*(1-EXP(-B24))/SQRT(2*B24)</f>
        <v/>
      </c>
      <c r="F24" s="24">
        <f>-20.9820*0.45*EXP(-1.5*B24)</f>
        <v/>
      </c>
      <c r="G24" s="24">
        <f>IF(AND(B24&gt;=0.5, B24&lt;=2.8), 0.35*POWER(0.05, -1.008)*EXP(-((B24-1.65)/0.8)^4), 0)</f>
        <v/>
      </c>
      <c r="H24" s="24">
        <f>IF(AND(B24&gt;=0.5, B24&lt;=2.8), 0.22*POWER(0.05, -1.008)*0.05*EXP(-((B24-1.65)/0.8)^4), 0)</f>
        <v/>
      </c>
      <c r="I24" s="24">
        <f>SQRT(G24+ABS(H24))</f>
        <v/>
      </c>
      <c r="J24" s="25" t="inlineStr">
        <is>
          <t>3. Heat Exterior</t>
        </is>
      </c>
    </row>
    <row r="25" ht="20" customHeight="1">
      <c r="A25" s="12" t="n">
        <v>0.9502083333333333</v>
      </c>
      <c r="B25" s="14">
        <f>(A25^2)/(2*0.05)</f>
        <v/>
      </c>
      <c r="C25" s="14">
        <f>3.0*SQRT(2*B25)*EXP(-0.85*B25)</f>
        <v/>
      </c>
      <c r="D25" s="26">
        <f>4.5806*C25</f>
        <v/>
      </c>
      <c r="E25" s="26">
        <f>-1.5*0.42/SQRT(0.05)*(1-EXP(-B25))/SQRT(2*B25)</f>
        <v/>
      </c>
      <c r="F25" s="26">
        <f>-20.9820*0.45*EXP(-1.5*B25)</f>
        <v/>
      </c>
      <c r="G25" s="26">
        <f>IF(AND(B25&gt;=0.5, B25&lt;=2.8), 0.35*POWER(0.05, -1.008)*EXP(-((B25-1.65)/0.8)^4), 0)</f>
        <v/>
      </c>
      <c r="H25" s="26">
        <f>IF(AND(B25&gt;=0.5, B25&lt;=2.8), 0.22*POWER(0.05, -1.008)*0.05*EXP(-((B25-1.65)/0.8)^4), 0)</f>
        <v/>
      </c>
      <c r="I25" s="26">
        <f>SQRT(G25+ABS(H25))</f>
        <v/>
      </c>
      <c r="J25" s="27" t="inlineStr">
        <is>
          <t>3. Heat Exterior</t>
        </is>
      </c>
    </row>
    <row r="26" ht="20" customHeight="1">
      <c r="A26" s="16" t="n">
        <v>1.000166666666667</v>
      </c>
      <c r="B26" s="18">
        <f>(A26^2)/(2*0.05)</f>
        <v/>
      </c>
      <c r="C26" s="18">
        <f>3.0*SQRT(2*B26)*EXP(-0.85*B26)</f>
        <v/>
      </c>
      <c r="D26" s="24">
        <f>4.5806*C26</f>
        <v/>
      </c>
      <c r="E26" s="24">
        <f>-1.5*0.42/SQRT(0.05)*(1-EXP(-B26))/SQRT(2*B26)</f>
        <v/>
      </c>
      <c r="F26" s="24">
        <f>-20.9820*0.45*EXP(-1.5*B26)</f>
        <v/>
      </c>
      <c r="G26" s="24">
        <f>IF(AND(B26&gt;=0.5, B26&lt;=2.8), 0.35*POWER(0.05, -1.008)*EXP(-((B26-1.65)/0.8)^4), 0)</f>
        <v/>
      </c>
      <c r="H26" s="24">
        <f>IF(AND(B26&gt;=0.5, B26&lt;=2.8), 0.22*POWER(0.05, -1.008)*0.05*EXP(-((B26-1.65)/0.8)^4), 0)</f>
        <v/>
      </c>
      <c r="I26" s="24">
        <f>SQRT(G26+ABS(H26))</f>
        <v/>
      </c>
      <c r="J26" s="25" t="inlineStr">
        <is>
          <t>3. Heat Exterior</t>
        </is>
      </c>
    </row>
    <row r="27" ht="20" customHeight="1">
      <c r="A27" s="12" t="n">
        <v>1.050125</v>
      </c>
      <c r="B27" s="14">
        <f>(A27^2)/(2*0.05)</f>
        <v/>
      </c>
      <c r="C27" s="14">
        <f>3.0*SQRT(2*B27)*EXP(-0.85*B27)</f>
        <v/>
      </c>
      <c r="D27" s="26">
        <f>4.5806*C27</f>
        <v/>
      </c>
      <c r="E27" s="26">
        <f>-1.5*0.42/SQRT(0.05)*(1-EXP(-B27))/SQRT(2*B27)</f>
        <v/>
      </c>
      <c r="F27" s="26">
        <f>-20.9820*0.45*EXP(-1.5*B27)</f>
        <v/>
      </c>
      <c r="G27" s="26">
        <f>IF(AND(B27&gt;=0.5, B27&lt;=2.8), 0.35*POWER(0.05, -1.008)*EXP(-((B27-1.65)/0.8)^4), 0)</f>
        <v/>
      </c>
      <c r="H27" s="26">
        <f>IF(AND(B27&gt;=0.5, B27&lt;=2.8), 0.22*POWER(0.05, -1.008)*0.05*EXP(-((B27-1.65)/0.8)^4), 0)</f>
        <v/>
      </c>
      <c r="I27" s="26">
        <f>SQRT(G27+ABS(H27))</f>
        <v/>
      </c>
      <c r="J27" s="27" t="inlineStr">
        <is>
          <t>3. Heat Exterior</t>
        </is>
      </c>
    </row>
    <row r="28" ht="20" customHeight="1">
      <c r="A28" s="16" t="n">
        <v>1.100083333333333</v>
      </c>
      <c r="B28" s="18">
        <f>(A28^2)/(2*0.05)</f>
        <v/>
      </c>
      <c r="C28" s="18">
        <f>3.0*SQRT(2*B28)*EXP(-0.85*B28)</f>
        <v/>
      </c>
      <c r="D28" s="24">
        <f>4.5806*C28</f>
        <v/>
      </c>
      <c r="E28" s="24">
        <f>-1.5*0.42/SQRT(0.05)*(1-EXP(-B28))/SQRT(2*B28)</f>
        <v/>
      </c>
      <c r="F28" s="24">
        <f>-20.9820*0.45*EXP(-1.5*B28)</f>
        <v/>
      </c>
      <c r="G28" s="24">
        <f>IF(AND(B28&gt;=0.5, B28&lt;=2.8), 0.35*POWER(0.05, -1.008)*EXP(-((B28-1.65)/0.8)^4), 0)</f>
        <v/>
      </c>
      <c r="H28" s="24">
        <f>IF(AND(B28&gt;=0.5, B28&lt;=2.8), 0.22*POWER(0.05, -1.008)*0.05*EXP(-((B28-1.65)/0.8)^4), 0)</f>
        <v/>
      </c>
      <c r="I28" s="24">
        <f>SQRT(G28+ABS(H28))</f>
        <v/>
      </c>
      <c r="J28" s="25" t="inlineStr">
        <is>
          <t>3. Heat Exterior</t>
        </is>
      </c>
    </row>
    <row r="29" ht="20" customHeight="1">
      <c r="A29" s="12" t="n">
        <v>1.150041666666667</v>
      </c>
      <c r="B29" s="14">
        <f>(A29^2)/(2*0.05)</f>
        <v/>
      </c>
      <c r="C29" s="14">
        <f>3.0*SQRT(2*B29)*EXP(-0.85*B29)</f>
        <v/>
      </c>
      <c r="D29" s="26">
        <f>4.5806*C29</f>
        <v/>
      </c>
      <c r="E29" s="26">
        <f>-1.5*0.42/SQRT(0.05)*(1-EXP(-B29))/SQRT(2*B29)</f>
        <v/>
      </c>
      <c r="F29" s="26">
        <f>-20.9820*0.45*EXP(-1.5*B29)</f>
        <v/>
      </c>
      <c r="G29" s="26">
        <f>IF(AND(B29&gt;=0.5, B29&lt;=2.8), 0.35*POWER(0.05, -1.008)*EXP(-((B29-1.65)/0.8)^4), 0)</f>
        <v/>
      </c>
      <c r="H29" s="26">
        <f>IF(AND(B29&gt;=0.5, B29&lt;=2.8), 0.22*POWER(0.05, -1.008)*0.05*EXP(-((B29-1.65)/0.8)^4), 0)</f>
        <v/>
      </c>
      <c r="I29" s="26">
        <f>SQRT(G29+ABS(H29))</f>
        <v/>
      </c>
      <c r="J29" s="27" t="inlineStr">
        <is>
          <t>3. Heat Exterior</t>
        </is>
      </c>
    </row>
    <row r="30" ht="20" customHeight="1">
      <c r="A30" s="16" t="n">
        <v>1.2</v>
      </c>
      <c r="B30" s="18">
        <f>(A30^2)/(2*0.05)</f>
        <v/>
      </c>
      <c r="C30" s="18">
        <f>3.0*SQRT(2*B30)*EXP(-0.85*B30)</f>
        <v/>
      </c>
      <c r="D30" s="24">
        <f>4.5806*C30</f>
        <v/>
      </c>
      <c r="E30" s="24">
        <f>-1.5*0.42/SQRT(0.05)*(1-EXP(-B30))/SQRT(2*B30)</f>
        <v/>
      </c>
      <c r="F30" s="24">
        <f>-20.9820*0.45*EXP(-1.5*B30)</f>
        <v/>
      </c>
      <c r="G30" s="24">
        <f>IF(AND(B30&gt;=0.5, B30&lt;=2.8), 0.35*POWER(0.05, -1.008)*EXP(-((B30-1.65)/0.8)^4), 0)</f>
        <v/>
      </c>
      <c r="H30" s="24">
        <f>IF(AND(B30&gt;=0.5, B30&lt;=2.8), 0.22*POWER(0.05, -1.008)*0.05*EXP(-((B30-1.65)/0.8)^4), 0)</f>
        <v/>
      </c>
      <c r="I30" s="24">
        <f>SQRT(G30+ABS(H30))</f>
        <v/>
      </c>
      <c r="J30" s="25" t="inlineStr">
        <is>
          <t>3. Heat Exterior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2026-09-29T17:49:28Z</dcterms:created>
  <dcterms:modified xmlns:dcterms="http://purl.org/dc/terms/" xmlns:xsi="http://www.w3.org/2001/XMLSchema-instance" xsi:type="dcterms:W3CDTF">2026-09-29T17:49:28Z</dcterms:modified>
</cp:coreProperties>
</file>