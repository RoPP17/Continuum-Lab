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_Invariantes_Lorenz" sheetId="1" state="visible" r:id="rId1"/>
    <sheet xmlns:r="http://schemas.openxmlformats.org/officeDocument/2006/relationships" name="Divergencia_Lyapunov_196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 &quot;s⁻¹&quot;"/>
    <numFmt numFmtId="165" formatCode="0.0000"/>
    <numFmt numFmtId="166" formatCode="0.0000 &quot;s&quot;"/>
    <numFmt numFmtId="167" formatCode="0.000000"/>
    <numFmt numFmtId="168" formatCode="0.0"/>
    <numFmt numFmtId="169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F0FF"/>
      <sz val="15"/>
    </font>
    <font>
      <name val="Arial"/>
      <i val="1"/>
      <color rgb="0094A3B8"/>
      <sz val="10"/>
    </font>
    <font>
      <name val="Arial"/>
      <b val="1"/>
      <color rgb="0094A3B8"/>
      <sz val="8"/>
    </font>
    <font>
      <name val="Arial"/>
      <b val="1"/>
      <color rgb="0000F0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E2E8F0"/>
      <sz val="10"/>
    </font>
    <font>
      <name val="Arial"/>
      <b val="1"/>
      <color rgb="0038BDF8"/>
      <sz val="10"/>
    </font>
  </fonts>
  <fills count="7">
    <fill>
      <patternFill/>
    </fill>
    <fill>
      <patternFill patternType="gray125"/>
    </fill>
    <fill>
      <patternFill patternType="solid">
        <fgColor rgb="0010172A"/>
        <bgColor rgb="0010172A"/>
      </patternFill>
    </fill>
    <fill>
      <patternFill patternType="solid">
        <fgColor rgb="00111C2E"/>
        <bgColor rgb="00111C2E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141E33"/>
        <bgColor rgb="00141E33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0" fontId="5" fillId="4" borderId="0" pivotButton="0" quotePrefix="0" xfId="0"/>
    <xf numFmtId="0" fontId="6" fillId="5" borderId="0" applyAlignment="1" pivotButton="0" quotePrefix="0" xfId="0">
      <alignment horizontal="center" vertical="center"/>
    </xf>
    <xf numFmtId="0" fontId="7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2" fillId="5" borderId="1" pivotButton="0" quotePrefix="0" xfId="0"/>
    <xf numFmtId="165" fontId="8" fillId="5" borderId="1" applyAlignment="1" pivotButton="0" quotePrefix="0" xfId="0">
      <alignment horizontal="right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2" fillId="6" borderId="1" pivotButton="0" quotePrefix="0" xfId="0"/>
    <xf numFmtId="165" fontId="8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7" fontId="8" fillId="5" borderId="1" applyAlignment="1" pivotButton="0" quotePrefix="0" xfId="0">
      <alignment horizontal="right" vertical="center"/>
    </xf>
    <xf numFmtId="168" fontId="8" fillId="5" borderId="1" applyAlignment="1" pivotButton="0" quotePrefix="0" xfId="0">
      <alignment horizontal="center" vertical="center"/>
    </xf>
    <xf numFmtId="4" fontId="7" fillId="5" borderId="1" pivotButton="0" quotePrefix="0" xfId="0"/>
    <xf numFmtId="167" fontId="7" fillId="5" borderId="1" pivotButton="0" quotePrefix="0" xfId="0"/>
    <xf numFmtId="165" fontId="7" fillId="5" borderId="1" pivotButton="0" quotePrefix="0" xfId="0"/>
    <xf numFmtId="169" fontId="7" fillId="5" borderId="1" pivotButton="0" quotePrefix="0" xfId="0"/>
    <xf numFmtId="11" fontId="7" fillId="5" borderId="1" pivotButton="0" quotePrefix="0" xfId="0"/>
    <xf numFmtId="168" fontId="8" fillId="6" borderId="1" applyAlignment="1" pivotButton="0" quotePrefix="0" xfId="0">
      <alignment horizontal="center" vertical="center"/>
    </xf>
    <xf numFmtId="4" fontId="7" fillId="6" borderId="1" pivotButton="0" quotePrefix="0" xfId="0"/>
    <xf numFmtId="167" fontId="7" fillId="6" borderId="1" pivotButton="0" quotePrefix="0" xfId="0"/>
    <xf numFmtId="165" fontId="7" fillId="6" borderId="1" pivotButton="0" quotePrefix="0" xfId="0"/>
    <xf numFmtId="169" fontId="7" fillId="6" borderId="1" pivotButton="0" quotePrefix="0" xfId="0"/>
    <xf numFmtId="11" fontId="7" fillId="6" borderId="1" pivotButton="0" quotePrefix="0" xfId="0"/>
    <xf numFmtId="0" fontId="6" fillId="4" borderId="1" pivotButton="0" quotePrefix="0" xfId="0"/>
    <xf numFmtId="4" fontId="6" fillId="4" borderId="1" pivotButton="0" quotePrefix="0" xfId="0"/>
    <xf numFmtId="165" fontId="6" fillId="4" borderId="1" pivotButton="0" quotePrefix="0" xfId="0"/>
    <xf numFmtId="169" fontId="6" fillId="4" borderId="1" pivotButton="0" quotePrefix="0" xfId="0"/>
    <xf numFmtId="11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5" customWidth="1" min="2" max="2"/>
    <col width="33" customWidth="1" min="3" max="3"/>
    <col width="15" customWidth="1" min="4" max="4"/>
    <col width="27" customWidth="1" min="5" max="5"/>
    <col width="64" customWidth="1" min="6" max="6"/>
  </cols>
  <sheetData>
    <row r="1" ht="25" customHeight="1">
      <c r="A1" s="1" t="inlineStr">
        <is>
          <t>CONTINUUM LAB // ATRACTOR EXTRAÑO DE LORENZ 3D Y EFECTO MARIPOSA (1963)</t>
        </is>
      </c>
    </row>
    <row r="2" ht="18" customHeight="1">
      <c r="A2" s="2" t="inlineStr">
        <is>
          <t>Convección Atmosférica de Rayleigh-Bénard, Contracción de Liouville y Dimensión Fractal de Kaplan-Yorke</t>
        </is>
      </c>
    </row>
    <row r="3"/>
    <row r="4" ht="15" customHeight="1">
      <c r="A4" s="3" t="inlineStr">
        <is>
          <t>DIVERGENCIA DE LIOUVILLE (∇·F)</t>
        </is>
      </c>
      <c r="C4" s="3" t="inlineStr">
        <is>
          <t>DIMENSIÓN FRACTAL D_KY</t>
        </is>
      </c>
      <c r="E4" s="3" t="inlineStr">
        <is>
          <t>UMBRAL HOPF CRÍTICO ρ_H</t>
        </is>
      </c>
      <c r="F4" s="3" t="inlineStr">
        <is>
          <t>HORIZONTE DE LYAPUNOV T_L</t>
        </is>
      </c>
    </row>
    <row r="5" ht="24" customHeight="1">
      <c r="A5" s="4">
        <f>D12</f>
        <v/>
      </c>
      <c r="C5" s="5">
        <f>D21</f>
        <v/>
      </c>
      <c r="E5" s="5">
        <f>D13</f>
        <v/>
      </c>
      <c r="F5" s="6">
        <f>D22</f>
        <v/>
      </c>
    </row>
    <row r="6"/>
    <row r="7" ht="20" customHeight="1">
      <c r="A7" s="7" t="inlineStr">
        <is>
          <t>1. PARÁMETROS CANÓNICOS DE CONVECCIÓN Y PUNTOS FIJOS DE EQUILIBRIO (C_±)</t>
        </is>
      </c>
    </row>
    <row r="8">
      <c r="A8" s="8" t="inlineStr">
        <is>
          <t>Parámetro / Invariante</t>
        </is>
      </c>
      <c r="B8" s="8" t="inlineStr">
        <is>
          <t>Símbolo</t>
        </is>
      </c>
      <c r="C8" s="8" t="inlineStr">
        <is>
          <t>Expresión / Fuente</t>
        </is>
      </c>
      <c r="D8" s="8" t="inlineStr">
        <is>
          <t>Valor</t>
        </is>
      </c>
      <c r="E8" s="8" t="inlineStr">
        <is>
          <t>Unidad</t>
        </is>
      </c>
      <c r="F8" s="8" t="inlineStr">
        <is>
          <t>Significado Físico (Lorenz 1963)</t>
        </is>
      </c>
    </row>
    <row r="9">
      <c r="A9" s="9" t="inlineStr">
        <is>
          <t>Número de Prandtl</t>
        </is>
      </c>
      <c r="B9" s="10" t="inlineStr">
        <is>
          <t>σ</t>
        </is>
      </c>
      <c r="C9" s="11" t="inlineStr">
        <is>
          <t>Input Canónico (Lorenz 1963)</t>
        </is>
      </c>
      <c r="D9" s="12" t="n">
        <v>10</v>
      </c>
      <c r="E9" s="10" t="inlineStr">
        <is>
          <t>adim</t>
        </is>
      </c>
      <c r="F9" s="11" t="inlineStr">
        <is>
          <t>Razón viscosidad cinemática / difusividad térmica</t>
        </is>
      </c>
    </row>
    <row r="10">
      <c r="A10" s="13" t="inlineStr">
        <is>
          <t>Número de Rayleigh Normalizado</t>
        </is>
      </c>
      <c r="B10" s="14" t="inlineStr">
        <is>
          <t>ρ</t>
        </is>
      </c>
      <c r="C10" s="15" t="inlineStr">
        <is>
          <t>Input Canónico (Supercrítico)</t>
        </is>
      </c>
      <c r="D10" s="16" t="n">
        <v>28</v>
      </c>
      <c r="E10" s="14" t="inlineStr">
        <is>
          <t>adim</t>
        </is>
      </c>
      <c r="F10" s="15" t="inlineStr">
        <is>
          <t>Gradiente térmico vertical impulsando convección</t>
        </is>
      </c>
    </row>
    <row r="11">
      <c r="A11" s="9" t="inlineStr">
        <is>
          <t>Factor Geométrico de Celda</t>
        </is>
      </c>
      <c r="B11" s="10" t="inlineStr">
        <is>
          <t>β</t>
        </is>
      </c>
      <c r="C11" s="11">
        <f>8/3</f>
        <v/>
      </c>
      <c r="D11" s="17">
        <f>8/3</f>
        <v/>
      </c>
      <c r="E11" s="10" t="inlineStr">
        <is>
          <t>adim</t>
        </is>
      </c>
      <c r="F11" s="11" t="inlineStr">
        <is>
          <t>Geometría espacial del rollo convectivo</t>
        </is>
      </c>
    </row>
    <row r="12">
      <c r="A12" s="13" t="inlineStr">
        <is>
          <t>Divergencia del Campo Vectorial</t>
        </is>
      </c>
      <c r="B12" s="14" t="inlineStr">
        <is>
          <t>∇·F</t>
        </is>
      </c>
      <c r="C12" s="15">
        <f>-(σ + 1 + β)</f>
        <v/>
      </c>
      <c r="D12" s="18">
        <f>-(D9+1+D11)</f>
        <v/>
      </c>
      <c r="E12" s="14" t="inlineStr">
        <is>
          <t>s⁻¹</t>
        </is>
      </c>
      <c r="F12" s="15" t="inlineStr">
        <is>
          <t>Contracción exponencial del volumen de fases (Liouville)</t>
        </is>
      </c>
    </row>
    <row r="13">
      <c r="A13" s="9" t="inlineStr">
        <is>
          <t>Rayleigh Crítico de Bifurcación de Hopf</t>
        </is>
      </c>
      <c r="B13" s="10" t="inlineStr">
        <is>
          <t>ρ_H</t>
        </is>
      </c>
      <c r="C13" s="11">
        <f>σ(σ+β+3)/(σ-β-1)</f>
        <v/>
      </c>
      <c r="D13" s="17">
        <f>D9*(D9+D11+3)/(D9-D11-1)</f>
        <v/>
      </c>
      <c r="E13" s="10" t="inlineStr">
        <is>
          <t>adim</t>
        </is>
      </c>
      <c r="F13" s="11" t="inlineStr">
        <is>
          <t>Límite donde los puntos fijos C_± pierden estabilidad</t>
        </is>
      </c>
    </row>
    <row r="14">
      <c r="A14" s="13" t="inlineStr">
        <is>
          <t>Coordenada X,Y de Centros de Ala C_±</t>
        </is>
      </c>
      <c r="B14" s="14" t="inlineStr">
        <is>
          <t>x_c, y_c</t>
        </is>
      </c>
      <c r="C14" s="15">
        <f>SQRT(β*(ρ-1))</f>
        <v/>
      </c>
      <c r="D14" s="18">
        <f>SQRT(D11*(D10-1))</f>
        <v/>
      </c>
      <c r="E14" s="14" t="inlineStr">
        <is>
          <t>adim</t>
        </is>
      </c>
      <c r="F14" s="15" t="inlineStr">
        <is>
          <t>Centros de rotación de las dos alas de la mariposa</t>
        </is>
      </c>
    </row>
    <row r="15">
      <c r="A15" s="9" t="inlineStr">
        <is>
          <t>Coordenada Z de Centros de Ala C_±</t>
        </is>
      </c>
      <c r="B15" s="10" t="inlineStr">
        <is>
          <t>z_c</t>
        </is>
      </c>
      <c r="C15" s="11">
        <f>ρ - 1</f>
        <v/>
      </c>
      <c r="D15" s="17">
        <f>D10-1</f>
        <v/>
      </c>
      <c r="E15" s="10" t="inlineStr">
        <is>
          <t>adim</t>
        </is>
      </c>
      <c r="F15" s="11" t="inlineStr">
        <is>
          <t>Altura convectiva estacionaria de los lóbulos</t>
        </is>
      </c>
    </row>
    <row r="16"/>
    <row r="17" ht="20" customHeight="1">
      <c r="A17" s="7" t="inlineStr">
        <is>
          <t>2. ESPECTRO DE LYAPUNOV Y DIMENSIÓN FRACTAL DE KAPLAN-YORKE (ATRACTOR EXTRAÑO)</t>
        </is>
      </c>
    </row>
    <row r="18">
      <c r="A18" s="13" t="inlineStr">
        <is>
          <t>Exponente de Lyapunov Máximo</t>
        </is>
      </c>
      <c r="B18" s="14" t="inlineStr">
        <is>
          <t>λ₁</t>
        </is>
      </c>
      <c r="C18" s="15" t="inlineStr">
        <is>
          <t>Integración Variacional QR</t>
        </is>
      </c>
      <c r="D18" s="16" t="n">
        <v>0.9056</v>
      </c>
      <c r="E18" s="14" t="inlineStr">
        <is>
          <t>s⁻¹</t>
        </is>
      </c>
      <c r="F18" s="15" t="inlineStr">
        <is>
          <t>Estiramiento exponencial (Caos determinista λ₁ &gt; 0)</t>
        </is>
      </c>
    </row>
    <row r="19">
      <c r="A19" s="9" t="inlineStr">
        <is>
          <t>Exponente de Lyapunov Central</t>
        </is>
      </c>
      <c r="B19" s="10" t="inlineStr">
        <is>
          <t>λ₂</t>
        </is>
      </c>
      <c r="C19" s="11" t="inlineStr">
        <is>
          <t>Invariancia Temporal Autónoma</t>
        </is>
      </c>
      <c r="D19" s="12" t="n">
        <v>0</v>
      </c>
      <c r="E19" s="10" t="inlineStr">
        <is>
          <t>s⁻¹</t>
        </is>
      </c>
      <c r="F19" s="11" t="inlineStr">
        <is>
          <t>Dirección tangente al flujo de la trayectoria</t>
        </is>
      </c>
    </row>
    <row r="20">
      <c r="A20" s="13" t="inlineStr">
        <is>
          <t>Exponente de Lyapunov de Contracción</t>
        </is>
      </c>
      <c r="B20" s="14" t="inlineStr">
        <is>
          <t>λ₃</t>
        </is>
      </c>
      <c r="C20" s="15">
        <f> ∇·F - λ₁ - λ₂</f>
        <v/>
      </c>
      <c r="D20" s="18">
        <f>D12-D18-D19</f>
        <v/>
      </c>
      <c r="E20" s="14" t="inlineStr">
        <is>
          <t>s⁻¹</t>
        </is>
      </c>
      <c r="F20" s="15" t="inlineStr">
        <is>
          <t>Plegado hiper-disipativo hacia la variedad fractal</t>
        </is>
      </c>
    </row>
    <row r="21">
      <c r="A21" s="9" t="inlineStr">
        <is>
          <t>Dimensión Fractal de Kaplan-Yorke</t>
        </is>
      </c>
      <c r="B21" s="10" t="inlineStr">
        <is>
          <t>D_KY</t>
        </is>
      </c>
      <c r="C21" s="11">
        <f> 2 + (λ₁ + λ₂)/|λ₃|</f>
        <v/>
      </c>
      <c r="D21" s="17">
        <f>2+(D18+D19)/ABS(D20)</f>
        <v/>
      </c>
      <c r="E21" s="10" t="inlineStr">
        <is>
          <t>dim</t>
        </is>
      </c>
      <c r="F21" s="11" t="inlineStr">
        <is>
          <t>Geometría intermedia entre superficie 2D y volumen 3D</t>
        </is>
      </c>
    </row>
    <row r="22">
      <c r="A22" s="13" t="inlineStr">
        <is>
          <t>Tiempo de E-Folding de Lyapunov</t>
        </is>
      </c>
      <c r="B22" s="14" t="inlineStr">
        <is>
          <t>T_L</t>
        </is>
      </c>
      <c r="C22" s="15">
        <f> 1 / λ₁</f>
        <v/>
      </c>
      <c r="D22" s="18">
        <f>1/D18</f>
        <v/>
      </c>
      <c r="E22" s="14" t="inlineStr">
        <is>
          <t>s</t>
        </is>
      </c>
      <c r="F22" s="15" t="inlineStr">
        <is>
          <t>Escala temporal en que el error se multiplica por e (2.718x)</t>
        </is>
      </c>
    </row>
    <row r="23">
      <c r="A23" s="9" t="inlineStr">
        <is>
          <t>Perturbación de Redondeo (Lorenz 1963)</t>
        </is>
      </c>
      <c r="B23" s="10" t="inlineStr">
        <is>
          <t>Δ₀</t>
        </is>
      </c>
      <c r="C23" s="11" t="inlineStr">
        <is>
          <t>0.506127 vs 0.506000</t>
        </is>
      </c>
      <c r="D23" s="19" t="n">
        <v>0.000127</v>
      </c>
      <c r="E23" s="10" t="inlineStr">
        <is>
          <t>adim</t>
        </is>
      </c>
      <c r="F23" s="11" t="inlineStr">
        <is>
          <t>Truncamiento de 6 a 3 decimales en Royal McBee LGP-30</t>
        </is>
      </c>
    </row>
    <row r="24">
      <c r="A24" s="13" t="inlineStr">
        <is>
          <t>Diámetro de Saturación del Atractor</t>
        </is>
      </c>
      <c r="B24" s="14" t="inlineStr">
        <is>
          <t>D_max</t>
        </is>
      </c>
      <c r="C24" s="15">
        <f> 4 * SQRT(β*(ρ-1))</f>
        <v/>
      </c>
      <c r="D24" s="18">
        <f>4*D14</f>
        <v/>
      </c>
      <c r="E24" s="14" t="inlineStr">
        <is>
          <t>adim</t>
        </is>
      </c>
      <c r="F24" s="15" t="inlineStr">
        <is>
          <t>Distancia máxima entre extremos de las dos alas C₋ y C₊</t>
        </is>
      </c>
    </row>
  </sheetData>
  <mergeCells count="8">
    <mergeCell ref="A4:B4"/>
    <mergeCell ref="A2:F2"/>
    <mergeCell ref="A1:F1"/>
    <mergeCell ref="C5:D5"/>
    <mergeCell ref="A5:B5"/>
    <mergeCell ref="A17:F17"/>
    <mergeCell ref="A7:F7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15" customWidth="1" min="1" max="1"/>
    <col width="28" customWidth="1" min="2" max="2"/>
    <col width="34" customWidth="1" min="3" max="3"/>
    <col width="32" customWidth="1" min="4" max="4"/>
    <col width="31" customWidth="1" min="5" max="5"/>
    <col width="28" customWidth="1" min="6" max="6"/>
  </cols>
  <sheetData>
    <row r="1" ht="25" customHeight="1">
      <c r="A1" s="1" t="inlineStr">
        <is>
          <t>EVOLUCIÓN TEMPORAL DEL EFECTO MARIPOSA Y CONTRACCIÓN DE VOLUMEN DE LIOUVILLE</t>
        </is>
      </c>
    </row>
    <row r="2" ht="18" customHeight="1">
      <c r="A2" s="2" t="inlineStr">
        <is>
          <t>Crecimiento exponencial de la perturbación |Δr(t)| = MIN(D_max, Δ₀·e^(λ₁·t)) vs Contracción V(t)/V₀ = e^(∇·F·t)</t>
        </is>
      </c>
    </row>
    <row r="3"/>
    <row r="4">
      <c r="A4" s="8" t="inlineStr">
        <is>
          <t>Tiempo t (s)</t>
        </is>
      </c>
      <c r="B4" s="8" t="inlineStr">
        <is>
          <t>Factor Lyapunov e^(λ₁·t)</t>
        </is>
      </c>
      <c r="C4" s="8" t="inlineStr">
        <is>
          <t>Divergencia Lineal Δ₀·e^(λ₁·t)</t>
        </is>
      </c>
      <c r="D4" s="8" t="inlineStr">
        <is>
          <t>Divergencia Saturada |Δr(t)|</t>
        </is>
      </c>
      <c r="E4" s="8" t="inlineStr">
        <is>
          <t>Pérdida Predictibilidad (%)</t>
        </is>
      </c>
      <c r="F4" s="8" t="inlineStr">
        <is>
          <t>Volumen de Fases V(t)/V₀</t>
        </is>
      </c>
    </row>
    <row r="5">
      <c r="A5" s="20" t="n">
        <v>0</v>
      </c>
      <c r="B5" s="21">
        <f>EXP(Parametros_Invariantes_Lorenz!$D$18 * A5)</f>
        <v/>
      </c>
      <c r="C5" s="22">
        <f>Parametros_Invariantes_Lorenz!$D$23 * B5</f>
        <v/>
      </c>
      <c r="D5" s="23">
        <f>MIN(Parametros_Invariantes_Lorenz!$D$24, C5)</f>
        <v/>
      </c>
      <c r="E5" s="24">
        <f>D5/Parametros_Invariantes_Lorenz!$D$24</f>
        <v/>
      </c>
      <c r="F5" s="25">
        <f>EXP(Parametros_Invariantes_Lorenz!$D$12 * A5)</f>
        <v/>
      </c>
    </row>
    <row r="6">
      <c r="A6" s="26" t="n">
        <v>1</v>
      </c>
      <c r="B6" s="27">
        <f>EXP(Parametros_Invariantes_Lorenz!$D$18 * A6)</f>
        <v/>
      </c>
      <c r="C6" s="28">
        <f>Parametros_Invariantes_Lorenz!$D$23 * B6</f>
        <v/>
      </c>
      <c r="D6" s="29">
        <f>MIN(Parametros_Invariantes_Lorenz!$D$24, C6)</f>
        <v/>
      </c>
      <c r="E6" s="30">
        <f>D6/Parametros_Invariantes_Lorenz!$D$24</f>
        <v/>
      </c>
      <c r="F6" s="31">
        <f>EXP(Parametros_Invariantes_Lorenz!$D$12 * A6)</f>
        <v/>
      </c>
    </row>
    <row r="7">
      <c r="A7" s="20" t="n">
        <v>2</v>
      </c>
      <c r="B7" s="21">
        <f>EXP(Parametros_Invariantes_Lorenz!$D$18 * A7)</f>
        <v/>
      </c>
      <c r="C7" s="22">
        <f>Parametros_Invariantes_Lorenz!$D$23 * B7</f>
        <v/>
      </c>
      <c r="D7" s="23">
        <f>MIN(Parametros_Invariantes_Lorenz!$D$24, C7)</f>
        <v/>
      </c>
      <c r="E7" s="24">
        <f>D7/Parametros_Invariantes_Lorenz!$D$24</f>
        <v/>
      </c>
      <c r="F7" s="25">
        <f>EXP(Parametros_Invariantes_Lorenz!$D$12 * A7)</f>
        <v/>
      </c>
    </row>
    <row r="8">
      <c r="A8" s="26" t="n">
        <v>3</v>
      </c>
      <c r="B8" s="27">
        <f>EXP(Parametros_Invariantes_Lorenz!$D$18 * A8)</f>
        <v/>
      </c>
      <c r="C8" s="28">
        <f>Parametros_Invariantes_Lorenz!$D$23 * B8</f>
        <v/>
      </c>
      <c r="D8" s="29">
        <f>MIN(Parametros_Invariantes_Lorenz!$D$24, C8)</f>
        <v/>
      </c>
      <c r="E8" s="30">
        <f>D8/Parametros_Invariantes_Lorenz!$D$24</f>
        <v/>
      </c>
      <c r="F8" s="31">
        <f>EXP(Parametros_Invariantes_Lorenz!$D$12 * A8)</f>
        <v/>
      </c>
    </row>
    <row r="9">
      <c r="A9" s="20" t="n">
        <v>4</v>
      </c>
      <c r="B9" s="21">
        <f>EXP(Parametros_Invariantes_Lorenz!$D$18 * A9)</f>
        <v/>
      </c>
      <c r="C9" s="22">
        <f>Parametros_Invariantes_Lorenz!$D$23 * B9</f>
        <v/>
      </c>
      <c r="D9" s="23">
        <f>MIN(Parametros_Invariantes_Lorenz!$D$24, C9)</f>
        <v/>
      </c>
      <c r="E9" s="24">
        <f>D9/Parametros_Invariantes_Lorenz!$D$24</f>
        <v/>
      </c>
      <c r="F9" s="25">
        <f>EXP(Parametros_Invariantes_Lorenz!$D$12 * A9)</f>
        <v/>
      </c>
    </row>
    <row r="10">
      <c r="A10" s="26" t="n">
        <v>5</v>
      </c>
      <c r="B10" s="27">
        <f>EXP(Parametros_Invariantes_Lorenz!$D$18 * A10)</f>
        <v/>
      </c>
      <c r="C10" s="28">
        <f>Parametros_Invariantes_Lorenz!$D$23 * B10</f>
        <v/>
      </c>
      <c r="D10" s="29">
        <f>MIN(Parametros_Invariantes_Lorenz!$D$24, C10)</f>
        <v/>
      </c>
      <c r="E10" s="30">
        <f>D10/Parametros_Invariantes_Lorenz!$D$24</f>
        <v/>
      </c>
      <c r="F10" s="31">
        <f>EXP(Parametros_Invariantes_Lorenz!$D$12 * A10)</f>
        <v/>
      </c>
    </row>
    <row r="11">
      <c r="A11" s="20" t="n">
        <v>6</v>
      </c>
      <c r="B11" s="21">
        <f>EXP(Parametros_Invariantes_Lorenz!$D$18 * A11)</f>
        <v/>
      </c>
      <c r="C11" s="22">
        <f>Parametros_Invariantes_Lorenz!$D$23 * B11</f>
        <v/>
      </c>
      <c r="D11" s="23">
        <f>MIN(Parametros_Invariantes_Lorenz!$D$24, C11)</f>
        <v/>
      </c>
      <c r="E11" s="24">
        <f>D11/Parametros_Invariantes_Lorenz!$D$24</f>
        <v/>
      </c>
      <c r="F11" s="25">
        <f>EXP(Parametros_Invariantes_Lorenz!$D$12 * A11)</f>
        <v/>
      </c>
    </row>
    <row r="12">
      <c r="A12" s="26" t="n">
        <v>7</v>
      </c>
      <c r="B12" s="27">
        <f>EXP(Parametros_Invariantes_Lorenz!$D$18 * A12)</f>
        <v/>
      </c>
      <c r="C12" s="28">
        <f>Parametros_Invariantes_Lorenz!$D$23 * B12</f>
        <v/>
      </c>
      <c r="D12" s="29">
        <f>MIN(Parametros_Invariantes_Lorenz!$D$24, C12)</f>
        <v/>
      </c>
      <c r="E12" s="30">
        <f>D12/Parametros_Invariantes_Lorenz!$D$24</f>
        <v/>
      </c>
      <c r="F12" s="31">
        <f>EXP(Parametros_Invariantes_Lorenz!$D$12 * A12)</f>
        <v/>
      </c>
    </row>
    <row r="13">
      <c r="A13" s="20" t="n">
        <v>8</v>
      </c>
      <c r="B13" s="21">
        <f>EXP(Parametros_Invariantes_Lorenz!$D$18 * A13)</f>
        <v/>
      </c>
      <c r="C13" s="22">
        <f>Parametros_Invariantes_Lorenz!$D$23 * B13</f>
        <v/>
      </c>
      <c r="D13" s="23">
        <f>MIN(Parametros_Invariantes_Lorenz!$D$24, C13)</f>
        <v/>
      </c>
      <c r="E13" s="24">
        <f>D13/Parametros_Invariantes_Lorenz!$D$24</f>
        <v/>
      </c>
      <c r="F13" s="25">
        <f>EXP(Parametros_Invariantes_Lorenz!$D$12 * A13)</f>
        <v/>
      </c>
    </row>
    <row r="14">
      <c r="A14" s="26" t="n">
        <v>9</v>
      </c>
      <c r="B14" s="27">
        <f>EXP(Parametros_Invariantes_Lorenz!$D$18 * A14)</f>
        <v/>
      </c>
      <c r="C14" s="28">
        <f>Parametros_Invariantes_Lorenz!$D$23 * B14</f>
        <v/>
      </c>
      <c r="D14" s="29">
        <f>MIN(Parametros_Invariantes_Lorenz!$D$24, C14)</f>
        <v/>
      </c>
      <c r="E14" s="30">
        <f>D14/Parametros_Invariantes_Lorenz!$D$24</f>
        <v/>
      </c>
      <c r="F14" s="31">
        <f>EXP(Parametros_Invariantes_Lorenz!$D$12 * A14)</f>
        <v/>
      </c>
    </row>
    <row r="15">
      <c r="A15" s="20" t="n">
        <v>10</v>
      </c>
      <c r="B15" s="21">
        <f>EXP(Parametros_Invariantes_Lorenz!$D$18 * A15)</f>
        <v/>
      </c>
      <c r="C15" s="22">
        <f>Parametros_Invariantes_Lorenz!$D$23 * B15</f>
        <v/>
      </c>
      <c r="D15" s="23">
        <f>MIN(Parametros_Invariantes_Lorenz!$D$24, C15)</f>
        <v/>
      </c>
      <c r="E15" s="24">
        <f>D15/Parametros_Invariantes_Lorenz!$D$24</f>
        <v/>
      </c>
      <c r="F15" s="25">
        <f>EXP(Parametros_Invariantes_Lorenz!$D$12 * A15)</f>
        <v/>
      </c>
    </row>
    <row r="16">
      <c r="A16" s="26" t="n">
        <v>11</v>
      </c>
      <c r="B16" s="27">
        <f>EXP(Parametros_Invariantes_Lorenz!$D$18 * A16)</f>
        <v/>
      </c>
      <c r="C16" s="28">
        <f>Parametros_Invariantes_Lorenz!$D$23 * B16</f>
        <v/>
      </c>
      <c r="D16" s="29">
        <f>MIN(Parametros_Invariantes_Lorenz!$D$24, C16)</f>
        <v/>
      </c>
      <c r="E16" s="30">
        <f>D16/Parametros_Invariantes_Lorenz!$D$24</f>
        <v/>
      </c>
      <c r="F16" s="31">
        <f>EXP(Parametros_Invariantes_Lorenz!$D$12 * A16)</f>
        <v/>
      </c>
    </row>
    <row r="17">
      <c r="A17" s="20" t="n">
        <v>12</v>
      </c>
      <c r="B17" s="21">
        <f>EXP(Parametros_Invariantes_Lorenz!$D$18 * A17)</f>
        <v/>
      </c>
      <c r="C17" s="22">
        <f>Parametros_Invariantes_Lorenz!$D$23 * B17</f>
        <v/>
      </c>
      <c r="D17" s="23">
        <f>MIN(Parametros_Invariantes_Lorenz!$D$24, C17)</f>
        <v/>
      </c>
      <c r="E17" s="24">
        <f>D17/Parametros_Invariantes_Lorenz!$D$24</f>
        <v/>
      </c>
      <c r="F17" s="25">
        <f>EXP(Parametros_Invariantes_Lorenz!$D$12 * A17)</f>
        <v/>
      </c>
    </row>
    <row r="18">
      <c r="A18" s="26" t="n">
        <v>13</v>
      </c>
      <c r="B18" s="27">
        <f>EXP(Parametros_Invariantes_Lorenz!$D$18 * A18)</f>
        <v/>
      </c>
      <c r="C18" s="28">
        <f>Parametros_Invariantes_Lorenz!$D$23 * B18</f>
        <v/>
      </c>
      <c r="D18" s="29">
        <f>MIN(Parametros_Invariantes_Lorenz!$D$24, C18)</f>
        <v/>
      </c>
      <c r="E18" s="30">
        <f>D18/Parametros_Invariantes_Lorenz!$D$24</f>
        <v/>
      </c>
      <c r="F18" s="31">
        <f>EXP(Parametros_Invariantes_Lorenz!$D$12 * A18)</f>
        <v/>
      </c>
    </row>
    <row r="19">
      <c r="A19" s="20" t="n">
        <v>14</v>
      </c>
      <c r="B19" s="21">
        <f>EXP(Parametros_Invariantes_Lorenz!$D$18 * A19)</f>
        <v/>
      </c>
      <c r="C19" s="22">
        <f>Parametros_Invariantes_Lorenz!$D$23 * B19</f>
        <v/>
      </c>
      <c r="D19" s="23">
        <f>MIN(Parametros_Invariantes_Lorenz!$D$24, C19)</f>
        <v/>
      </c>
      <c r="E19" s="24">
        <f>D19/Parametros_Invariantes_Lorenz!$D$24</f>
        <v/>
      </c>
      <c r="F19" s="25">
        <f>EXP(Parametros_Invariantes_Lorenz!$D$12 * A19)</f>
        <v/>
      </c>
    </row>
    <row r="20">
      <c r="A20" s="26" t="n">
        <v>15</v>
      </c>
      <c r="B20" s="27">
        <f>EXP(Parametros_Invariantes_Lorenz!$D$18 * A20)</f>
        <v/>
      </c>
      <c r="C20" s="28">
        <f>Parametros_Invariantes_Lorenz!$D$23 * B20</f>
        <v/>
      </c>
      <c r="D20" s="29">
        <f>MIN(Parametros_Invariantes_Lorenz!$D$24, C20)</f>
        <v/>
      </c>
      <c r="E20" s="30">
        <f>D20/Parametros_Invariantes_Lorenz!$D$24</f>
        <v/>
      </c>
      <c r="F20" s="31">
        <f>EXP(Parametros_Invariantes_Lorenz!$D$12 * A20)</f>
        <v/>
      </c>
    </row>
    <row r="21">
      <c r="A21" s="20" t="n">
        <v>16</v>
      </c>
      <c r="B21" s="21">
        <f>EXP(Parametros_Invariantes_Lorenz!$D$18 * A21)</f>
        <v/>
      </c>
      <c r="C21" s="22">
        <f>Parametros_Invariantes_Lorenz!$D$23 * B21</f>
        <v/>
      </c>
      <c r="D21" s="23">
        <f>MIN(Parametros_Invariantes_Lorenz!$D$24, C21)</f>
        <v/>
      </c>
      <c r="E21" s="24">
        <f>D21/Parametros_Invariantes_Lorenz!$D$24</f>
        <v/>
      </c>
      <c r="F21" s="25">
        <f>EXP(Parametros_Invariantes_Lorenz!$D$12 * A21)</f>
        <v/>
      </c>
    </row>
    <row r="22">
      <c r="A22" s="26" t="n">
        <v>17</v>
      </c>
      <c r="B22" s="27">
        <f>EXP(Parametros_Invariantes_Lorenz!$D$18 * A22)</f>
        <v/>
      </c>
      <c r="C22" s="28">
        <f>Parametros_Invariantes_Lorenz!$D$23 * B22</f>
        <v/>
      </c>
      <c r="D22" s="29">
        <f>MIN(Parametros_Invariantes_Lorenz!$D$24, C22)</f>
        <v/>
      </c>
      <c r="E22" s="30">
        <f>D22/Parametros_Invariantes_Lorenz!$D$24</f>
        <v/>
      </c>
      <c r="F22" s="31">
        <f>EXP(Parametros_Invariantes_Lorenz!$D$12 * A22)</f>
        <v/>
      </c>
    </row>
    <row r="23">
      <c r="A23" s="20" t="n">
        <v>18</v>
      </c>
      <c r="B23" s="21">
        <f>EXP(Parametros_Invariantes_Lorenz!$D$18 * A23)</f>
        <v/>
      </c>
      <c r="C23" s="22">
        <f>Parametros_Invariantes_Lorenz!$D$23 * B23</f>
        <v/>
      </c>
      <c r="D23" s="23">
        <f>MIN(Parametros_Invariantes_Lorenz!$D$24, C23)</f>
        <v/>
      </c>
      <c r="E23" s="24">
        <f>D23/Parametros_Invariantes_Lorenz!$D$24</f>
        <v/>
      </c>
      <c r="F23" s="25">
        <f>EXP(Parametros_Invariantes_Lorenz!$D$12 * A23)</f>
        <v/>
      </c>
    </row>
    <row r="24">
      <c r="A24" s="32" t="inlineStr">
        <is>
          <t>PROMEDIO / MÁX</t>
        </is>
      </c>
      <c r="B24" s="33">
        <f>MAX(B5:B23)</f>
        <v/>
      </c>
      <c r="C24" s="34">
        <f>MAX(C5:C23)</f>
        <v/>
      </c>
      <c r="D24" s="34">
        <f>MAX(D5:D23)</f>
        <v/>
      </c>
      <c r="E24" s="35">
        <f>AVERAGE(E5:E23)</f>
        <v/>
      </c>
      <c r="F24" s="36">
        <f>MIN(F5:F23)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2026-10-21T02:18:57Z</dcterms:created>
  <dcterms:modified xmlns:dcterms="http://purl.org/dc/terms/" xmlns:xsi="http://www.w3.org/2001/XMLSchema-instance" xsi:type="dcterms:W3CDTF">2026-10-21T02:18:57Z</dcterms:modified>
</cp:coreProperties>
</file>