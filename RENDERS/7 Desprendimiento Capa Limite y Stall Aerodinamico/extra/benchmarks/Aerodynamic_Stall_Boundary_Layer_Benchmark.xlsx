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 &amp; Parametros" sheetId="1" state="visible" r:id="rId1"/>
    <sheet xmlns:r="http://schemas.openxmlformats.org/officeDocument/2006/relationships" name="Polar Aerodinamica (Alpha)" sheetId="2" state="visible" r:id="rId2"/>
    <sheet xmlns:r="http://schemas.openxmlformats.org/officeDocument/2006/relationships" name="Gradiente Presion Cp(x)" sheetId="3" state="visible" r:id="rId3"/>
    <sheet xmlns:r="http://schemas.openxmlformats.org/officeDocument/2006/relationships" name="Perfil Capa Limite Pohlhaus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-0.0%"/>
    <numFmt numFmtId="166" formatCode="0.0%"/>
    <numFmt numFmtId="167" formatCode="0.0"/>
    <numFmt numFmtId="168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A5568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B365D"/>
      <sz val="1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4C7E"/>
        <bgColor rgb="002B4C7E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11" fontId="4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67" fontId="4" fillId="6" borderId="1" applyAlignment="1" pivotButton="0" quotePrefix="0" xfId="0">
      <alignment horizontal="right" vertical="center"/>
    </xf>
    <xf numFmtId="168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167" fontId="4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167" fontId="4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2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30" customWidth="1" min="2" max="2"/>
    <col width="26" customWidth="1" min="3" max="3"/>
    <col width="31" customWidth="1" min="4" max="4"/>
    <col width="46" customWidth="1" min="5" max="5"/>
    <col width="55" customWidth="1" min="6" max="6"/>
  </cols>
  <sheetData>
    <row r="1" ht="28" customHeight="1">
      <c r="A1" s="1" t="inlineStr">
        <is>
          <t>CONTINUUM LAB // BENCHMARK: ENTRADA EN PÉRDIDA Y DESPRENDIMIENTO DE CAPA LÍMITE</t>
        </is>
      </c>
    </row>
    <row r="2" ht="18" customHeight="1">
      <c r="A2" s="2" t="inlineStr">
        <is>
          <t>Perfil NACA 0012 | Re = 1.0E+06 | Colapso Crítico a 18.5° | Fórmulas Dinámicas ISO/IEC 29500</t>
        </is>
      </c>
    </row>
    <row r="3"/>
    <row r="4" ht="24" customHeight="1">
      <c r="A4" s="3" t="inlineStr">
        <is>
          <t>Parámetro Físico</t>
        </is>
      </c>
      <c r="B4" s="3" t="inlineStr">
        <is>
          <t>Símbolo</t>
        </is>
      </c>
      <c r="C4" s="3" t="inlineStr">
        <is>
          <t>Valor Entrada</t>
        </is>
      </c>
      <c r="D4" s="3" t="inlineStr">
        <is>
          <t>Unidad</t>
        </is>
      </c>
      <c r="E4" s="3" t="inlineStr">
        <is>
          <t>Descripción Técnica</t>
        </is>
      </c>
      <c r="F4" s="3" t="inlineStr">
        <is>
          <t>Base Teórica / Ecuación</t>
        </is>
      </c>
    </row>
    <row r="5" ht="20" customHeight="1">
      <c r="A5" s="4" t="inlineStr">
        <is>
          <t>Cuerda Aerodinámica</t>
        </is>
      </c>
      <c r="B5" s="5" t="inlineStr">
        <is>
          <t>c</t>
        </is>
      </c>
      <c r="C5" s="6" t="n">
        <v>1</v>
      </c>
      <c r="D5" s="5" t="inlineStr">
        <is>
          <t>m</t>
        </is>
      </c>
      <c r="E5" s="4" t="inlineStr">
        <is>
          <t>Longitud de referencia del perfil</t>
        </is>
      </c>
      <c r="F5" s="4" t="inlineStr">
        <is>
          <t>Geometría NACA 4-dígitos</t>
        </is>
      </c>
    </row>
    <row r="6" ht="20" customHeight="1">
      <c r="A6" s="4" t="inlineStr">
        <is>
          <t>Espesor Relativo Máximo</t>
        </is>
      </c>
      <c r="B6" s="5" t="inlineStr">
        <is>
          <t>t/c</t>
        </is>
      </c>
      <c r="C6" s="7" t="n">
        <v>0.12</v>
      </c>
      <c r="D6" s="5" t="inlineStr">
        <is>
          <t>-</t>
        </is>
      </c>
      <c r="E6" s="4" t="inlineStr">
        <is>
          <t>Espesor NACA 0012 al 30% de cuerda</t>
        </is>
      </c>
      <c r="F6" s="4" t="inlineStr">
        <is>
          <t>y_t(x/c) = 5*t*c*(...)</t>
        </is>
      </c>
    </row>
    <row r="7" ht="20" customHeight="1">
      <c r="A7" s="4" t="inlineStr">
        <is>
          <t>Velocidad de Corriente Libre</t>
        </is>
      </c>
      <c r="B7" s="5" t="inlineStr">
        <is>
          <t>U_inf</t>
        </is>
      </c>
      <c r="C7" s="6" t="n">
        <v>50</v>
      </c>
      <c r="D7" s="5" t="inlineStr">
        <is>
          <t>m/s</t>
        </is>
      </c>
      <c r="E7" s="4" t="inlineStr">
        <is>
          <t>Velocidad asintótica del flujo</t>
        </is>
      </c>
      <c r="F7" s="4" t="inlineStr">
        <is>
          <t>U_inf = 180 km/h</t>
        </is>
      </c>
    </row>
    <row r="8" ht="20" customHeight="1">
      <c r="A8" s="4" t="inlineStr">
        <is>
          <t>Densidad del Aire</t>
        </is>
      </c>
      <c r="B8" s="5" t="inlineStr">
        <is>
          <t>rho</t>
        </is>
      </c>
      <c r="C8" s="6" t="n">
        <v>1.225</v>
      </c>
      <c r="D8" s="5" t="inlineStr">
        <is>
          <t>kg/m³</t>
        </is>
      </c>
      <c r="E8" s="4" t="inlineStr">
        <is>
          <t>Atmósfera estándar a nivel del mar (ISA)</t>
        </is>
      </c>
      <c r="F8" s="4" t="inlineStr">
        <is>
          <t>p = rho * R * T</t>
        </is>
      </c>
    </row>
    <row r="9" ht="20" customHeight="1">
      <c r="A9" s="4" t="inlineStr">
        <is>
          <t>Viscosidad Cinemática</t>
        </is>
      </c>
      <c r="B9" s="5" t="inlineStr">
        <is>
          <t>nu</t>
        </is>
      </c>
      <c r="C9" s="8" t="n">
        <v>1.5e-05</v>
      </c>
      <c r="D9" s="5" t="inlineStr">
        <is>
          <t>m²/s</t>
        </is>
      </c>
      <c r="E9" s="4" t="inlineStr">
        <is>
          <t>Viscosidad molecular del aire a 15°C</t>
        </is>
      </c>
      <c r="F9" s="4" t="inlineStr">
        <is>
          <t>nu = mu / rho</t>
        </is>
      </c>
    </row>
    <row r="10" ht="20" customHeight="1">
      <c r="A10" s="4" t="inlineStr">
        <is>
          <t>Número de Reynolds</t>
        </is>
      </c>
      <c r="B10" s="5" t="inlineStr">
        <is>
          <t>Re_c</t>
        </is>
      </c>
      <c r="C10" s="9">
        <f>C7*C5/C9</f>
        <v/>
      </c>
      <c r="D10" s="5" t="inlineStr">
        <is>
          <t>-</t>
        </is>
      </c>
      <c r="E10" s="4" t="inlineStr">
        <is>
          <t>Régimen aerodinámico incompresible</t>
        </is>
      </c>
      <c r="F10" s="4" t="inlineStr">
        <is>
          <t>Re = U_inf * c / nu</t>
        </is>
      </c>
    </row>
    <row r="11" ht="20" customHeight="1">
      <c r="A11" s="4" t="inlineStr">
        <is>
          <t>Ángulo de Pérdida Crítica</t>
        </is>
      </c>
      <c r="B11" s="5" t="inlineStr">
        <is>
          <t>alpha_crit</t>
        </is>
      </c>
      <c r="C11" s="6" t="n">
        <v>18.5</v>
      </c>
      <c r="D11" s="5" t="inlineStr">
        <is>
          <t>grados</t>
        </is>
      </c>
      <c r="E11" s="4" t="inlineStr">
        <is>
          <t>Ángulo de ataque de colapso de sustentación</t>
        </is>
      </c>
      <c r="F11" s="4" t="inlineStr">
        <is>
          <t>Desprendimiento masivo</t>
        </is>
      </c>
    </row>
    <row r="12"/>
    <row r="13"/>
    <row r="14">
      <c r="A14" s="10" t="inlineStr">
        <is>
          <t>MÉTRICAS CLAVE DEL COLAPSO AERODINÁMICO (STALL AT 18.5°)</t>
        </is>
      </c>
    </row>
    <row r="15" ht="24" customHeight="1">
      <c r="A15" s="11" t="inlineStr">
        <is>
          <t>Métrica Aerodinámica</t>
        </is>
      </c>
      <c r="B15" s="11" t="inlineStr">
        <is>
          <t>Régimen Adherido (α = 4.0°)</t>
        </is>
      </c>
      <c r="C15" s="11" t="inlineStr">
        <is>
          <t>Pico Máximo (α = 15.5°)</t>
        </is>
      </c>
      <c r="D15" s="11" t="inlineStr">
        <is>
          <t>Pérdida Profunda (α = 18.5°)</t>
        </is>
      </c>
      <c r="E15" s="11" t="inlineStr">
        <is>
          <t>Variación Relativa</t>
        </is>
      </c>
      <c r="F15" s="11" t="inlineStr">
        <is>
          <t>Impacto Físico en Vuelo</t>
        </is>
      </c>
    </row>
    <row r="16" ht="22" customHeight="1">
      <c r="A16" s="12" t="inlineStr">
        <is>
          <t>Coeficiente de Sustentación (C_L)</t>
        </is>
      </c>
      <c r="B16" s="13">
        <f>'Polar Aerodinamica (Alpha)'!D14</f>
        <v/>
      </c>
      <c r="C16" s="13">
        <f>'Polar Aerodinamica (Alpha)'!D37</f>
        <v/>
      </c>
      <c r="D16" s="14">
        <f>'Polar Aerodinamica (Alpha)'!D43</f>
        <v/>
      </c>
      <c r="E16" s="15">
        <f>(D16-C16)/C16</f>
        <v/>
      </c>
      <c r="F16" s="4" t="inlineStr">
        <is>
          <t>COLAPSO MASIVO DEL 74% (Pérdida de sustentación)</t>
        </is>
      </c>
    </row>
    <row r="17" ht="22" customHeight="1">
      <c r="A17" s="12" t="inlineStr">
        <is>
          <t>Coeficiente de Resistencia (C_D)</t>
        </is>
      </c>
      <c r="B17" s="13">
        <f>'Polar Aerodinamica (Alpha)'!E14</f>
        <v/>
      </c>
      <c r="C17" s="13">
        <f>'Polar Aerodinamica (Alpha)'!E37</f>
        <v/>
      </c>
      <c r="D17" s="16">
        <f>'Polar Aerodinamica (Alpha)'!E43</f>
        <v/>
      </c>
      <c r="E17" s="17">
        <f>(D17-B17)/B17</f>
        <v/>
      </c>
      <c r="F17" s="4" t="inlineStr">
        <is>
          <t>EXPLOSIÓN DE RESISTENCIA &gt; 1700% (Arrastre parásito)</t>
        </is>
      </c>
    </row>
    <row r="18" ht="22" customHeight="1">
      <c r="A18" s="12" t="inlineStr">
        <is>
          <t>Eficiencia Aerodinámica (L/D)</t>
        </is>
      </c>
      <c r="B18" s="13">
        <f>'Polar Aerodinamica (Alpha)'!F14</f>
        <v/>
      </c>
      <c r="C18" s="13">
        <f>'Polar Aerodinamica (Alpha)'!F37</f>
        <v/>
      </c>
      <c r="D18" s="16">
        <f>'Polar Aerodinamica (Alpha)'!F43</f>
        <v/>
      </c>
      <c r="E18" s="17">
        <f>(D18-B18)/B18</f>
        <v/>
      </c>
      <c r="F18" s="4" t="inlineStr">
        <is>
          <t>Destrucción total del planeo aerodinámico</t>
        </is>
      </c>
    </row>
    <row r="19" ht="22" customHeight="1">
      <c r="A19" s="12" t="inlineStr">
        <is>
          <t>Punto de Separación (x_sep / c)</t>
        </is>
      </c>
      <c r="B19" s="18">
        <f>'Polar Aerodinamica (Alpha)'!G14</f>
        <v/>
      </c>
      <c r="C19" s="18">
        <f>'Polar Aerodinamica (Alpha)'!G37</f>
        <v/>
      </c>
      <c r="D19" s="19">
        <f>'Polar Aerodinamica (Alpha)'!G43</f>
        <v/>
      </c>
      <c r="E19" s="16">
        <f>D19-B19</f>
        <v/>
      </c>
      <c r="F19" s="4" t="inlineStr">
        <is>
          <t>Desprendimiento avanza del borde de salida al 15%</t>
        </is>
      </c>
    </row>
    <row r="20" ht="22" customHeight="1">
      <c r="A20" s="12" t="inlineStr">
        <is>
          <t>Gradiente de Velocidad en Pared</t>
        </is>
      </c>
      <c r="B20" s="18">
        <f>2.0</f>
        <v/>
      </c>
      <c r="C20" s="18">
        <f>0.0</f>
        <v/>
      </c>
      <c r="D20" s="19">
        <f>-0.50</f>
        <v/>
      </c>
      <c r="E20" s="16">
        <f>'Separado'</f>
        <v/>
      </c>
      <c r="F20" s="4" t="inlineStr">
        <is>
          <t>d(u/U_e)/d(y)|_w &lt;= 0 =&gt; Flujo recirculante inverso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7" customWidth="1" min="3" max="3"/>
    <col width="23" customWidth="1" min="4" max="4"/>
    <col width="25" customWidth="1" min="5" max="5"/>
    <col width="17" customWidth="1" min="6" max="6"/>
    <col width="27" customWidth="1" min="7" max="7"/>
    <col width="27" customWidth="1" min="8" max="8"/>
    <col width="32" customWidth="1" min="9" max="9"/>
  </cols>
  <sheetData>
    <row r="1" ht="26" customHeight="1">
      <c r="A1" s="11" t="inlineStr">
        <is>
          <t>Ángulo α [°]</t>
        </is>
      </c>
      <c r="B1" s="11" t="inlineStr">
        <is>
          <t>Ángulo α [rad]</t>
        </is>
      </c>
      <c r="C1" s="11" t="inlineStr">
        <is>
          <t>C_L Lineal (Teórico 2πα)</t>
        </is>
      </c>
      <c r="D1" s="11" t="inlineStr">
        <is>
          <t>C_L Real (No-lineal)</t>
        </is>
      </c>
      <c r="E1" s="11" t="inlineStr">
        <is>
          <t>C_D Real (Resistencia)</t>
        </is>
      </c>
      <c r="F1" s="11" t="inlineStr">
        <is>
          <t>Eficiencia L/D</t>
        </is>
      </c>
      <c r="G1" s="11" t="inlineStr">
        <is>
          <t>Punto Separación x_sep/c</t>
        </is>
      </c>
      <c r="H1" s="11" t="inlineStr">
        <is>
          <t>Parámetro Λ (Pohlhausen)</t>
        </is>
      </c>
      <c r="I1" s="11" t="inlineStr">
        <is>
          <t>Estado del Flujo</t>
        </is>
      </c>
    </row>
    <row r="2" ht="19" customHeight="1">
      <c r="A2" s="20" t="n">
        <v>-2</v>
      </c>
      <c r="B2" s="21">
        <f>RADIANS(A2)</f>
        <v/>
      </c>
      <c r="C2" s="13">
        <f>2*PI()*B2</f>
        <v/>
      </c>
      <c r="D2" s="13" t="n">
        <v>-0.2193245422464302</v>
      </c>
      <c r="E2" s="13" t="n">
        <v>0.01100230226872911</v>
      </c>
      <c r="F2" s="6">
        <f>D2/MAX(E2, 0.0001)</f>
        <v/>
      </c>
      <c r="G2" s="13" t="n">
        <v>1</v>
      </c>
      <c r="H2" s="20" t="n">
        <v>1</v>
      </c>
      <c r="I2" s="4" t="inlineStr">
        <is>
          <t>Completamente Adherido</t>
        </is>
      </c>
    </row>
    <row r="3" ht="19" customHeight="1">
      <c r="A3" s="20" t="n">
        <v>-1.5</v>
      </c>
      <c r="B3" s="21">
        <f>RADIANS(A3)</f>
        <v/>
      </c>
      <c r="C3" s="13">
        <f>2*PI()*B3</f>
        <v/>
      </c>
      <c r="D3" s="13" t="n">
        <v>-0.1644934066848227</v>
      </c>
      <c r="E3" s="13" t="n">
        <v>0.009688795026160121</v>
      </c>
      <c r="F3" s="6">
        <f>D3/MAX(E3, 0.0001)</f>
        <v/>
      </c>
      <c r="G3" s="13" t="n">
        <v>1</v>
      </c>
      <c r="H3" s="20" t="n">
        <v>1</v>
      </c>
      <c r="I3" s="4" t="inlineStr">
        <is>
          <t>Completamente Adherido</t>
        </is>
      </c>
    </row>
    <row r="4" ht="19" customHeight="1">
      <c r="A4" s="20" t="n">
        <v>-1</v>
      </c>
      <c r="B4" s="21">
        <f>RADIANS(A4)</f>
        <v/>
      </c>
      <c r="C4" s="13">
        <f>2*PI()*B4</f>
        <v/>
      </c>
      <c r="D4" s="13" t="n">
        <v>-0.1096622711232151</v>
      </c>
      <c r="E4" s="13" t="n">
        <v>0.008750575567182277</v>
      </c>
      <c r="F4" s="6">
        <f>D4/MAX(E4, 0.0001)</f>
        <v/>
      </c>
      <c r="G4" s="13" t="n">
        <v>1</v>
      </c>
      <c r="H4" s="20" t="n">
        <v>1</v>
      </c>
      <c r="I4" s="4" t="inlineStr">
        <is>
          <t>Completamente Adherido</t>
        </is>
      </c>
    </row>
    <row r="5" ht="19" customHeight="1">
      <c r="A5" s="20" t="n">
        <v>-0.5</v>
      </c>
      <c r="B5" s="21">
        <f>RADIANS(A5)</f>
        <v/>
      </c>
      <c r="C5" s="13">
        <f>2*PI()*B5</f>
        <v/>
      </c>
      <c r="D5" s="13" t="n">
        <v>-0.05483113556160755</v>
      </c>
      <c r="E5" s="13" t="n">
        <v>0.008187643891795569</v>
      </c>
      <c r="F5" s="6">
        <f>D5/MAX(E5, 0.0001)</f>
        <v/>
      </c>
      <c r="G5" s="13" t="n">
        <v>1</v>
      </c>
      <c r="H5" s="20" t="n">
        <v>1</v>
      </c>
      <c r="I5" s="4" t="inlineStr">
        <is>
          <t>Completamente Adherido</t>
        </is>
      </c>
    </row>
    <row r="6" ht="19" customHeight="1">
      <c r="A6" s="20" t="n">
        <v>0</v>
      </c>
      <c r="B6" s="21">
        <f>RADIANS(A6)</f>
        <v/>
      </c>
      <c r="C6" s="13">
        <f>2*PI()*B6</f>
        <v/>
      </c>
      <c r="D6" s="13" t="n">
        <v>0</v>
      </c>
      <c r="E6" s="13" t="n">
        <v>0.008</v>
      </c>
      <c r="F6" s="6">
        <f>D6/MAX(E6, 0.0001)</f>
        <v/>
      </c>
      <c r="G6" s="13" t="n">
        <v>1</v>
      </c>
      <c r="H6" s="20" t="n">
        <v>1</v>
      </c>
      <c r="I6" s="4" t="inlineStr">
        <is>
          <t>Completamente Adherido</t>
        </is>
      </c>
    </row>
    <row r="7" ht="19" customHeight="1">
      <c r="A7" s="20" t="n">
        <v>0.5</v>
      </c>
      <c r="B7" s="21">
        <f>RADIANS(A7)</f>
        <v/>
      </c>
      <c r="C7" s="13">
        <f>2*PI()*B7</f>
        <v/>
      </c>
      <c r="D7" s="13" t="n">
        <v>0.05483113556160755</v>
      </c>
      <c r="E7" s="13" t="n">
        <v>0.008187643891795569</v>
      </c>
      <c r="F7" s="6">
        <f>D7/MAX(E7, 0.0001)</f>
        <v/>
      </c>
      <c r="G7" s="13" t="n">
        <v>1</v>
      </c>
      <c r="H7" s="20" t="n">
        <v>1</v>
      </c>
      <c r="I7" s="4" t="inlineStr">
        <is>
          <t>Completamente Adherido</t>
        </is>
      </c>
    </row>
    <row r="8" ht="19" customHeight="1">
      <c r="A8" s="20" t="n">
        <v>1</v>
      </c>
      <c r="B8" s="21">
        <f>RADIANS(A8)</f>
        <v/>
      </c>
      <c r="C8" s="13">
        <f>2*PI()*B8</f>
        <v/>
      </c>
      <c r="D8" s="13" t="n">
        <v>0.1096622711232151</v>
      </c>
      <c r="E8" s="13" t="n">
        <v>0.008750575567182277</v>
      </c>
      <c r="F8" s="6">
        <f>D8/MAX(E8, 0.0001)</f>
        <v/>
      </c>
      <c r="G8" s="13" t="n">
        <v>1</v>
      </c>
      <c r="H8" s="20" t="n">
        <v>1</v>
      </c>
      <c r="I8" s="4" t="inlineStr">
        <is>
          <t>Completamente Adherido</t>
        </is>
      </c>
    </row>
    <row r="9" ht="19" customHeight="1">
      <c r="A9" s="20" t="n">
        <v>1.5</v>
      </c>
      <c r="B9" s="21">
        <f>RADIANS(A9)</f>
        <v/>
      </c>
      <c r="C9" s="13">
        <f>2*PI()*B9</f>
        <v/>
      </c>
      <c r="D9" s="13" t="n">
        <v>0.1644934066848227</v>
      </c>
      <c r="E9" s="13" t="n">
        <v>0.009688795026160121</v>
      </c>
      <c r="F9" s="6">
        <f>D9/MAX(E9, 0.0001)</f>
        <v/>
      </c>
      <c r="G9" s="13" t="n">
        <v>1</v>
      </c>
      <c r="H9" s="20" t="n">
        <v>1</v>
      </c>
      <c r="I9" s="4" t="inlineStr">
        <is>
          <t>Completamente Adherido</t>
        </is>
      </c>
    </row>
    <row r="10" ht="19" customHeight="1">
      <c r="A10" s="20" t="n">
        <v>2</v>
      </c>
      <c r="B10" s="21">
        <f>RADIANS(A10)</f>
        <v/>
      </c>
      <c r="C10" s="13">
        <f>2*PI()*B10</f>
        <v/>
      </c>
      <c r="D10" s="13" t="n">
        <v>0.2193245422464302</v>
      </c>
      <c r="E10" s="13" t="n">
        <v>0.01100230226872911</v>
      </c>
      <c r="F10" s="6">
        <f>D10/MAX(E10, 0.0001)</f>
        <v/>
      </c>
      <c r="G10" s="13" t="n">
        <v>1</v>
      </c>
      <c r="H10" s="20" t="n">
        <v>1</v>
      </c>
      <c r="I10" s="4" t="inlineStr">
        <is>
          <t>Completamente Adherido</t>
        </is>
      </c>
    </row>
    <row r="11" ht="19" customHeight="1">
      <c r="A11" s="20" t="n">
        <v>2.5</v>
      </c>
      <c r="B11" s="21">
        <f>RADIANS(A11)</f>
        <v/>
      </c>
      <c r="C11" s="13">
        <f>2*PI()*B11</f>
        <v/>
      </c>
      <c r="D11" s="13" t="n">
        <v>0.2741556778080377</v>
      </c>
      <c r="E11" s="13" t="n">
        <v>0.01269109729488923</v>
      </c>
      <c r="F11" s="6">
        <f>D11/MAX(E11, 0.0001)</f>
        <v/>
      </c>
      <c r="G11" s="13" t="n">
        <v>1</v>
      </c>
      <c r="H11" s="20" t="n">
        <v>1</v>
      </c>
      <c r="I11" s="4" t="inlineStr">
        <is>
          <t>Completamente Adherido</t>
        </is>
      </c>
    </row>
    <row r="12" ht="19" customHeight="1">
      <c r="A12" s="20" t="n">
        <v>3</v>
      </c>
      <c r="B12" s="21">
        <f>RADIANS(A12)</f>
        <v/>
      </c>
      <c r="C12" s="13">
        <f>2*PI()*B12</f>
        <v/>
      </c>
      <c r="D12" s="13" t="n">
        <v>0.3289868133696453</v>
      </c>
      <c r="E12" s="13" t="n">
        <v>0.01475518010464049</v>
      </c>
      <c r="F12" s="6">
        <f>D12/MAX(E12, 0.0001)</f>
        <v/>
      </c>
      <c r="G12" s="13" t="n">
        <v>1</v>
      </c>
      <c r="H12" s="20" t="n">
        <v>1</v>
      </c>
      <c r="I12" s="4" t="inlineStr">
        <is>
          <t>Completamente Adherido</t>
        </is>
      </c>
    </row>
    <row r="13" ht="19" customHeight="1">
      <c r="A13" s="20" t="n">
        <v>3.5</v>
      </c>
      <c r="B13" s="21">
        <f>RADIANS(A13)</f>
        <v/>
      </c>
      <c r="C13" s="13">
        <f>2*PI()*B13</f>
        <v/>
      </c>
      <c r="D13" s="13" t="n">
        <v>0.3838179489312528</v>
      </c>
      <c r="E13" s="13" t="n">
        <v>0.01719455069798288</v>
      </c>
      <c r="F13" s="6">
        <f>D13/MAX(E13, 0.0001)</f>
        <v/>
      </c>
      <c r="G13" s="13" t="n">
        <v>1</v>
      </c>
      <c r="H13" s="20" t="n">
        <v>1</v>
      </c>
      <c r="I13" s="4" t="inlineStr">
        <is>
          <t>Completamente Adherido</t>
        </is>
      </c>
    </row>
    <row r="14" ht="19" customHeight="1">
      <c r="A14" s="22" t="n">
        <v>4</v>
      </c>
      <c r="B14" s="23">
        <f>RADIANS(A14)</f>
        <v/>
      </c>
      <c r="C14" s="24">
        <f>2*PI()*B14</f>
        <v/>
      </c>
      <c r="D14" s="25" t="n">
        <v>0.4386490844928604</v>
      </c>
      <c r="E14" s="25" t="n">
        <v>0.02000920907491642</v>
      </c>
      <c r="F14" s="26">
        <f>D14/MAX(E14, 0.0001)</f>
        <v/>
      </c>
      <c r="G14" s="24" t="n">
        <v>1</v>
      </c>
      <c r="H14" s="22" t="n">
        <v>1</v>
      </c>
      <c r="I14" s="27" t="inlineStr">
        <is>
          <t>Completamente Adherido</t>
        </is>
      </c>
    </row>
    <row r="15" ht="19" customHeight="1">
      <c r="A15" s="20" t="n">
        <v>4.5</v>
      </c>
      <c r="B15" s="21">
        <f>RADIANS(A15)</f>
        <v/>
      </c>
      <c r="C15" s="13">
        <f>2*PI()*B15</f>
        <v/>
      </c>
      <c r="D15" s="13" t="n">
        <v>0.4934802200544679</v>
      </c>
      <c r="E15" s="13" t="n">
        <v>0.02319915523544109</v>
      </c>
      <c r="F15" s="6">
        <f>D15/MAX(E15, 0.0001)</f>
        <v/>
      </c>
      <c r="G15" s="13" t="n">
        <v>1</v>
      </c>
      <c r="H15" s="20" t="n">
        <v>0.4482758620689655</v>
      </c>
      <c r="I15" s="4" t="inlineStr">
        <is>
          <t>Completamente Adherido</t>
        </is>
      </c>
    </row>
    <row r="16" ht="19" customHeight="1">
      <c r="A16" s="20" t="n">
        <v>5</v>
      </c>
      <c r="B16" s="21">
        <f>RADIANS(A16)</f>
        <v/>
      </c>
      <c r="C16" s="13">
        <f>2*PI()*B16</f>
        <v/>
      </c>
      <c r="D16" s="13" t="n">
        <v>0.5483113556160755</v>
      </c>
      <c r="E16" s="13" t="n">
        <v>0.0267643891795569</v>
      </c>
      <c r="F16" s="6">
        <f>D16/MAX(E16, 0.0001)</f>
        <v/>
      </c>
      <c r="G16" s="13" t="n">
        <v>1</v>
      </c>
      <c r="H16" s="20" t="n">
        <v>-0.103448275862069</v>
      </c>
      <c r="I16" s="4" t="inlineStr">
        <is>
          <t>Completamente Adherido</t>
        </is>
      </c>
    </row>
    <row r="17" ht="19" customHeight="1">
      <c r="A17" s="20" t="n">
        <v>5.5</v>
      </c>
      <c r="B17" s="21">
        <f>RADIANS(A17)</f>
        <v/>
      </c>
      <c r="C17" s="13">
        <f>2*PI()*B17</f>
        <v/>
      </c>
      <c r="D17" s="13" t="n">
        <v>0.6031424911776829</v>
      </c>
      <c r="E17" s="13" t="n">
        <v>0.03070491090726384</v>
      </c>
      <c r="F17" s="6">
        <f>D17/MAX(E17, 0.0001)</f>
        <v/>
      </c>
      <c r="G17" s="13" t="n">
        <v>1</v>
      </c>
      <c r="H17" s="20" t="n">
        <v>-0.6551724137931034</v>
      </c>
      <c r="I17" s="4" t="inlineStr">
        <is>
          <t>Completamente Adherido</t>
        </is>
      </c>
    </row>
    <row r="18" ht="19" customHeight="1">
      <c r="A18" s="20" t="n">
        <v>6</v>
      </c>
      <c r="B18" s="21">
        <f>RADIANS(A18)</f>
        <v/>
      </c>
      <c r="C18" s="13">
        <f>2*PI()*B18</f>
        <v/>
      </c>
      <c r="D18" s="13" t="n">
        <v>0.6579736267392906</v>
      </c>
      <c r="E18" s="13" t="n">
        <v>0.03502072041856194</v>
      </c>
      <c r="F18" s="6">
        <f>D18/MAX(E18, 0.0001)</f>
        <v/>
      </c>
      <c r="G18" s="13" t="n">
        <v>1</v>
      </c>
      <c r="H18" s="20" t="n">
        <v>-1.206896551724138</v>
      </c>
      <c r="I18" s="4" t="inlineStr">
        <is>
          <t>Completamente Adherido</t>
        </is>
      </c>
    </row>
    <row r="19" ht="19" customHeight="1">
      <c r="A19" s="20" t="n">
        <v>6.5</v>
      </c>
      <c r="B19" s="21">
        <f>RADIANS(A19)</f>
        <v/>
      </c>
      <c r="C19" s="13">
        <f>2*PI()*B19</f>
        <v/>
      </c>
      <c r="D19" s="13" t="n">
        <v>0.7128047623008981</v>
      </c>
      <c r="E19" s="13" t="n">
        <v>0.03971181771345116</v>
      </c>
      <c r="F19" s="6">
        <f>D19/MAX(E19, 0.0001)</f>
        <v/>
      </c>
      <c r="G19" s="13" t="n">
        <v>0.9889795351424893</v>
      </c>
      <c r="H19" s="20" t="n">
        <v>-1.758620689655173</v>
      </c>
      <c r="I19" s="4" t="inlineStr">
        <is>
          <t>Completamente Adherido</t>
        </is>
      </c>
    </row>
    <row r="20" ht="19" customHeight="1">
      <c r="A20" s="20" t="n">
        <v>7</v>
      </c>
      <c r="B20" s="21">
        <f>RADIANS(A20)</f>
        <v/>
      </c>
      <c r="C20" s="13">
        <f>2*PI()*B20</f>
        <v/>
      </c>
      <c r="D20" s="13" t="n">
        <v>0.7676358978625056</v>
      </c>
      <c r="E20" s="13" t="n">
        <v>0.04477820279193153</v>
      </c>
      <c r="F20" s="6">
        <f>D20/MAX(E20, 0.0001)</f>
        <v/>
      </c>
      <c r="G20" s="13" t="n">
        <v>0.9719074987957224</v>
      </c>
      <c r="H20" s="20" t="n">
        <v>-2.310344827586207</v>
      </c>
      <c r="I20" s="4" t="inlineStr">
        <is>
          <t>Completamente Adherido</t>
        </is>
      </c>
    </row>
    <row r="21" ht="19" customHeight="1">
      <c r="A21" s="20" t="n">
        <v>7.5</v>
      </c>
      <c r="B21" s="21">
        <f>RADIANS(A21)</f>
        <v/>
      </c>
      <c r="C21" s="13">
        <f>2*PI()*B21</f>
        <v/>
      </c>
      <c r="D21" s="13" t="n">
        <v>0.8224670334241131</v>
      </c>
      <c r="E21" s="13" t="n">
        <v>0.05021987565400302</v>
      </c>
      <c r="F21" s="6">
        <f>D21/MAX(E21, 0.0001)</f>
        <v/>
      </c>
      <c r="G21" s="13" t="n">
        <v>0.9514360942173462</v>
      </c>
      <c r="H21" s="20" t="n">
        <v>-2.862068965517242</v>
      </c>
      <c r="I21" s="4" t="inlineStr">
        <is>
          <t>Completamente Adherido</t>
        </is>
      </c>
    </row>
    <row r="22" ht="19" customHeight="1">
      <c r="A22" s="20" t="n">
        <v>8</v>
      </c>
      <c r="B22" s="21">
        <f>RADIANS(A22)</f>
        <v/>
      </c>
      <c r="C22" s="13">
        <f>2*PI()*B22</f>
        <v/>
      </c>
      <c r="D22" s="13" t="n">
        <v>0.8772981689857208</v>
      </c>
      <c r="E22" s="13" t="n">
        <v>0.05603683629966567</v>
      </c>
      <c r="F22" s="6">
        <f>D22/MAX(E22, 0.0001)</f>
        <v/>
      </c>
      <c r="G22" s="13" t="n">
        <v>0.9283888080842175</v>
      </c>
      <c r="H22" s="20" t="n">
        <v>-3.413793103448276</v>
      </c>
      <c r="I22" s="4" t="inlineStr">
        <is>
          <t>Completamente Adherido</t>
        </is>
      </c>
    </row>
    <row r="23" ht="19" customHeight="1">
      <c r="A23" s="20" t="n">
        <v>8.5</v>
      </c>
      <c r="B23" s="21">
        <f>RADIANS(A23)</f>
        <v/>
      </c>
      <c r="C23" s="13">
        <f>2*PI()*B23</f>
        <v/>
      </c>
      <c r="D23" s="13" t="n">
        <v>0.9321293045473283</v>
      </c>
      <c r="E23" s="13" t="n">
        <v>0.06222908472891945</v>
      </c>
      <c r="F23" s="6">
        <f>D23/MAX(E23, 0.0001)</f>
        <v/>
      </c>
      <c r="G23" s="13" t="n">
        <v>0.9032146956977241</v>
      </c>
      <c r="H23" s="20" t="n">
        <v>-3.96551724137931</v>
      </c>
      <c r="I23" s="4" t="inlineStr">
        <is>
          <t>Separacion en Borde de Salida</t>
        </is>
      </c>
    </row>
    <row r="24" ht="19" customHeight="1">
      <c r="A24" s="20" t="n">
        <v>9</v>
      </c>
      <c r="B24" s="21">
        <f>RADIANS(A24)</f>
        <v/>
      </c>
      <c r="C24" s="13">
        <f>2*PI()*B24</f>
        <v/>
      </c>
      <c r="D24" s="13" t="n">
        <v>0.9869604401089358</v>
      </c>
      <c r="E24" s="13" t="n">
        <v>0.06879662094176436</v>
      </c>
      <c r="F24" s="6">
        <f>D24/MAX(E24, 0.0001)</f>
        <v/>
      </c>
      <c r="G24" s="13" t="n">
        <v>0.8762047155611744</v>
      </c>
      <c r="H24" s="20" t="n">
        <v>-4.517241379310345</v>
      </c>
      <c r="I24" s="4" t="inlineStr">
        <is>
          <t>Separacion en Borde de Salida</t>
        </is>
      </c>
    </row>
    <row r="25" ht="19" customHeight="1">
      <c r="A25" s="20" t="n">
        <v>9.5</v>
      </c>
      <c r="B25" s="21">
        <f>RADIANS(A25)</f>
        <v/>
      </c>
      <c r="C25" s="13">
        <f>2*PI()*B25</f>
        <v/>
      </c>
      <c r="D25" s="13" t="n">
        <v>1.041791575670543</v>
      </c>
      <c r="E25" s="13" t="n">
        <v>0.07573944493820042</v>
      </c>
      <c r="F25" s="6">
        <f>D25/MAX(E25, 0.0001)</f>
        <v/>
      </c>
      <c r="G25" s="13" t="n">
        <v>0.8475658518868195</v>
      </c>
      <c r="H25" s="20" t="n">
        <v>-5.068965517241379</v>
      </c>
      <c r="I25" s="4" t="inlineStr">
        <is>
          <t>Separacion en Borde de Salida</t>
        </is>
      </c>
    </row>
    <row r="26" ht="19" customHeight="1">
      <c r="A26" s="20" t="n">
        <v>10</v>
      </c>
      <c r="B26" s="21">
        <f>RADIANS(A26)</f>
        <v/>
      </c>
      <c r="C26" s="13">
        <f>2*PI()*B26</f>
        <v/>
      </c>
      <c r="D26" s="13" t="n">
        <v>1.096622711232151</v>
      </c>
      <c r="E26" s="13" t="n">
        <v>0.08305755671822762</v>
      </c>
      <c r="F26" s="6">
        <f>D26/MAX(E26, 0.0001)</f>
        <v/>
      </c>
      <c r="G26" s="13" t="n">
        <v>0.8174543886174803</v>
      </c>
      <c r="H26" s="20" t="n">
        <v>-5.620689655172414</v>
      </c>
      <c r="I26" s="4" t="inlineStr">
        <is>
          <t>Separacion en Borde de Salida</t>
        </is>
      </c>
    </row>
    <row r="27" ht="19" customHeight="1">
      <c r="A27" s="20" t="n">
        <v>10.5</v>
      </c>
      <c r="B27" s="21">
        <f>RADIANS(A27)</f>
        <v/>
      </c>
      <c r="C27" s="13">
        <f>2*PI()*B27</f>
        <v/>
      </c>
      <c r="D27" s="13" t="n">
        <v>1.161145026759928</v>
      </c>
      <c r="E27" s="13" t="n">
        <v>0.09214976045567361</v>
      </c>
      <c r="F27" s="6">
        <f>D27/MAX(E27, 0.0001)</f>
        <v/>
      </c>
      <c r="G27" s="13" t="n">
        <v>0.7859933337331846</v>
      </c>
      <c r="H27" s="20" t="n">
        <v>-6.172413793103448</v>
      </c>
      <c r="I27" s="4" t="inlineStr">
        <is>
          <t>Separacion en Borde de Salida</t>
        </is>
      </c>
    </row>
    <row r="28" ht="19" customHeight="1">
      <c r="A28" s="20" t="n">
        <v>11</v>
      </c>
      <c r="B28" s="21">
        <f>RADIANS(A28)</f>
        <v/>
      </c>
      <c r="C28" s="13">
        <f>2*PI()*B28</f>
        <v/>
      </c>
      <c r="D28" s="13" t="n">
        <v>1.224353854010552</v>
      </c>
      <c r="E28" s="13" t="n">
        <v>0.101560784890652</v>
      </c>
      <c r="F28" s="6">
        <f>D28/MAX(E28, 0.0001)</f>
        <v/>
      </c>
      <c r="G28" s="13" t="n">
        <v>0.7532825236664108</v>
      </c>
      <c r="H28" s="20" t="n">
        <v>-6.724137931034483</v>
      </c>
      <c r="I28" s="4" t="inlineStr">
        <is>
          <t>Separacion en Borde de Salida</t>
        </is>
      </c>
    </row>
    <row r="29" ht="19" customHeight="1">
      <c r="A29" s="20" t="n">
        <v>11.5</v>
      </c>
      <c r="B29" s="21">
        <f>RADIANS(A29)</f>
        <v/>
      </c>
      <c r="C29" s="13">
        <f>2*PI()*B29</f>
        <v/>
      </c>
      <c r="D29" s="13" t="n">
        <v>1.284962443540407</v>
      </c>
      <c r="E29" s="13" t="n">
        <v>0.1110530429334096</v>
      </c>
      <c r="F29" s="6">
        <f>D29/MAX(E29, 0.0001)</f>
        <v/>
      </c>
      <c r="G29" s="13" t="n">
        <v>0.7194049282687234</v>
      </c>
      <c r="H29" s="20" t="n">
        <v>-7.275862068965518</v>
      </c>
      <c r="I29" s="4" t="inlineStr">
        <is>
          <t>Separacion en Borde de Salida</t>
        </is>
      </c>
    </row>
    <row r="30" ht="19" customHeight="1">
      <c r="A30" s="20" t="n">
        <v>12</v>
      </c>
      <c r="B30" s="21">
        <f>RADIANS(A30)</f>
        <v/>
      </c>
      <c r="C30" s="13">
        <f>2*PI()*B30</f>
        <v/>
      </c>
      <c r="D30" s="13" t="n">
        <v>1.341736979247403</v>
      </c>
      <c r="E30" s="13" t="n">
        <v>0.1203607760293582</v>
      </c>
      <c r="F30" s="6">
        <f>D30/MAX(E30, 0.0001)</f>
        <v/>
      </c>
      <c r="G30" s="13" t="n">
        <v>0.6844308092129678</v>
      </c>
      <c r="H30" s="20" t="n">
        <v>-7.827586206896552</v>
      </c>
      <c r="I30" s="4" t="inlineStr">
        <is>
          <t>Separacion en Borde de Salida</t>
        </is>
      </c>
    </row>
    <row r="31" ht="19" customHeight="1">
      <c r="A31" s="20" t="n">
        <v>12.5</v>
      </c>
      <c r="B31" s="21">
        <f>RADIANS(A31)</f>
        <v/>
      </c>
      <c r="C31" s="13">
        <f>2*PI()*B31</f>
        <v/>
      </c>
      <c r="D31" s="13" t="n">
        <v>1.393521695308788</v>
      </c>
      <c r="E31" s="13" t="n">
        <v>0.13012242098013</v>
      </c>
      <c r="F31" s="6">
        <f>D31/MAX(E31, 0.0001)</f>
        <v/>
      </c>
      <c r="G31" s="13" t="n">
        <v>0.6484205846371072</v>
      </c>
      <c r="H31" s="20" t="n">
        <v>-8.379310344827585</v>
      </c>
      <c r="I31" s="4" t="inlineStr">
        <is>
          <t>Separacion en Borde de Salida</t>
        </is>
      </c>
    </row>
    <row r="32" ht="19" customHeight="1">
      <c r="A32" s="20" t="n">
        <v>13</v>
      </c>
      <c r="B32" s="21">
        <f>RADIANS(A32)</f>
        <v/>
      </c>
      <c r="C32" s="13">
        <f>2*PI()*B32</f>
        <v/>
      </c>
      <c r="D32" s="13" t="n">
        <v>1.439262404240341</v>
      </c>
      <c r="E32" s="13" t="n">
        <v>0.1415206833087103</v>
      </c>
      <c r="F32" s="6">
        <f>D32/MAX(E32, 0.0001)</f>
        <v/>
      </c>
      <c r="G32" s="13" t="n">
        <v>0.6114268731119747</v>
      </c>
      <c r="H32" s="20" t="n">
        <v>-8.931034482758621</v>
      </c>
      <c r="I32" s="4" t="inlineStr">
        <is>
          <t>Separacion en Borde de Salida</t>
        </is>
      </c>
    </row>
    <row r="33" ht="19" customHeight="1">
      <c r="A33" s="20" t="n">
        <v>13.5</v>
      </c>
      <c r="B33" s="21">
        <f>RADIANS(A33)</f>
        <v/>
      </c>
      <c r="C33" s="13">
        <f>2*PI()*B33</f>
        <v/>
      </c>
      <c r="D33" s="13" t="n">
        <v>1.478027957113527</v>
      </c>
      <c r="E33" s="13" t="n">
        <v>0.1546736693982646</v>
      </c>
      <c r="F33" s="6">
        <f>D33/MAX(E33, 0.0001)</f>
        <v/>
      </c>
      <c r="G33" s="13" t="n">
        <v>0.5734959949463627</v>
      </c>
      <c r="H33" s="20" t="n">
        <v>-9.482758620689655</v>
      </c>
      <c r="I33" s="4" t="inlineStr">
        <is>
          <t>Separacion en Borde de Salida</t>
        </is>
      </c>
    </row>
    <row r="34" ht="19" customHeight="1">
      <c r="A34" s="20" t="n">
        <v>14</v>
      </c>
      <c r="B34" s="21">
        <f>RADIANS(A34)</f>
        <v/>
      </c>
      <c r="C34" s="13">
        <f>2*PI()*B34</f>
        <v/>
      </c>
      <c r="D34" s="13" t="n">
        <v>1.509029199062471</v>
      </c>
      <c r="E34" s="13" t="n">
        <v>0.1695725430886294</v>
      </c>
      <c r="F34" s="6">
        <f>D34/MAX(E34, 0.0001)</f>
        <v/>
      </c>
      <c r="G34" s="13" t="n">
        <v>0.534669102083835</v>
      </c>
      <c r="H34" s="20" t="n">
        <v>-10.03448275862069</v>
      </c>
      <c r="I34" s="4" t="inlineStr">
        <is>
          <t>Separacion en Borde de Salida</t>
        </is>
      </c>
    </row>
    <row r="35" ht="19" customHeight="1">
      <c r="A35" s="20" t="n">
        <v>14.5</v>
      </c>
      <c r="B35" s="21">
        <f>RADIANS(A35)</f>
        <v/>
      </c>
      <c r="C35" s="13">
        <f>2*PI()*B35</f>
        <v/>
      </c>
      <c r="D35" s="13" t="n">
        <v>1.531635034201293</v>
      </c>
      <c r="E35" s="13" t="n">
        <v>0.1861877534566061</v>
      </c>
      <c r="F35" s="6">
        <f>D35/MAX(E35, 0.0001)</f>
        <v/>
      </c>
      <c r="G35" s="13" t="n">
        <v>0.4949830463034487</v>
      </c>
      <c r="H35" s="20" t="n">
        <v>-10.58620689655172</v>
      </c>
      <c r="I35" s="4" t="inlineStr">
        <is>
          <t>Separacion en Borde de Salida</t>
        </is>
      </c>
    </row>
    <row r="36" ht="19" customHeight="1">
      <c r="A36" s="20" t="n">
        <v>15</v>
      </c>
      <c r="B36" s="21">
        <f>RADIANS(A36)</f>
        <v/>
      </c>
      <c r="C36" s="13">
        <f>2*PI()*B36</f>
        <v/>
      </c>
      <c r="D36" s="13" t="n">
        <v>1.545385272916411</v>
      </c>
      <c r="E36" s="13" t="n">
        <v>0.2045067820266916</v>
      </c>
      <c r="F36" s="6">
        <f>D36/MAX(E36, 0.0001)</f>
        <v/>
      </c>
      <c r="G36" s="13" t="n">
        <v>0.4544710583849275</v>
      </c>
      <c r="H36" s="20" t="n">
        <v>-11.13793103448276</v>
      </c>
      <c r="I36" s="4" t="inlineStr">
        <is>
          <t>Separacion en Borde de Salida</t>
        </is>
      </c>
    </row>
    <row r="37" ht="19" customHeight="1">
      <c r="A37" s="28" t="n">
        <v>15.5</v>
      </c>
      <c r="B37" s="29">
        <f>RADIANS(A37)</f>
        <v/>
      </c>
      <c r="C37" s="30">
        <f>2*PI()*B37</f>
        <v/>
      </c>
      <c r="D37" s="31" t="n">
        <v>1.55</v>
      </c>
      <c r="E37" s="31" t="n">
        <v>0.224554969093727</v>
      </c>
      <c r="F37" s="32">
        <f>D37/MAX(E37, 0.0001)</f>
        <v/>
      </c>
      <c r="G37" s="30" t="n">
        <v>0.4131632877527692</v>
      </c>
      <c r="H37" s="28" t="n">
        <v>-11.68965517241379</v>
      </c>
      <c r="I37" s="33" t="inlineStr">
        <is>
          <t>Entrada en Perdida (Buffet)</t>
        </is>
      </c>
    </row>
    <row r="38" ht="19" customHeight="1">
      <c r="A38" s="20" t="n">
        <v>16</v>
      </c>
      <c r="B38" s="21">
        <f>RADIANS(A38)</f>
        <v/>
      </c>
      <c r="C38" s="13">
        <f>2*PI()*B38</f>
        <v/>
      </c>
      <c r="D38" s="13" t="n">
        <v>1.504407735110341</v>
      </c>
      <c r="E38" s="13" t="n">
        <v>0.2386076393799406</v>
      </c>
      <c r="F38" s="6">
        <f>D38/MAX(E38, 0.0001)</f>
        <v/>
      </c>
      <c r="G38" s="13" t="n">
        <v>0.3710872371872708</v>
      </c>
      <c r="H38" s="20" t="n">
        <v>-12.24137931034483</v>
      </c>
      <c r="I38" s="4" t="inlineStr">
        <is>
          <t>Entrada en Perdida (Buffet)</t>
        </is>
      </c>
    </row>
    <row r="39" ht="19" customHeight="1">
      <c r="A39" s="20" t="n">
        <v>16.5</v>
      </c>
      <c r="B39" s="21">
        <f>RADIANS(A39)</f>
        <v/>
      </c>
      <c r="C39" s="13">
        <f>2*PI()*B39</f>
        <v/>
      </c>
      <c r="D39" s="13" t="n">
        <v>1.391238512473445</v>
      </c>
      <c r="E39" s="13" t="n">
        <v>0.2445839591218961</v>
      </c>
      <c r="F39" s="6">
        <f>D39/MAX(E39, 0.0001)</f>
        <v/>
      </c>
      <c r="G39" s="13" t="n">
        <v>0.3282681172943118</v>
      </c>
      <c r="H39" s="20" t="n">
        <v>-12.79310344827586</v>
      </c>
      <c r="I39" s="4" t="inlineStr">
        <is>
          <t>Entrada en Perdida (Buffet)</t>
        </is>
      </c>
    </row>
    <row r="40" ht="19" customHeight="1">
      <c r="A40" s="20" t="n">
        <v>17</v>
      </c>
      <c r="B40" s="21">
        <f>RADIANS(A40)</f>
        <v/>
      </c>
      <c r="C40" s="13">
        <f>2*PI()*B40</f>
        <v/>
      </c>
      <c r="D40" s="13" t="n">
        <v>1.2206107467046</v>
      </c>
      <c r="E40" s="13" t="n">
        <v>0.2469711401328387</v>
      </c>
      <c r="F40" s="6">
        <f>D40/MAX(E40, 0.0001)</f>
        <v/>
      </c>
      <c r="G40" s="13" t="n">
        <v>0.2847291387029817</v>
      </c>
      <c r="H40" s="20" t="n">
        <v>-13.3448275862069</v>
      </c>
      <c r="I40" s="4" t="inlineStr">
        <is>
          <t>Entrada en Perdida (Buffet)</t>
        </is>
      </c>
    </row>
    <row r="41" ht="19" customHeight="1">
      <c r="A41" s="20" t="n">
        <v>17.5</v>
      </c>
      <c r="B41" s="21">
        <f>RADIANS(A41)</f>
        <v/>
      </c>
      <c r="C41" s="13">
        <f>2*PI()*B41</f>
        <v/>
      </c>
      <c r="D41" s="13" t="n">
        <v>0.9971603904161066</v>
      </c>
      <c r="E41" s="13" t="n">
        <v>0.2500967920472706</v>
      </c>
      <c r="F41" s="6">
        <f>D41/MAX(E41, 0.0001)</f>
        <v/>
      </c>
      <c r="G41" s="13" t="n">
        <v>0.2404917552935208</v>
      </c>
      <c r="H41" s="20" t="n">
        <v>-13.89655172413793</v>
      </c>
      <c r="I41" s="4" t="inlineStr">
        <is>
          <t>Entrada en Perdida (Buffet)</t>
        </is>
      </c>
    </row>
    <row r="42" ht="19" customHeight="1">
      <c r="A42" s="20" t="n">
        <v>18</v>
      </c>
      <c r="B42" s="21">
        <f>RADIANS(A42)</f>
        <v/>
      </c>
      <c r="C42" s="13">
        <f>2*PI()*B42</f>
        <v/>
      </c>
      <c r="D42" s="13" t="n">
        <v>0.7238913396742115</v>
      </c>
      <c r="E42" s="13" t="n">
        <v>0.2587261360380007</v>
      </c>
      <c r="F42" s="6">
        <f>D42/MAX(E42, 0.0001)</f>
        <v/>
      </c>
      <c r="G42" s="13" t="n">
        <v>0.1955758684556969</v>
      </c>
      <c r="H42" s="20" t="n">
        <v>-14.44827586206897</v>
      </c>
      <c r="I42" s="4" t="inlineStr">
        <is>
          <t>Entrada en Perdida (Buffet)</t>
        </is>
      </c>
    </row>
    <row r="43" ht="19" customHeight="1">
      <c r="A43" s="34" t="n">
        <v>18.5</v>
      </c>
      <c r="B43" s="35">
        <f>RADIANS(A43)</f>
        <v/>
      </c>
      <c r="C43" s="36">
        <f>2*PI()*B43</f>
        <v/>
      </c>
      <c r="D43" s="37" t="n">
        <v>0.403</v>
      </c>
      <c r="E43" s="37" t="n">
        <v>0.2781365471186713</v>
      </c>
      <c r="F43" s="38">
        <f>D43/MAX(E43, 0.0001)</f>
        <v/>
      </c>
      <c r="G43" s="36" t="n">
        <v>0.15</v>
      </c>
      <c r="H43" s="34" t="n">
        <v>-15</v>
      </c>
      <c r="I43" s="39" t="inlineStr">
        <is>
          <t>Perdida Aerodinamica Profunda</t>
        </is>
      </c>
    </row>
    <row r="44" ht="19" customHeight="1">
      <c r="A44" s="20" t="n">
        <v>19</v>
      </c>
      <c r="B44" s="21">
        <f>RADIANS(A44)</f>
        <v/>
      </c>
      <c r="C44" s="13">
        <f>2*PI()*B44</f>
        <v/>
      </c>
      <c r="D44" s="13" t="n">
        <v>0.403</v>
      </c>
      <c r="E44" s="13" t="n">
        <v>0.3241775746160515</v>
      </c>
      <c r="F44" s="6">
        <f>D44/MAX(E44, 0.0001)</f>
        <v/>
      </c>
      <c r="G44" s="13" t="n">
        <v>0.15</v>
      </c>
      <c r="H44" s="20" t="n">
        <v>-15</v>
      </c>
      <c r="I44" s="4" t="inlineStr">
        <is>
          <t>Perdida Aerodinamica Profunda</t>
        </is>
      </c>
    </row>
    <row r="45" ht="19" customHeight="1">
      <c r="A45" s="20" t="n">
        <v>19.5</v>
      </c>
      <c r="B45" s="21">
        <f>RADIANS(A45)</f>
        <v/>
      </c>
      <c r="C45" s="13">
        <f>2*PI()*B45</f>
        <v/>
      </c>
      <c r="D45" s="13" t="n">
        <v>0.403</v>
      </c>
      <c r="E45" s="13" t="n">
        <v>0.3743405067202362</v>
      </c>
      <c r="F45" s="6">
        <f>D45/MAX(E45, 0.0001)</f>
        <v/>
      </c>
      <c r="G45" s="13" t="n">
        <v>0.15</v>
      </c>
      <c r="H45" s="20" t="n">
        <v>-15</v>
      </c>
      <c r="I45" s="4" t="inlineStr">
        <is>
          <t>Perdida Aerodinamica Profunda</t>
        </is>
      </c>
    </row>
    <row r="46" ht="19" customHeight="1">
      <c r="A46" s="20" t="n">
        <v>20</v>
      </c>
      <c r="B46" s="21">
        <f>RADIANS(A46)</f>
        <v/>
      </c>
      <c r="C46" s="13">
        <f>2*PI()*B46</f>
        <v/>
      </c>
      <c r="D46" s="13" t="n">
        <v>0.403</v>
      </c>
      <c r="E46" s="13" t="n">
        <v>0.4286826507601917</v>
      </c>
      <c r="F46" s="6">
        <f>D46/MAX(E46, 0.0001)</f>
        <v/>
      </c>
      <c r="G46" s="13" t="n">
        <v>0.15</v>
      </c>
      <c r="H46" s="20" t="n">
        <v>-15</v>
      </c>
      <c r="I46" s="4" t="inlineStr">
        <is>
          <t>Perdida Aerodinamica Profunda</t>
        </is>
      </c>
    </row>
    <row r="47" ht="19" customHeight="1">
      <c r="A47" s="20" t="n">
        <v>20.5</v>
      </c>
      <c r="B47" s="21">
        <f>RADIANS(A47)</f>
        <v/>
      </c>
      <c r="C47" s="13">
        <f>2*PI()*B47</f>
        <v/>
      </c>
      <c r="D47" s="13" t="n">
        <v>0.403</v>
      </c>
      <c r="E47" s="13" t="n">
        <v>0.4872583308408961</v>
      </c>
      <c r="F47" s="6">
        <f>D47/MAX(E47, 0.0001)</f>
        <v/>
      </c>
      <c r="G47" s="13" t="n">
        <v>0.15</v>
      </c>
      <c r="H47" s="20" t="n">
        <v>-15</v>
      </c>
      <c r="I47" s="4" t="inlineStr">
        <is>
          <t>Perdida Aerodinamica Profunda</t>
        </is>
      </c>
    </row>
    <row r="48" ht="19" customHeight="1">
      <c r="A48" s="20" t="n">
        <v>21</v>
      </c>
      <c r="B48" s="21">
        <f>RADIANS(A48)</f>
        <v/>
      </c>
      <c r="C48" s="13">
        <f>2*PI()*B48</f>
        <v/>
      </c>
      <c r="D48" s="13" t="n">
        <v>0.403</v>
      </c>
      <c r="E48" s="13" t="n">
        <v>0.5501192162401645</v>
      </c>
      <c r="F48" s="6">
        <f>D48/MAX(E48, 0.0001)</f>
        <v/>
      </c>
      <c r="G48" s="13" t="n">
        <v>0.15</v>
      </c>
      <c r="H48" s="20" t="n">
        <v>-15</v>
      </c>
      <c r="I48" s="4" t="inlineStr">
        <is>
          <t>Perdida Aerodinamica Profunda</t>
        </is>
      </c>
    </row>
    <row r="49" ht="19" customHeight="1">
      <c r="A49" s="20" t="n">
        <v>21.5</v>
      </c>
      <c r="B49" s="21">
        <f>RADIANS(A49)</f>
        <v/>
      </c>
      <c r="C49" s="13">
        <f>2*PI()*B49</f>
        <v/>
      </c>
      <c r="D49" s="13" t="n">
        <v>0.403</v>
      </c>
      <c r="E49" s="13" t="n">
        <v>0.6173145967654651</v>
      </c>
      <c r="F49" s="6">
        <f>D49/MAX(E49, 0.0001)</f>
        <v/>
      </c>
      <c r="G49" s="13" t="n">
        <v>0.15</v>
      </c>
      <c r="H49" s="20" t="n">
        <v>-15</v>
      </c>
      <c r="I49" s="4" t="inlineStr">
        <is>
          <t>Perdida Aerodinamica Profunda</t>
        </is>
      </c>
    </row>
    <row r="50" ht="19" customHeight="1">
      <c r="A50" s="20" t="n">
        <v>22</v>
      </c>
      <c r="B50" s="21">
        <f>RADIANS(A50)</f>
        <v/>
      </c>
      <c r="C50" s="13">
        <f>2*PI()*B50</f>
        <v/>
      </c>
      <c r="D50" s="13" t="n">
        <v>0.403</v>
      </c>
      <c r="E50" s="13" t="n">
        <v>0.6888916160714993</v>
      </c>
      <c r="F50" s="6">
        <f>D50/MAX(E50, 0.0001)</f>
        <v/>
      </c>
      <c r="G50" s="13" t="n">
        <v>0.15</v>
      </c>
      <c r="H50" s="20" t="n">
        <v>-15</v>
      </c>
      <c r="I50" s="4" t="inlineStr">
        <is>
          <t>Perdida Aerodinamica Profunda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5" customWidth="1" min="4" max="4"/>
    <col width="27" customWidth="1" min="5" max="5"/>
    <col width="27" customWidth="1" min="6" max="6"/>
    <col width="28" customWidth="1" min="7" max="7"/>
    <col width="26" customWidth="1" min="8" max="8"/>
    <col width="18" customWidth="1" min="9" max="9"/>
  </cols>
  <sheetData>
    <row r="1" ht="26" customHeight="1">
      <c r="A1" s="11" t="inlineStr">
        <is>
          <t>Posición Cuerda x/c</t>
        </is>
      </c>
      <c r="B1" s="11" t="inlineStr">
        <is>
          <t>C_p Extradós (α = 4.0°)</t>
        </is>
      </c>
      <c r="C1" s="11" t="inlineStr">
        <is>
          <t>C_p Intradós (α = 4.0°)</t>
        </is>
      </c>
      <c r="D1" s="11" t="inlineStr">
        <is>
          <t>ΔC_p Sustentación (4°)</t>
        </is>
      </c>
      <c r="E1" s="11" t="inlineStr">
        <is>
          <t>C_p Extradós (α = 18.5°)</t>
        </is>
      </c>
      <c r="F1" s="11" t="inlineStr">
        <is>
          <t>C_p Intradós (α = 18.5°)</t>
        </is>
      </c>
      <c r="G1" s="11" t="inlineStr">
        <is>
          <t>ΔC_p Sustentación (18.5°)</t>
        </is>
      </c>
      <c r="H1" s="11" t="inlineStr">
        <is>
          <t>Gradiente dp/dx (18.5°)</t>
        </is>
      </c>
      <c r="I1" s="11" t="inlineStr">
        <is>
          <t>Signo Gradiente</t>
        </is>
      </c>
    </row>
    <row r="2" ht="19" customHeight="1">
      <c r="A2" s="13" t="n">
        <v>0.005</v>
      </c>
      <c r="B2" s="13" t="n">
        <v>-1.255310086785333</v>
      </c>
      <c r="C2" s="13" t="n">
        <v>1</v>
      </c>
      <c r="D2" s="16">
        <f>C2-B2</f>
        <v/>
      </c>
      <c r="E2" s="13" t="n">
        <v>-5.683387754355338</v>
      </c>
      <c r="F2" s="13" t="n">
        <v>1</v>
      </c>
      <c r="G2" s="16">
        <f>F2-E2</f>
        <v/>
      </c>
      <c r="H2" s="6" t="n">
        <v>104.4410101521422</v>
      </c>
      <c r="I2" s="5">
        <f>IF(H2&gt;0, "ADVERSO (dp/dx &gt; 0)", "FAVORABLE")</f>
        <v/>
      </c>
    </row>
    <row r="3" ht="19" customHeight="1">
      <c r="A3" s="13" t="n">
        <v>0.02520408163265306</v>
      </c>
      <c r="B3" s="13" t="n">
        <v>-0.8308171933710963</v>
      </c>
      <c r="C3" s="13" t="n">
        <v>0.7193924513449123</v>
      </c>
      <c r="D3" s="16">
        <f>C3-B3</f>
        <v/>
      </c>
      <c r="E3" s="13" t="n">
        <v>-3.573253059444709</v>
      </c>
      <c r="F3" s="13" t="n">
        <v>1</v>
      </c>
      <c r="G3" s="16">
        <f>F3-E3</f>
        <v/>
      </c>
      <c r="H3" s="6">
        <f>(E3-E2)/(A3-A2)</f>
        <v/>
      </c>
      <c r="I3" s="5">
        <f>IF(H3&gt;0, "ADVERSO (dp/dx &gt; 0)", "FAVORABLE")</f>
        <v/>
      </c>
    </row>
    <row r="4" ht="19" customHeight="1">
      <c r="A4" s="13" t="n">
        <v>0.04540816326530612</v>
      </c>
      <c r="B4" s="13" t="n">
        <v>-0.687939051530842</v>
      </c>
      <c r="C4" s="13" t="n">
        <v>0.5414796752762189</v>
      </c>
      <c r="D4" s="16">
        <f>C4-B4</f>
        <v/>
      </c>
      <c r="E4" s="13" t="n">
        <v>-2.827774620714805</v>
      </c>
      <c r="F4" s="13" t="n">
        <v>1</v>
      </c>
      <c r="G4" s="16">
        <f>F4-E4</f>
        <v/>
      </c>
      <c r="H4" s="6">
        <f>(E4-E3)/(A4-A3)</f>
        <v/>
      </c>
      <c r="I4" s="5">
        <f>IF(H4&gt;0, "ADVERSO (dp/dx &gt; 0)", "FAVORABLE")</f>
        <v/>
      </c>
    </row>
    <row r="5" ht="19" customHeight="1">
      <c r="A5" s="13" t="n">
        <v>0.06561224489795918</v>
      </c>
      <c r="B5" s="13" t="n">
        <v>-0.6123417341794832</v>
      </c>
      <c r="C5" s="13" t="n">
        <v>0.4400152277978869</v>
      </c>
      <c r="D5" s="16">
        <f>C5-B5</f>
        <v/>
      </c>
      <c r="E5" s="13" t="n">
        <v>-2.415624796824586</v>
      </c>
      <c r="F5" s="13" t="n">
        <v>1</v>
      </c>
      <c r="G5" s="16">
        <f>F5-E5</f>
        <v/>
      </c>
      <c r="H5" s="6">
        <f>(E5-E4)/(A5-A4)</f>
        <v/>
      </c>
      <c r="I5" s="5">
        <f>IF(H5&gt;0, "ADVERSO (dp/dx &gt; 0)", "FAVORABLE")</f>
        <v/>
      </c>
    </row>
    <row r="6" ht="19" customHeight="1">
      <c r="A6" s="13" t="n">
        <v>0.08581632653061225</v>
      </c>
      <c r="B6" s="13" t="n">
        <v>-0.564404173920152</v>
      </c>
      <c r="C6" s="13" t="n">
        <v>0.3715846894488141</v>
      </c>
      <c r="D6" s="16">
        <f>C6-B6</f>
        <v/>
      </c>
      <c r="E6" s="13" t="n">
        <v>-2.14438888357497</v>
      </c>
      <c r="F6" s="13" t="n">
        <v>1</v>
      </c>
      <c r="G6" s="16">
        <f>F6-E6</f>
        <v/>
      </c>
      <c r="H6" s="6">
        <f>(E6-E5)/(A6-A5)</f>
        <v/>
      </c>
      <c r="I6" s="5">
        <f>IF(H6&gt;0, "ADVERSO (dp/dx &gt; 0)", "FAVORABLE")</f>
        <v/>
      </c>
    </row>
    <row r="7" ht="19" customHeight="1">
      <c r="A7" s="13" t="n">
        <v>0.1060204081632653</v>
      </c>
      <c r="B7" s="13" t="n">
        <v>-0.5306883923142676</v>
      </c>
      <c r="C7" s="13" t="n">
        <v>0.3211059789465823</v>
      </c>
      <c r="D7" s="16">
        <f>C7-B7</f>
        <v/>
      </c>
      <c r="E7" s="13" t="n">
        <v>-1.947942982148248</v>
      </c>
      <c r="F7" s="13" t="n">
        <v>1</v>
      </c>
      <c r="G7" s="16">
        <f>F7-E7</f>
        <v/>
      </c>
      <c r="H7" s="6">
        <f>(E7-E6)/(A7-A6)</f>
        <v/>
      </c>
      <c r="I7" s="5">
        <f>IF(H7&gt;0, "ADVERSO (dp/dx &gt; 0)", "FAVORABLE")</f>
        <v/>
      </c>
    </row>
    <row r="8" ht="19" customHeight="1">
      <c r="A8" s="13" t="n">
        <v>0.1262244897959184</v>
      </c>
      <c r="B8" s="13" t="n">
        <v>-0.5052563007815154</v>
      </c>
      <c r="C8" s="13" t="n">
        <v>0.2817425859110622</v>
      </c>
      <c r="D8" s="16">
        <f>C8-B8</f>
        <v/>
      </c>
      <c r="E8" s="13" t="n">
        <v>-1.796652246844247</v>
      </c>
      <c r="F8" s="13" t="n">
        <v>1</v>
      </c>
      <c r="G8" s="16">
        <f>F8-E8</f>
        <v/>
      </c>
      <c r="H8" s="6">
        <f>(E8-E7)/(A8-A7)</f>
        <v/>
      </c>
      <c r="I8" s="5">
        <f>IF(H8&gt;0, "ADVERSO (dp/dx &gt; 0)", "FAVORABLE")</f>
        <v/>
      </c>
    </row>
    <row r="9" ht="19" customHeight="1">
      <c r="A9" s="13" t="n">
        <v>0.1464285714285714</v>
      </c>
      <c r="B9" s="13" t="n">
        <v>-0.4850453679109856</v>
      </c>
      <c r="C9" s="13" t="n">
        <v>0.2498735487061648</v>
      </c>
      <c r="D9" s="16">
        <f>C9-B9</f>
        <v/>
      </c>
      <c r="E9" s="13" t="n">
        <v>-1.675002930176658</v>
      </c>
      <c r="F9" s="13" t="n">
        <v>1</v>
      </c>
      <c r="G9" s="16">
        <f>F9-E9</f>
        <v/>
      </c>
      <c r="H9" s="6">
        <f>(E9-E8)/(A9-A8)</f>
        <v/>
      </c>
      <c r="I9" s="5">
        <f>IF(H9&gt;0, "ADVERSO (dp/dx &gt; 0)", "FAVORABLE")</f>
        <v/>
      </c>
    </row>
    <row r="10" ht="19" customHeight="1">
      <c r="A10" s="13" t="n">
        <v>0.1666326530612245</v>
      </c>
      <c r="B10" s="13" t="n">
        <v>-0.4683054903104026</v>
      </c>
      <c r="C10" s="13" t="n">
        <v>0.2233715152036835</v>
      </c>
      <c r="D10" s="16">
        <f>C10-B10</f>
        <v/>
      </c>
      <c r="E10" s="13" t="n">
        <v>-1.571494221551857</v>
      </c>
      <c r="F10" s="13" t="n">
        <v>1</v>
      </c>
      <c r="G10" s="16">
        <f>F10-E10</f>
        <v/>
      </c>
      <c r="H10" s="6">
        <f>(E10-E9)/(A10-A9)</f>
        <v/>
      </c>
      <c r="I10" s="5">
        <f>IF(H10&gt;0, "ADVERSO (dp/dx &gt; 0)", "FAVORABLE")</f>
        <v/>
      </c>
    </row>
    <row r="11" ht="19" customHeight="1">
      <c r="A11" s="13" t="n">
        <v>0.1868367346938775</v>
      </c>
      <c r="B11" s="13" t="n">
        <v>-0.453960430068602</v>
      </c>
      <c r="C11" s="13" t="n">
        <v>0.2008900123872306</v>
      </c>
      <c r="D11" s="16">
        <f>C11-B11</f>
        <v/>
      </c>
      <c r="E11" s="13" t="n">
        <v>-1.568463609306959</v>
      </c>
      <c r="F11" s="13" t="n">
        <v>1</v>
      </c>
      <c r="G11" s="16">
        <f>F11-E11</f>
        <v/>
      </c>
      <c r="H11" s="6">
        <f>(E11-E10)/(A11-A10)</f>
        <v/>
      </c>
      <c r="I11" s="5">
        <f>IF(H11&gt;0, "ADVERSO (dp/dx &gt; 0)", "FAVORABLE")</f>
        <v/>
      </c>
    </row>
    <row r="12" ht="19" customHeight="1">
      <c r="A12" s="13" t="n">
        <v>0.2070408163265306</v>
      </c>
      <c r="B12" s="13" t="n">
        <v>-0.4413108213142853</v>
      </c>
      <c r="C12" s="13" t="n">
        <v>0.1815274698279921</v>
      </c>
      <c r="D12" s="16">
        <f>C12-B12</f>
        <v/>
      </c>
      <c r="E12" s="13" t="n">
        <v>-1.565432997062062</v>
      </c>
      <c r="F12" s="13" t="n">
        <v>1</v>
      </c>
      <c r="G12" s="16">
        <f>F12-E12</f>
        <v/>
      </c>
      <c r="H12" s="6">
        <f>(E12-E11)/(A12-A11)</f>
        <v/>
      </c>
      <c r="I12" s="5">
        <f>IF(H12&gt;0, "ADVERSO (dp/dx &gt; 0)", "FAVORABLE")</f>
        <v/>
      </c>
    </row>
    <row r="13" ht="19" customHeight="1">
      <c r="A13" s="13" t="n">
        <v>0.2272448979591837</v>
      </c>
      <c r="B13" s="13" t="n">
        <v>-0.4298822424852948</v>
      </c>
      <c r="C13" s="13" t="n">
        <v>0.1646529735433619</v>
      </c>
      <c r="D13" s="16">
        <f>C13-B13</f>
        <v/>
      </c>
      <c r="E13" s="13" t="n">
        <v>-1.562402384817164</v>
      </c>
      <c r="F13" s="13" t="n">
        <v>1</v>
      </c>
      <c r="G13" s="16">
        <f>F13-E13</f>
        <v/>
      </c>
      <c r="H13" s="6">
        <f>(E13-E12)/(A13-A12)</f>
        <v/>
      </c>
      <c r="I13" s="5">
        <f>IF(H13&gt;0, "ADVERSO (dp/dx &gt; 0)", "FAVORABLE")</f>
        <v/>
      </c>
    </row>
    <row r="14" ht="19" customHeight="1">
      <c r="A14" s="13" t="n">
        <v>0.2474489795918367</v>
      </c>
      <c r="B14" s="13" t="n">
        <v>-0.4193415969003237</v>
      </c>
      <c r="C14" s="13" t="n">
        <v>0.1498090103411121</v>
      </c>
      <c r="D14" s="16">
        <f>C14-B14</f>
        <v/>
      </c>
      <c r="E14" s="13" t="n">
        <v>-1.559371772572266</v>
      </c>
      <c r="F14" s="13" t="n">
        <v>1</v>
      </c>
      <c r="G14" s="16">
        <f>F14-E14</f>
        <v/>
      </c>
      <c r="H14" s="6">
        <f>(E14-E13)/(A14-A13)</f>
        <v/>
      </c>
      <c r="I14" s="5">
        <f>IF(H14&gt;0, "ADVERSO (dp/dx &gt; 0)", "FAVORABLE")</f>
        <v/>
      </c>
    </row>
    <row r="15" ht="19" customHeight="1">
      <c r="A15" s="13" t="n">
        <v>0.2676530612244898</v>
      </c>
      <c r="B15" s="13" t="n">
        <v>-0.409448333844372</v>
      </c>
      <c r="C15" s="13" t="n">
        <v>0.1366539189808291</v>
      </c>
      <c r="D15" s="16">
        <f>C15-B15</f>
        <v/>
      </c>
      <c r="E15" s="13" t="n">
        <v>-1.556341160327368</v>
      </c>
      <c r="F15" s="13" t="n">
        <v>0.9616509599131157</v>
      </c>
      <c r="G15" s="16">
        <f>F15-E15</f>
        <v/>
      </c>
      <c r="H15" s="6">
        <f>(E15-E14)/(A15-A14)</f>
        <v/>
      </c>
      <c r="I15" s="5">
        <f>IF(H15&gt;0, "ADVERSO (dp/dx &gt; 0)", "FAVORABLE")</f>
        <v/>
      </c>
    </row>
    <row r="16" ht="19" customHeight="1">
      <c r="A16" s="13" t="n">
        <v>0.2878571428571429</v>
      </c>
      <c r="B16" s="13" t="n">
        <v>-0.4000246123799539</v>
      </c>
      <c r="C16" s="13" t="n">
        <v>0.1249261745006828</v>
      </c>
      <c r="D16" s="16">
        <f>C16-B16</f>
        <v/>
      </c>
      <c r="E16" s="13" t="n">
        <v>-1.55331054808247</v>
      </c>
      <c r="F16" s="13" t="n">
        <v>0.9101941695031106</v>
      </c>
      <c r="G16" s="16">
        <f>F16-E16</f>
        <v/>
      </c>
      <c r="H16" s="6">
        <f>(E16-E15)/(A16-A15)</f>
        <v/>
      </c>
      <c r="I16" s="5">
        <f>IF(H16&gt;0, "ADVERSO (dp/dx &gt; 0)", "FAVORABLE")</f>
        <v/>
      </c>
    </row>
    <row r="17" ht="19" customHeight="1">
      <c r="A17" s="13" t="n">
        <v>0.3080612244897959</v>
      </c>
      <c r="B17" s="13" t="n">
        <v>-0.3909363177727904</v>
      </c>
      <c r="C17" s="13" t="n">
        <v>0.1144213250947661</v>
      </c>
      <c r="D17" s="16">
        <f>C17-B17</f>
        <v/>
      </c>
      <c r="E17" s="13" t="n">
        <v>-1.550279935837572</v>
      </c>
      <c r="F17" s="13" t="n">
        <v>0.8633209113825724</v>
      </c>
      <c r="G17" s="16">
        <f>F17-E17</f>
        <v/>
      </c>
      <c r="H17" s="6">
        <f>(E17-E16)/(A17-A16)</f>
        <v/>
      </c>
      <c r="I17" s="5">
        <f>IF(H17&gt;0, "ADVERSO (dp/dx &gt; 0)", "FAVORABLE")</f>
        <v/>
      </c>
    </row>
    <row r="18" ht="19" customHeight="1">
      <c r="A18" s="13" t="n">
        <v>0.328265306122449</v>
      </c>
      <c r="B18" s="13" t="n">
        <v>-0.3820805734325058</v>
      </c>
      <c r="C18" s="13" t="n">
        <v>0.1049765903018186</v>
      </c>
      <c r="D18" s="16">
        <f>C18-B18</f>
        <v/>
      </c>
      <c r="E18" s="13" t="n">
        <v>-1.547249323592674</v>
      </c>
      <c r="F18" s="13" t="n">
        <v>0.8203507097621581</v>
      </c>
      <c r="G18" s="16">
        <f>F18-E18</f>
        <v/>
      </c>
      <c r="H18" s="6">
        <f>(E18-E17)/(A18-A17)</f>
        <v/>
      </c>
      <c r="I18" s="5">
        <f>IF(H18&gt;0, "ADVERSO (dp/dx &gt; 0)", "FAVORABLE")</f>
        <v/>
      </c>
    </row>
    <row r="19" ht="19" customHeight="1">
      <c r="A19" s="13" t="n">
        <v>0.3484693877551021</v>
      </c>
      <c r="B19" s="13" t="n">
        <v>-0.3733772874186435</v>
      </c>
      <c r="C19" s="13" t="n">
        <v>0.09646027434989053</v>
      </c>
      <c r="D19" s="16">
        <f>C19-B19</f>
        <v/>
      </c>
      <c r="E19" s="13" t="n">
        <v>-1.544218711347776</v>
      </c>
      <c r="F19" s="13" t="n">
        <v>0.7807368263263202</v>
      </c>
      <c r="G19" s="16">
        <f>F19-E19</f>
        <v/>
      </c>
      <c r="H19" s="6">
        <f>(E19-E18)/(A19-A18)</f>
        <v/>
      </c>
      <c r="I19" s="5">
        <f>IF(H19&gt;0, "ADVERSO (dp/dx &gt; 0)", "FAVORABLE")</f>
        <v/>
      </c>
    </row>
    <row r="20" ht="19" customHeight="1">
      <c r="A20" s="13" t="n">
        <v>0.3686734693877551</v>
      </c>
      <c r="B20" s="13" t="n">
        <v>-0.3647632860235391</v>
      </c>
      <c r="C20" s="13" t="n">
        <v>0.08876430434856544</v>
      </c>
      <c r="D20" s="16">
        <f>C20-B20</f>
        <v/>
      </c>
      <c r="E20" s="13" t="n">
        <v>-1.541188099102878</v>
      </c>
      <c r="F20" s="13" t="n">
        <v>0.7440336771360417</v>
      </c>
      <c r="G20" s="16">
        <f>F20-E20</f>
        <v/>
      </c>
      <c r="H20" s="6">
        <f>(E20-E19)/(A20-A19)</f>
        <v/>
      </c>
      <c r="I20" s="5">
        <f>IF(H20&gt;0, "ADVERSO (dp/dx &gt; 0)", "FAVORABLE")</f>
        <v/>
      </c>
    </row>
    <row r="21" ht="19" customHeight="1">
      <c r="A21" s="13" t="n">
        <v>0.3888775510204082</v>
      </c>
      <c r="B21" s="13" t="n">
        <v>-0.3561881527168244</v>
      </c>
      <c r="C21" s="13" t="n">
        <v>0.08179885359455268</v>
      </c>
      <c r="D21" s="16">
        <f>C21-B21</f>
        <v/>
      </c>
      <c r="E21" s="13" t="n">
        <v>-1.53815748685798</v>
      </c>
      <c r="F21" s="13" t="n">
        <v>0.7098734343142178</v>
      </c>
      <c r="G21" s="16">
        <f>F21-E21</f>
        <v/>
      </c>
      <c r="H21" s="6">
        <f>(E21-E20)/(A21-A20)</f>
        <v/>
      </c>
      <c r="I21" s="5">
        <f>IF(H21&gt;0, "ADVERSO (dp/dx &gt; 0)", "FAVORABLE")</f>
        <v/>
      </c>
    </row>
    <row r="22" ht="19" customHeight="1">
      <c r="A22" s="13" t="n">
        <v>0.4090816326530612</v>
      </c>
      <c r="B22" s="13" t="n">
        <v>-0.3476112186978716</v>
      </c>
      <c r="C22" s="13" t="n">
        <v>0.07548839051490103</v>
      </c>
      <c r="D22" s="16">
        <f>C22-B22</f>
        <v/>
      </c>
      <c r="E22" s="13" t="n">
        <v>-1.535126874613082</v>
      </c>
      <c r="F22" s="13" t="n">
        <v>0.6779488901858399</v>
      </c>
      <c r="G22" s="16">
        <f>F22-E22</f>
        <v/>
      </c>
      <c r="H22" s="6">
        <f>(E22-E21)/(A22-A21)</f>
        <v/>
      </c>
      <c r="I22" s="5">
        <f>IF(H22&gt;0, "ADVERSO (dp/dx &gt; 0)", "FAVORABLE")</f>
        <v/>
      </c>
    </row>
    <row r="23" ht="19" customHeight="1">
      <c r="A23" s="13" t="n">
        <v>0.4292857142857143</v>
      </c>
      <c r="B23" s="13" t="n">
        <v>-0.338999347764258</v>
      </c>
      <c r="C23" s="13" t="n">
        <v>0.06976872348110731</v>
      </c>
      <c r="D23" s="16">
        <f>C23-B23</f>
        <v/>
      </c>
      <c r="E23" s="13" t="n">
        <v>-1.532096262368184</v>
      </c>
      <c r="F23" s="13" t="n">
        <v>0.6480006837755951</v>
      </c>
      <c r="G23" s="16">
        <f>F23-E23</f>
        <v/>
      </c>
      <c r="H23" s="6">
        <f>(E23-E22)/(A23-A22)</f>
        <v/>
      </c>
      <c r="I23" s="5">
        <f>IF(H23&gt;0, "ADVERSO (dp/dx &gt; 0)", "FAVORABLE")</f>
        <v/>
      </c>
    </row>
    <row r="24" ht="19" customHeight="1">
      <c r="A24" s="13" t="n">
        <v>0.4494897959183674</v>
      </c>
      <c r="B24" s="13" t="n">
        <v>-0.3303252793461331</v>
      </c>
      <c r="C24" s="13" t="n">
        <v>0.06458475457918547</v>
      </c>
      <c r="D24" s="16">
        <f>C24-B24</f>
        <v/>
      </c>
      <c r="E24" s="13" t="n">
        <v>-1.529065650123286</v>
      </c>
      <c r="F24" s="13" t="n">
        <v>0.6198076240221279</v>
      </c>
      <c r="G24" s="16">
        <f>F24-E24</f>
        <v/>
      </c>
      <c r="H24" s="6">
        <f>(E24-E23)/(A24-A23)</f>
        <v/>
      </c>
      <c r="I24" s="5">
        <f>IF(H24&gt;0, "ADVERSO (dp/dx &gt; 0)", "FAVORABLE")</f>
        <v/>
      </c>
    </row>
    <row r="25" ht="19" customHeight="1">
      <c r="A25" s="13" t="n">
        <v>0.4696938775510204</v>
      </c>
      <c r="B25" s="13" t="n">
        <v>-0.3215663701893889</v>
      </c>
      <c r="C25" s="13" t="n">
        <v>0.05988874657081698</v>
      </c>
      <c r="D25" s="16">
        <f>C25-B25</f>
        <v/>
      </c>
      <c r="E25" s="13" t="n">
        <v>-1.526035037878388</v>
      </c>
      <c r="F25" s="13" t="n">
        <v>0.593179248095803</v>
      </c>
      <c r="G25" s="16">
        <f>F25-E25</f>
        <v/>
      </c>
      <c r="H25" s="6">
        <f>(E25-E24)/(A25-A24)</f>
        <v/>
      </c>
      <c r="I25" s="5">
        <f>IF(H25&gt;0, "ADVERSO (dp/dx &gt; 0)", "FAVORABLE")</f>
        <v/>
      </c>
    </row>
    <row r="26" ht="19" customHeight="1">
      <c r="A26" s="13" t="n">
        <v>0.4898979591836735</v>
      </c>
      <c r="B26" s="13" t="n">
        <v>-0.312703624756796</v>
      </c>
      <c r="C26" s="13" t="n">
        <v>0.05563896678246938</v>
      </c>
      <c r="D26" s="16">
        <f>C26-B26</f>
        <v/>
      </c>
      <c r="E26" s="13" t="n">
        <v>-1.52300442563349</v>
      </c>
      <c r="F26" s="13" t="n">
        <v>0.5679500164212322</v>
      </c>
      <c r="G26" s="16">
        <f>F26-E26</f>
        <v/>
      </c>
      <c r="H26" s="6">
        <f>(E26-E25)/(A26-A25)</f>
        <v/>
      </c>
      <c r="I26" s="5">
        <f>IF(H26&gt;0, "ADVERSO (dp/dx &gt; 0)", "FAVORABLE")</f>
        <v/>
      </c>
    </row>
    <row r="27" ht="19" customHeight="1">
      <c r="A27" s="13" t="n">
        <v>0.5101020408163265</v>
      </c>
      <c r="B27" s="13" t="n">
        <v>-0.3037209371449009</v>
      </c>
      <c r="C27" s="13" t="n">
        <v>0.05179861129106181</v>
      </c>
      <c r="D27" s="16">
        <f>C27-B27</f>
        <v/>
      </c>
      <c r="E27" s="13" t="n">
        <v>-1.519973813388592</v>
      </c>
      <c r="F27" s="13" t="n">
        <v>0.5439747209612165</v>
      </c>
      <c r="G27" s="16">
        <f>F27-E27</f>
        <v/>
      </c>
      <c r="H27" s="6">
        <f>(E27-E26)/(A27-A26)</f>
        <v/>
      </c>
      <c r="I27" s="5">
        <f>IF(H27&gt;0, "ADVERSO (dp/dx &gt; 0)", "FAVORABLE")</f>
        <v/>
      </c>
    </row>
    <row r="28" ht="19" customHeight="1">
      <c r="A28" s="13" t="n">
        <v>0.5303061224489796</v>
      </c>
      <c r="B28" s="13" t="n">
        <v>-0.2946044892864316</v>
      </c>
      <c r="C28" s="13" t="n">
        <v>0.04833493963620486</v>
      </c>
      <c r="D28" s="16">
        <f>C28-B28</f>
        <v/>
      </c>
      <c r="E28" s="13" t="n">
        <v>-1.516943201143694</v>
      </c>
      <c r="F28" s="13" t="n">
        <v>0.5211248016448048</v>
      </c>
      <c r="G28" s="16">
        <f>F28-E28</f>
        <v/>
      </c>
      <c r="H28" s="6">
        <f>(E28-E27)/(A28-A27)</f>
        <v/>
      </c>
      <c r="I28" s="5">
        <f>IF(H28&gt;0, "ADVERSO (dp/dx &gt; 0)", "FAVORABLE")</f>
        <v/>
      </c>
    </row>
    <row r="29" ht="19" customHeight="1">
      <c r="A29" s="13" t="n">
        <v>0.5505102040816326</v>
      </c>
      <c r="B29" s="13" t="n">
        <v>-0.2853422651595003</v>
      </c>
      <c r="C29" s="13" t="n">
        <v>0.04521856875862018</v>
      </c>
      <c r="D29" s="16">
        <f>C29-B29</f>
        <v/>
      </c>
      <c r="E29" s="13" t="n">
        <v>-1.513912588898796</v>
      </c>
      <c r="F29" s="13" t="n">
        <v>0.4992853469930152</v>
      </c>
      <c r="G29" s="16">
        <f>F29-E29</f>
        <v/>
      </c>
      <c r="H29" s="6">
        <f>(E29-E28)/(A29-A28)</f>
        <v/>
      </c>
      <c r="I29" s="5">
        <f>IF(H29&gt;0, "ADVERSO (dp/dx &gt; 0)", "FAVORABLE")</f>
        <v/>
      </c>
    </row>
    <row r="30" ht="19" customHeight="1">
      <c r="A30" s="13" t="n">
        <v>0.5707142857142857</v>
      </c>
      <c r="B30" s="13" t="n">
        <v>-0.2759236509872245</v>
      </c>
      <c r="C30" s="13" t="n">
        <v>0.04242288769444844</v>
      </c>
      <c r="D30" s="16">
        <f>C30-B30</f>
        <v/>
      </c>
      <c r="E30" s="13" t="n">
        <v>-1.510881976653898</v>
      </c>
      <c r="F30" s="13" t="n">
        <v>0.4783526112322617</v>
      </c>
      <c r="G30" s="16">
        <f>F30-E30</f>
        <v/>
      </c>
      <c r="H30" s="6">
        <f>(E30-E29)/(A30-A29)</f>
        <v/>
      </c>
      <c r="I30" s="5">
        <f>IF(H30&gt;0, "ADVERSO (dp/dx &gt; 0)", "FAVORABLE")</f>
        <v/>
      </c>
    </row>
    <row r="31" ht="19" customHeight="1">
      <c r="A31" s="13" t="n">
        <v>0.5909183673469388</v>
      </c>
      <c r="B31" s="13" t="n">
        <v>-0.266339098457843</v>
      </c>
      <c r="C31" s="13" t="n">
        <v>0.03992356350054813</v>
      </c>
      <c r="D31" s="16">
        <f>C31-B31</f>
        <v/>
      </c>
      <c r="E31" s="13" t="n">
        <v>-1.507851364409</v>
      </c>
      <c r="F31" s="13" t="n">
        <v>0.4582319192634331</v>
      </c>
      <c r="G31" s="16">
        <f>F31-E31</f>
        <v/>
      </c>
      <c r="H31" s="6">
        <f>(E31-E30)/(A31-A30)</f>
        <v/>
      </c>
      <c r="I31" s="5">
        <f>IF(H31&gt;0, "ADVERSO (dp/dx &gt; 0)", "FAVORABLE")</f>
        <v/>
      </c>
    </row>
    <row r="32" ht="19" customHeight="1">
      <c r="A32" s="13" t="n">
        <v>0.6111224489795918</v>
      </c>
      <c r="B32" s="13" t="n">
        <v>-0.2565798327589258</v>
      </c>
      <c r="C32" s="13" t="n">
        <v>0.0376981150708086</v>
      </c>
      <c r="D32" s="16">
        <f>C32-B32</f>
        <v/>
      </c>
      <c r="E32" s="13" t="n">
        <v>-1.504820752164102</v>
      </c>
      <c r="F32" s="13" t="n">
        <v>0.4388358577422981</v>
      </c>
      <c r="G32" s="16">
        <f>F32-E32</f>
        <v/>
      </c>
      <c r="H32" s="6">
        <f>(E32-E31)/(A32-A31)</f>
        <v/>
      </c>
      <c r="I32" s="5">
        <f>IF(H32&gt;0, "ADVERSO (dp/dx &gt; 0)", "FAVORABLE")</f>
        <v/>
      </c>
    </row>
    <row r="33" ht="19" customHeight="1">
      <c r="A33" s="13" t="n">
        <v>0.6313265306122449</v>
      </c>
      <c r="B33" s="13" t="n">
        <v>-0.2466375902774135</v>
      </c>
      <c r="C33" s="13" t="n">
        <v>0.03572553563750362</v>
      </c>
      <c r="D33" s="16">
        <f>C33-B33</f>
        <v/>
      </c>
      <c r="E33" s="13" t="n">
        <v>-1.501790139919204</v>
      </c>
      <c r="F33" s="13" t="n">
        <v>0.4200826683466787</v>
      </c>
      <c r="G33" s="16">
        <f>F33-E33</f>
        <v/>
      </c>
      <c r="H33" s="6">
        <f>(E33-E32)/(A33-A32)</f>
        <v/>
      </c>
      <c r="I33" s="5">
        <f>IF(H33&gt;0, "ADVERSO (dp/dx &gt; 0)", "FAVORABLE")</f>
        <v/>
      </c>
    </row>
    <row r="34" ht="19" customHeight="1">
      <c r="A34" s="13" t="n">
        <v>0.6515306122448979</v>
      </c>
      <c r="B34" s="13" t="n">
        <v>-0.2365043724962394</v>
      </c>
      <c r="C34" s="13" t="n">
        <v>0.03398594725351561</v>
      </c>
      <c r="D34" s="16">
        <f>C34-B34</f>
        <v/>
      </c>
      <c r="E34" s="13" t="n">
        <v>-1.498759527674306</v>
      </c>
      <c r="F34" s="13" t="n">
        <v>0.4018947698824676</v>
      </c>
      <c r="G34" s="16">
        <f>F34-E34</f>
        <v/>
      </c>
      <c r="H34" s="6">
        <f>(E34-E33)/(A34-A33)</f>
        <v/>
      </c>
      <c r="I34" s="5">
        <f>IF(H34&gt;0, "ADVERSO (dp/dx &gt; 0)", "FAVORABLE")</f>
        <v/>
      </c>
    </row>
    <row r="35" ht="19" customHeight="1">
      <c r="A35" s="13" t="n">
        <v>0.671734693877551</v>
      </c>
      <c r="B35" s="13" t="n">
        <v>-0.2261722030430307</v>
      </c>
      <c r="C35" s="13" t="n">
        <v>0.03246027161131596</v>
      </c>
      <c r="D35" s="16">
        <f>C35-B35</f>
        <v/>
      </c>
      <c r="E35" s="13" t="n">
        <v>-1.495728915429408</v>
      </c>
      <c r="F35" s="13" t="n">
        <v>0.3841973400156582</v>
      </c>
      <c r="G35" s="16">
        <f>F35-E35</f>
        <v/>
      </c>
      <c r="H35" s="6">
        <f>(E35-E34)/(A35-A34)</f>
        <v/>
      </c>
      <c r="I35" s="5">
        <f>IF(H35&gt;0, "ADVERSO (dp/dx &gt; 0)", "FAVORABLE")</f>
        <v/>
      </c>
    </row>
    <row r="36" ht="19" customHeight="1">
      <c r="A36" s="13" t="n">
        <v>0.6919387755102041</v>
      </c>
      <c r="B36" s="13" t="n">
        <v>-0.2156328739457581</v>
      </c>
      <c r="C36" s="13" t="n">
        <v>0.03112990114890105</v>
      </c>
      <c r="D36" s="16">
        <f>C36-B36</f>
        <v/>
      </c>
      <c r="E36" s="13" t="n">
        <v>-1.49269830318451</v>
      </c>
      <c r="F36" s="13" t="n">
        <v>0.366916884943203</v>
      </c>
      <c r="G36" s="16">
        <f>F36-E36</f>
        <v/>
      </c>
      <c r="H36" s="6">
        <f>(E36-E35)/(A36-A35)</f>
        <v/>
      </c>
      <c r="I36" s="5">
        <f>IF(H36&gt;0, "ADVERSO (dp/dx &gt; 0)", "FAVORABLE")</f>
        <v/>
      </c>
    </row>
    <row r="37" ht="19" customHeight="1">
      <c r="A37" s="13" t="n">
        <v>0.7121428571428571</v>
      </c>
      <c r="B37" s="13" t="n">
        <v>-0.2048776646139189</v>
      </c>
      <c r="C37" s="13" t="n">
        <v>0.02997635224542466</v>
      </c>
      <c r="D37" s="16">
        <f>C37-B37</f>
        <v/>
      </c>
      <c r="E37" s="13" t="n">
        <v>-1.489667690939612</v>
      </c>
      <c r="F37" s="13" t="n">
        <v>0.3499797149136862</v>
      </c>
      <c r="G37" s="16">
        <f>F37-E37</f>
        <v/>
      </c>
      <c r="H37" s="6">
        <f>(E37-E36)/(A37-A36)</f>
        <v/>
      </c>
      <c r="I37" s="5">
        <f>IF(H37&gt;0, "ADVERSO (dp/dx &gt; 0)", "FAVORABLE")</f>
        <v/>
      </c>
    </row>
    <row r="38" ht="19" customHeight="1">
      <c r="A38" s="13" t="n">
        <v>0.7323469387755102</v>
      </c>
      <c r="B38" s="13" t="n">
        <v>-0.1938970122280613</v>
      </c>
      <c r="C38" s="13" t="n">
        <v>0.02898087778134235</v>
      </c>
      <c r="D38" s="16">
        <f>C38-B38</f>
        <v/>
      </c>
      <c r="E38" s="13" t="n">
        <v>-1.486637078694715</v>
      </c>
      <c r="F38" s="13" t="n">
        <v>0.3333102221951604</v>
      </c>
      <c r="G38" s="16">
        <f>F38-E38</f>
        <v/>
      </c>
      <c r="H38" s="6">
        <f>(E38-E37)/(A38-A37)</f>
        <v/>
      </c>
      <c r="I38" s="5">
        <f>IF(H38&gt;0, "ADVERSO (dp/dx &gt; 0)", "FAVORABLE")</f>
        <v/>
      </c>
    </row>
    <row r="39" ht="19" customHeight="1">
      <c r="A39" s="13" t="n">
        <v>0.7525510204081632</v>
      </c>
      <c r="B39" s="13" t="n">
        <v>-0.1826801038268894</v>
      </c>
      <c r="C39" s="13" t="n">
        <v>0.02812400818983771</v>
      </c>
      <c r="D39" s="16">
        <f>C39-B39</f>
        <v/>
      </c>
      <c r="E39" s="13" t="n">
        <v>-1.483606466449817</v>
      </c>
      <c r="F39" s="13" t="n">
        <v>0.3168288201061036</v>
      </c>
      <c r="G39" s="16">
        <f>F39-E39</f>
        <v/>
      </c>
      <c r="H39" s="6">
        <f>(E39-E38)/(A39-A38)</f>
        <v/>
      </c>
      <c r="I39" s="5">
        <f>IF(H39&gt;0, "ADVERSO (dp/dx &gt; 0)", "FAVORABLE")</f>
        <v/>
      </c>
    </row>
    <row r="40" ht="19" customHeight="1">
      <c r="A40" s="13" t="n">
        <v>0.7727551020408163</v>
      </c>
      <c r="B40" s="13" t="n">
        <v>-0.1712143460858553</v>
      </c>
      <c r="C40" s="13" t="n">
        <v>0.02738497602814873</v>
      </c>
      <c r="D40" s="16">
        <f>C40-B40</f>
        <v/>
      </c>
      <c r="E40" s="13" t="n">
        <v>-1.480575854204919</v>
      </c>
      <c r="F40" s="13" t="n">
        <v>0.3004493362832499</v>
      </c>
      <c r="G40" s="16">
        <f>F40-E40</f>
        <v/>
      </c>
      <c r="H40" s="6">
        <f>(E40-E39)/(A40-A39)</f>
        <v/>
      </c>
      <c r="I40" s="5">
        <f>IF(H40&gt;0, "ADVERSO (dp/dx &gt; 0)", "FAVORABLE")</f>
        <v/>
      </c>
    </row>
    <row r="41" ht="19" customHeight="1">
      <c r="A41" s="13" t="n">
        <v>0.7929591836734694</v>
      </c>
      <c r="B41" s="13" t="n">
        <v>-0.1594846441315904</v>
      </c>
      <c r="C41" s="13" t="n">
        <v>0.02674095460722357</v>
      </c>
      <c r="D41" s="16">
        <f>C41-B41</f>
        <v/>
      </c>
      <c r="E41" s="13" t="n">
        <v>-1.477545241960021</v>
      </c>
      <c r="F41" s="13" t="n">
        <v>0.2840755399003524</v>
      </c>
      <c r="G41" s="16">
        <f>F41-E41</f>
        <v/>
      </c>
      <c r="H41" s="6">
        <f>(E41-E40)/(A41-A40)</f>
        <v/>
      </c>
      <c r="I41" s="5">
        <f>IF(H41&gt;0, "ADVERSO (dp/dx &gt; 0)", "FAVORABLE")</f>
        <v/>
      </c>
    </row>
    <row r="42" ht="19" customHeight="1">
      <c r="A42" s="13" t="n">
        <v>0.8131632653061224</v>
      </c>
      <c r="B42" s="13" t="n">
        <v>-0.1474723769479261</v>
      </c>
      <c r="C42" s="13" t="n">
        <v>0.0261659975591426</v>
      </c>
      <c r="D42" s="16">
        <f>C42-B42</f>
        <v/>
      </c>
      <c r="E42" s="13" t="n">
        <v>-1.474514629715123</v>
      </c>
      <c r="F42" s="13" t="n">
        <v>0.2675962804724813</v>
      </c>
      <c r="G42" s="16">
        <f>F42-E42</f>
        <v/>
      </c>
      <c r="H42" s="6">
        <f>(E42-E41)/(A42-A41)</f>
        <v/>
      </c>
      <c r="I42" s="5">
        <f>IF(H42&gt;0, "ADVERSO (dp/dx &gt; 0)", "FAVORABLE")</f>
        <v/>
      </c>
    </row>
    <row r="43" ht="19" customHeight="1">
      <c r="A43" s="13" t="n">
        <v>0.8333673469387755</v>
      </c>
      <c r="B43" s="13" t="n">
        <v>-0.1351538757687974</v>
      </c>
      <c r="C43" s="13" t="n">
        <v>0.02562948516729641</v>
      </c>
      <c r="D43" s="16">
        <f>C43-B43</f>
        <v/>
      </c>
      <c r="E43" s="13" t="n">
        <v>-1.471484017470225</v>
      </c>
      <c r="F43" s="13" t="n">
        <v>0.2508783408755595</v>
      </c>
      <c r="G43" s="16">
        <f>F43-E43</f>
        <v/>
      </c>
      <c r="H43" s="6">
        <f>(E43-E42)/(A43-A42)</f>
        <v/>
      </c>
      <c r="I43" s="5">
        <f>IF(H43&gt;0, "ADVERSO (dp/dx &gt; 0)", "FAVORABLE")</f>
        <v/>
      </c>
    </row>
    <row r="44" ht="19" customHeight="1">
      <c r="A44" s="13" t="n">
        <v>0.8535714285714285</v>
      </c>
      <c r="B44" s="13" t="n">
        <v>-0.1224980530319765</v>
      </c>
      <c r="C44" s="13" t="n">
        <v>0.0250937245501421</v>
      </c>
      <c r="D44" s="16">
        <f>C44-B44</f>
        <v/>
      </c>
      <c r="E44" s="13" t="n">
        <v>-1.468453405225327</v>
      </c>
      <c r="F44" s="13" t="n">
        <v>0.2337553729599571</v>
      </c>
      <c r="G44" s="16">
        <f>F44-E44</f>
        <v/>
      </c>
      <c r="H44" s="6">
        <f>(E44-E43)/(A44-A43)</f>
        <v/>
      </c>
      <c r="I44" s="5">
        <f>IF(H44&gt;0, "ADVERSO (dp/dx &gt; 0)", "FAVORABLE")</f>
        <v/>
      </c>
    </row>
    <row r="45" ht="19" customHeight="1">
      <c r="A45" s="13" t="n">
        <v>0.8737755102040816</v>
      </c>
      <c r="B45" s="13" t="n">
        <v>-0.1094624968578422</v>
      </c>
      <c r="C45" s="13" t="n">
        <v>0.0245100182516953</v>
      </c>
      <c r="D45" s="16">
        <f>C45-B45</f>
        <v/>
      </c>
      <c r="E45" s="13" t="n">
        <v>-1.465422792980429</v>
      </c>
      <c r="F45" s="13" t="n">
        <v>0.216009746063185</v>
      </c>
      <c r="G45" s="16">
        <f>F45-E45</f>
        <v/>
      </c>
      <c r="H45" s="6">
        <f>(E45-E44)/(A45-A44)</f>
        <v/>
      </c>
      <c r="I45" s="5">
        <f>IF(H45&gt;0, "ADVERSO (dp/dx &gt; 0)", "FAVORABLE")</f>
        <v/>
      </c>
    </row>
    <row r="46" ht="19" customHeight="1">
      <c r="A46" s="13" t="n">
        <v>0.8939795918367347</v>
      </c>
      <c r="B46" s="13" t="n">
        <v>-0.09598658732392559</v>
      </c>
      <c r="C46" s="13" t="n">
        <v>0.02381175715832012</v>
      </c>
      <c r="D46" s="16">
        <f>C46-B46</f>
        <v/>
      </c>
      <c r="E46" s="13" t="n">
        <v>-1.462392180735531</v>
      </c>
      <c r="F46" s="13" t="n">
        <v>0.1973406299740038</v>
      </c>
      <c r="G46" s="16">
        <f>F46-E46</f>
        <v/>
      </c>
      <c r="H46" s="6">
        <f>(E46-E45)/(A46-A45)</f>
        <v/>
      </c>
      <c r="I46" s="5">
        <f>IF(H46&gt;0, "ADVERSO (dp/dx &gt; 0)", "FAVORABLE")</f>
        <v/>
      </c>
    </row>
    <row r="47" ht="19" customHeight="1">
      <c r="A47" s="13" t="n">
        <v>0.9141836734693878</v>
      </c>
      <c r="B47" s="13" t="n">
        <v>-0.08197825803585855</v>
      </c>
      <c r="C47" s="13" t="n">
        <v>0.02290116094123923</v>
      </c>
      <c r="D47" s="16">
        <f>C47-B47</f>
        <v/>
      </c>
      <c r="E47" s="13" t="n">
        <v>-1.459361568490633</v>
      </c>
      <c r="F47" s="13" t="n">
        <v>0.1773026950092298</v>
      </c>
      <c r="G47" s="16">
        <f>F47-E47</f>
        <v/>
      </c>
      <c r="H47" s="6">
        <f>(E47-E46)/(A47-A46)</f>
        <v/>
      </c>
      <c r="I47" s="5">
        <f>IF(H47&gt;0, "ADVERSO (dp/dx &gt; 0)", "FAVORABLE")</f>
        <v/>
      </c>
    </row>
    <row r="48" ht="19" customHeight="1">
      <c r="A48" s="13" t="n">
        <v>0.9343877551020408</v>
      </c>
      <c r="B48" s="13" t="n">
        <v>-0.06728530981036693</v>
      </c>
      <c r="C48" s="13" t="n">
        <v>0.02162057258109262</v>
      </c>
      <c r="D48" s="16">
        <f>C48-B48</f>
        <v/>
      </c>
      <c r="E48" s="13" t="n">
        <v>-1.456330956245735</v>
      </c>
      <c r="F48" s="13" t="n">
        <v>0.1551733723395932</v>
      </c>
      <c r="G48" s="16">
        <f>F48-E48</f>
        <v/>
      </c>
      <c r="H48" s="6">
        <f>(E48-E47)/(A48-A47)</f>
        <v/>
      </c>
      <c r="I48" s="5">
        <f>IF(H48&gt;0, "ADVERSO (dp/dx &gt; 0)", "FAVORABLE")</f>
        <v/>
      </c>
    </row>
    <row r="49" ht="19" customHeight="1">
      <c r="A49" s="13" t="n">
        <v>0.9545918367346938</v>
      </c>
      <c r="B49" s="13" t="n">
        <v>-0.0516211807825538</v>
      </c>
      <c r="C49" s="13" t="n">
        <v>0.01967821106274984</v>
      </c>
      <c r="D49" s="16">
        <f>C49-B49</f>
        <v/>
      </c>
      <c r="E49" s="13" t="n">
        <v>-1.453300344000837</v>
      </c>
      <c r="F49" s="13" t="n">
        <v>0.1296094812433145</v>
      </c>
      <c r="G49" s="16">
        <f>F49-E49</f>
        <v/>
      </c>
      <c r="H49" s="6">
        <f>(E49-E48)/(A49-A48)</f>
        <v/>
      </c>
      <c r="I49" s="5">
        <f>IF(H49&gt;0, "ADVERSO (dp/dx &gt; 0)", "FAVORABLE")</f>
        <v/>
      </c>
    </row>
    <row r="50" ht="19" customHeight="1">
      <c r="A50" s="13" t="n">
        <v>0.9747959183673469</v>
      </c>
      <c r="B50" s="13" t="n">
        <v>-0.03430449235747748</v>
      </c>
      <c r="C50" s="13" t="n">
        <v>0.01638770146614961</v>
      </c>
      <c r="D50" s="16">
        <f>C50-B50</f>
        <v/>
      </c>
      <c r="E50" s="13" t="n">
        <v>-1.450269731755939</v>
      </c>
      <c r="F50" s="13" t="n">
        <v>0.09744257494129646</v>
      </c>
      <c r="G50" s="16">
        <f>F50-E50</f>
        <v/>
      </c>
      <c r="H50" s="6">
        <f>(E50-E49)/(A50-A49)</f>
        <v/>
      </c>
      <c r="I50" s="5">
        <f>IF(H50&gt;0, "ADVERSO (dp/dx &gt; 0)", "FAVORABLE")</f>
        <v/>
      </c>
    </row>
    <row r="51" ht="19" customHeight="1">
      <c r="A51" s="13" t="n">
        <v>0.995</v>
      </c>
      <c r="B51" s="13" t="n">
        <v>-0.01225228930584089</v>
      </c>
      <c r="C51" s="13" t="n">
        <v>0.00866130058405409</v>
      </c>
      <c r="D51" s="16">
        <f>C51-B51</f>
        <v/>
      </c>
      <c r="E51" s="13" t="n">
        <v>-1.447239119511041</v>
      </c>
      <c r="F51" s="13" t="n">
        <v>0.04439762657340922</v>
      </c>
      <c r="G51" s="16">
        <f>F51-E51</f>
        <v/>
      </c>
      <c r="H51" s="6">
        <f>(E51-E50)/(A51-A50)</f>
        <v/>
      </c>
      <c r="I51" s="5">
        <f>IF(H51&gt;0, "ADVERSO (dp/dx &gt; 0)", "FAVORABLE")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3" customWidth="1" min="3" max="3"/>
    <col width="22" customWidth="1" min="4" max="4"/>
    <col width="24" customWidth="1" min="5" max="5"/>
    <col width="21" customWidth="1" min="6" max="6"/>
    <col width="31" customWidth="1" min="7" max="7"/>
    <col width="28" customWidth="1" min="8" max="8"/>
  </cols>
  <sheetData>
    <row r="1" ht="26" customHeight="1">
      <c r="A1" s="11" t="inlineStr">
        <is>
          <t>Adimensional η = y/δ</t>
        </is>
      </c>
      <c r="B1" s="11" t="inlineStr">
        <is>
          <t>Perfil Base F(η)</t>
        </is>
      </c>
      <c r="C1" s="11" t="inlineStr">
        <is>
          <t>Forma G(η)</t>
        </is>
      </c>
      <c r="D1" s="11" t="inlineStr">
        <is>
          <t>Adherido (Λ = +2.0)</t>
        </is>
      </c>
      <c r="E1" s="11" t="inlineStr">
        <is>
          <t>Placa Plana (Λ = 0.0)</t>
        </is>
      </c>
      <c r="F1" s="11" t="inlineStr">
        <is>
          <t>Frenado (Λ = -6.0)</t>
        </is>
      </c>
      <c r="G1" s="11" t="inlineStr">
        <is>
          <t>PUNTO SEPARACIÓN (Λ = -12.0)</t>
        </is>
      </c>
      <c r="H1" s="11" t="inlineStr">
        <is>
          <t>Flujo Inverso (Λ = -15.0)</t>
        </is>
      </c>
    </row>
    <row r="2" ht="19" customHeight="1">
      <c r="A2" s="13" t="n">
        <v>0</v>
      </c>
      <c r="B2" s="21">
        <f>2*A2-2*POWER(A2,3)+POWER(A2,4)</f>
        <v/>
      </c>
      <c r="C2" s="21">
        <f>(A2*POWER(1-A2,3))/6</f>
        <v/>
      </c>
      <c r="D2" s="13">
        <f>B2+2*C2</f>
        <v/>
      </c>
      <c r="E2" s="13">
        <f>B2</f>
        <v/>
      </c>
      <c r="F2" s="13">
        <f>B2-6*C2</f>
        <v/>
      </c>
      <c r="G2" s="14">
        <f>B2-12*C2</f>
        <v/>
      </c>
      <c r="H2" s="40">
        <f>B2-15*C2</f>
        <v/>
      </c>
    </row>
    <row r="3" ht="19" customHeight="1">
      <c r="A3" s="13" t="n">
        <v>0.025</v>
      </c>
      <c r="B3" s="21">
        <f>2*A3-2*POWER(A3,3)+POWER(A3,4)</f>
        <v/>
      </c>
      <c r="C3" s="21">
        <f>(A3*POWER(1-A3,3))/6</f>
        <v/>
      </c>
      <c r="D3" s="13">
        <f>B3+2*C3</f>
        <v/>
      </c>
      <c r="E3" s="13">
        <f>B3</f>
        <v/>
      </c>
      <c r="F3" s="13">
        <f>B3-6*C3</f>
        <v/>
      </c>
      <c r="G3" s="14">
        <f>B3-12*C3</f>
        <v/>
      </c>
      <c r="H3" s="40">
        <f>B3-15*C3</f>
        <v/>
      </c>
    </row>
    <row r="4" ht="19" customHeight="1">
      <c r="A4" s="13" t="n">
        <v>0.05</v>
      </c>
      <c r="B4" s="21">
        <f>2*A4-2*POWER(A4,3)+POWER(A4,4)</f>
        <v/>
      </c>
      <c r="C4" s="21">
        <f>(A4*POWER(1-A4,3))/6</f>
        <v/>
      </c>
      <c r="D4" s="13">
        <f>B4+2*C4</f>
        <v/>
      </c>
      <c r="E4" s="13">
        <f>B4</f>
        <v/>
      </c>
      <c r="F4" s="13">
        <f>B4-6*C4</f>
        <v/>
      </c>
      <c r="G4" s="14">
        <f>B4-12*C4</f>
        <v/>
      </c>
      <c r="H4" s="40">
        <f>B4-15*C4</f>
        <v/>
      </c>
    </row>
    <row r="5" ht="19" customHeight="1">
      <c r="A5" s="13" t="n">
        <v>0.07500000000000001</v>
      </c>
      <c r="B5" s="21">
        <f>2*A5-2*POWER(A5,3)+POWER(A5,4)</f>
        <v/>
      </c>
      <c r="C5" s="21">
        <f>(A5*POWER(1-A5,3))/6</f>
        <v/>
      </c>
      <c r="D5" s="13">
        <f>B5+2*C5</f>
        <v/>
      </c>
      <c r="E5" s="13">
        <f>B5</f>
        <v/>
      </c>
      <c r="F5" s="13">
        <f>B5-6*C5</f>
        <v/>
      </c>
      <c r="G5" s="14">
        <f>B5-12*C5</f>
        <v/>
      </c>
      <c r="H5" s="40">
        <f>B5-15*C5</f>
        <v/>
      </c>
    </row>
    <row r="6" ht="19" customHeight="1">
      <c r="A6" s="13" t="n">
        <v>0.1</v>
      </c>
      <c r="B6" s="21">
        <f>2*A6-2*POWER(A6,3)+POWER(A6,4)</f>
        <v/>
      </c>
      <c r="C6" s="21">
        <f>(A6*POWER(1-A6,3))/6</f>
        <v/>
      </c>
      <c r="D6" s="13">
        <f>B6+2*C6</f>
        <v/>
      </c>
      <c r="E6" s="13">
        <f>B6</f>
        <v/>
      </c>
      <c r="F6" s="13">
        <f>B6-6*C6</f>
        <v/>
      </c>
      <c r="G6" s="14">
        <f>B6-12*C6</f>
        <v/>
      </c>
      <c r="H6" s="40">
        <f>B6-15*C6</f>
        <v/>
      </c>
    </row>
    <row r="7" ht="19" customHeight="1">
      <c r="A7" s="13" t="n">
        <v>0.125</v>
      </c>
      <c r="B7" s="21">
        <f>2*A7-2*POWER(A7,3)+POWER(A7,4)</f>
        <v/>
      </c>
      <c r="C7" s="21">
        <f>(A7*POWER(1-A7,3))/6</f>
        <v/>
      </c>
      <c r="D7" s="13">
        <f>B7+2*C7</f>
        <v/>
      </c>
      <c r="E7" s="13">
        <f>B7</f>
        <v/>
      </c>
      <c r="F7" s="13">
        <f>B7-6*C7</f>
        <v/>
      </c>
      <c r="G7" s="14">
        <f>B7-12*C7</f>
        <v/>
      </c>
      <c r="H7" s="40">
        <f>B7-15*C7</f>
        <v/>
      </c>
    </row>
    <row r="8" ht="19" customHeight="1">
      <c r="A8" s="13" t="n">
        <v>0.15</v>
      </c>
      <c r="B8" s="21">
        <f>2*A8-2*POWER(A8,3)+POWER(A8,4)</f>
        <v/>
      </c>
      <c r="C8" s="21">
        <f>(A8*POWER(1-A8,3))/6</f>
        <v/>
      </c>
      <c r="D8" s="13">
        <f>B8+2*C8</f>
        <v/>
      </c>
      <c r="E8" s="13">
        <f>B8</f>
        <v/>
      </c>
      <c r="F8" s="13">
        <f>B8-6*C8</f>
        <v/>
      </c>
      <c r="G8" s="14">
        <f>B8-12*C8</f>
        <v/>
      </c>
      <c r="H8" s="40">
        <f>B8-15*C8</f>
        <v/>
      </c>
    </row>
    <row r="9" ht="19" customHeight="1">
      <c r="A9" s="13" t="n">
        <v>0.175</v>
      </c>
      <c r="B9" s="21">
        <f>2*A9-2*POWER(A9,3)+POWER(A9,4)</f>
        <v/>
      </c>
      <c r="C9" s="21">
        <f>(A9*POWER(1-A9,3))/6</f>
        <v/>
      </c>
      <c r="D9" s="13">
        <f>B9+2*C9</f>
        <v/>
      </c>
      <c r="E9" s="13">
        <f>B9</f>
        <v/>
      </c>
      <c r="F9" s="13">
        <f>B9-6*C9</f>
        <v/>
      </c>
      <c r="G9" s="14">
        <f>B9-12*C9</f>
        <v/>
      </c>
      <c r="H9" s="40">
        <f>B9-15*C9</f>
        <v/>
      </c>
    </row>
    <row r="10" ht="19" customHeight="1">
      <c r="A10" s="13" t="n">
        <v>0.2</v>
      </c>
      <c r="B10" s="21">
        <f>2*A10-2*POWER(A10,3)+POWER(A10,4)</f>
        <v/>
      </c>
      <c r="C10" s="21">
        <f>(A10*POWER(1-A10,3))/6</f>
        <v/>
      </c>
      <c r="D10" s="13">
        <f>B10+2*C10</f>
        <v/>
      </c>
      <c r="E10" s="13">
        <f>B10</f>
        <v/>
      </c>
      <c r="F10" s="13">
        <f>B10-6*C10</f>
        <v/>
      </c>
      <c r="G10" s="14">
        <f>B10-12*C10</f>
        <v/>
      </c>
      <c r="H10" s="40">
        <f>B10-15*C10</f>
        <v/>
      </c>
    </row>
    <row r="11" ht="19" customHeight="1">
      <c r="A11" s="13" t="n">
        <v>0.225</v>
      </c>
      <c r="B11" s="21">
        <f>2*A11-2*POWER(A11,3)+POWER(A11,4)</f>
        <v/>
      </c>
      <c r="C11" s="21">
        <f>(A11*POWER(1-A11,3))/6</f>
        <v/>
      </c>
      <c r="D11" s="13">
        <f>B11+2*C11</f>
        <v/>
      </c>
      <c r="E11" s="13">
        <f>B11</f>
        <v/>
      </c>
      <c r="F11" s="13">
        <f>B11-6*C11</f>
        <v/>
      </c>
      <c r="G11" s="14">
        <f>B11-12*C11</f>
        <v/>
      </c>
      <c r="H11" s="40">
        <f>B11-15*C11</f>
        <v/>
      </c>
    </row>
    <row r="12" ht="19" customHeight="1">
      <c r="A12" s="13" t="n">
        <v>0.25</v>
      </c>
      <c r="B12" s="21">
        <f>2*A12-2*POWER(A12,3)+POWER(A12,4)</f>
        <v/>
      </c>
      <c r="C12" s="21">
        <f>(A12*POWER(1-A12,3))/6</f>
        <v/>
      </c>
      <c r="D12" s="13">
        <f>B12+2*C12</f>
        <v/>
      </c>
      <c r="E12" s="13">
        <f>B12</f>
        <v/>
      </c>
      <c r="F12" s="13">
        <f>B12-6*C12</f>
        <v/>
      </c>
      <c r="G12" s="14">
        <f>B12-12*C12</f>
        <v/>
      </c>
      <c r="H12" s="40">
        <f>B12-15*C12</f>
        <v/>
      </c>
    </row>
    <row r="13" ht="19" customHeight="1">
      <c r="A13" s="13" t="n">
        <v>0.275</v>
      </c>
      <c r="B13" s="21">
        <f>2*A13-2*POWER(A13,3)+POWER(A13,4)</f>
        <v/>
      </c>
      <c r="C13" s="21">
        <f>(A13*POWER(1-A13,3))/6</f>
        <v/>
      </c>
      <c r="D13" s="13">
        <f>B13+2*C13</f>
        <v/>
      </c>
      <c r="E13" s="13">
        <f>B13</f>
        <v/>
      </c>
      <c r="F13" s="13">
        <f>B13-6*C13</f>
        <v/>
      </c>
      <c r="G13" s="14">
        <f>B13-12*C13</f>
        <v/>
      </c>
      <c r="H13" s="40">
        <f>B13-15*C13</f>
        <v/>
      </c>
    </row>
    <row r="14" ht="19" customHeight="1">
      <c r="A14" s="13" t="n">
        <v>0.3</v>
      </c>
      <c r="B14" s="21">
        <f>2*A14-2*POWER(A14,3)+POWER(A14,4)</f>
        <v/>
      </c>
      <c r="C14" s="21">
        <f>(A14*POWER(1-A14,3))/6</f>
        <v/>
      </c>
      <c r="D14" s="13">
        <f>B14+2*C14</f>
        <v/>
      </c>
      <c r="E14" s="13">
        <f>B14</f>
        <v/>
      </c>
      <c r="F14" s="13">
        <f>B14-6*C14</f>
        <v/>
      </c>
      <c r="G14" s="14">
        <f>B14-12*C14</f>
        <v/>
      </c>
      <c r="H14" s="40">
        <f>B14-15*C14</f>
        <v/>
      </c>
    </row>
    <row r="15" ht="19" customHeight="1">
      <c r="A15" s="13" t="n">
        <v>0.325</v>
      </c>
      <c r="B15" s="21">
        <f>2*A15-2*POWER(A15,3)+POWER(A15,4)</f>
        <v/>
      </c>
      <c r="C15" s="21">
        <f>(A15*POWER(1-A15,3))/6</f>
        <v/>
      </c>
      <c r="D15" s="13">
        <f>B15+2*C15</f>
        <v/>
      </c>
      <c r="E15" s="13">
        <f>B15</f>
        <v/>
      </c>
      <c r="F15" s="13">
        <f>B15-6*C15</f>
        <v/>
      </c>
      <c r="G15" s="14">
        <f>B15-12*C15</f>
        <v/>
      </c>
      <c r="H15" s="40">
        <f>B15-15*C15</f>
        <v/>
      </c>
    </row>
    <row r="16" ht="19" customHeight="1">
      <c r="A16" s="13" t="n">
        <v>0.35</v>
      </c>
      <c r="B16" s="21">
        <f>2*A16-2*POWER(A16,3)+POWER(A16,4)</f>
        <v/>
      </c>
      <c r="C16" s="21">
        <f>(A16*POWER(1-A16,3))/6</f>
        <v/>
      </c>
      <c r="D16" s="13">
        <f>B16+2*C16</f>
        <v/>
      </c>
      <c r="E16" s="13">
        <f>B16</f>
        <v/>
      </c>
      <c r="F16" s="13">
        <f>B16-6*C16</f>
        <v/>
      </c>
      <c r="G16" s="14">
        <f>B16-12*C16</f>
        <v/>
      </c>
      <c r="H16" s="40">
        <f>B16-15*C16</f>
        <v/>
      </c>
    </row>
    <row r="17" ht="19" customHeight="1">
      <c r="A17" s="13" t="n">
        <v>0.375</v>
      </c>
      <c r="B17" s="21">
        <f>2*A17-2*POWER(A17,3)+POWER(A17,4)</f>
        <v/>
      </c>
      <c r="C17" s="21">
        <f>(A17*POWER(1-A17,3))/6</f>
        <v/>
      </c>
      <c r="D17" s="13">
        <f>B17+2*C17</f>
        <v/>
      </c>
      <c r="E17" s="13">
        <f>B17</f>
        <v/>
      </c>
      <c r="F17" s="13">
        <f>B17-6*C17</f>
        <v/>
      </c>
      <c r="G17" s="14">
        <f>B17-12*C17</f>
        <v/>
      </c>
      <c r="H17" s="40">
        <f>B17-15*C17</f>
        <v/>
      </c>
    </row>
    <row r="18" ht="19" customHeight="1">
      <c r="A18" s="13" t="n">
        <v>0.4</v>
      </c>
      <c r="B18" s="21">
        <f>2*A18-2*POWER(A18,3)+POWER(A18,4)</f>
        <v/>
      </c>
      <c r="C18" s="21">
        <f>(A18*POWER(1-A18,3))/6</f>
        <v/>
      </c>
      <c r="D18" s="13">
        <f>B18+2*C18</f>
        <v/>
      </c>
      <c r="E18" s="13">
        <f>B18</f>
        <v/>
      </c>
      <c r="F18" s="13">
        <f>B18-6*C18</f>
        <v/>
      </c>
      <c r="G18" s="14">
        <f>B18-12*C18</f>
        <v/>
      </c>
      <c r="H18" s="40">
        <f>B18-15*C18</f>
        <v/>
      </c>
    </row>
    <row r="19" ht="19" customHeight="1">
      <c r="A19" s="13" t="n">
        <v>0.425</v>
      </c>
      <c r="B19" s="21">
        <f>2*A19-2*POWER(A19,3)+POWER(A19,4)</f>
        <v/>
      </c>
      <c r="C19" s="21">
        <f>(A19*POWER(1-A19,3))/6</f>
        <v/>
      </c>
      <c r="D19" s="13">
        <f>B19+2*C19</f>
        <v/>
      </c>
      <c r="E19" s="13">
        <f>B19</f>
        <v/>
      </c>
      <c r="F19" s="13">
        <f>B19-6*C19</f>
        <v/>
      </c>
      <c r="G19" s="14">
        <f>B19-12*C19</f>
        <v/>
      </c>
      <c r="H19" s="40">
        <f>B19-15*C19</f>
        <v/>
      </c>
    </row>
    <row r="20" ht="19" customHeight="1">
      <c r="A20" s="13" t="n">
        <v>0.45</v>
      </c>
      <c r="B20" s="21">
        <f>2*A20-2*POWER(A20,3)+POWER(A20,4)</f>
        <v/>
      </c>
      <c r="C20" s="21">
        <f>(A20*POWER(1-A20,3))/6</f>
        <v/>
      </c>
      <c r="D20" s="13">
        <f>B20+2*C20</f>
        <v/>
      </c>
      <c r="E20" s="13">
        <f>B20</f>
        <v/>
      </c>
      <c r="F20" s="13">
        <f>B20-6*C20</f>
        <v/>
      </c>
      <c r="G20" s="14">
        <f>B20-12*C20</f>
        <v/>
      </c>
      <c r="H20" s="40">
        <f>B20-15*C20</f>
        <v/>
      </c>
    </row>
    <row r="21" ht="19" customHeight="1">
      <c r="A21" s="13" t="n">
        <v>0.475</v>
      </c>
      <c r="B21" s="21">
        <f>2*A21-2*POWER(A21,3)+POWER(A21,4)</f>
        <v/>
      </c>
      <c r="C21" s="21">
        <f>(A21*POWER(1-A21,3))/6</f>
        <v/>
      </c>
      <c r="D21" s="13">
        <f>B21+2*C21</f>
        <v/>
      </c>
      <c r="E21" s="13">
        <f>B21</f>
        <v/>
      </c>
      <c r="F21" s="13">
        <f>B21-6*C21</f>
        <v/>
      </c>
      <c r="G21" s="14">
        <f>B21-12*C21</f>
        <v/>
      </c>
      <c r="H21" s="40">
        <f>B21-15*C21</f>
        <v/>
      </c>
    </row>
    <row r="22" ht="19" customHeight="1">
      <c r="A22" s="13" t="n">
        <v>0.5</v>
      </c>
      <c r="B22" s="21">
        <f>2*A22-2*POWER(A22,3)+POWER(A22,4)</f>
        <v/>
      </c>
      <c r="C22" s="21">
        <f>(A22*POWER(1-A22,3))/6</f>
        <v/>
      </c>
      <c r="D22" s="13">
        <f>B22+2*C22</f>
        <v/>
      </c>
      <c r="E22" s="13">
        <f>B22</f>
        <v/>
      </c>
      <c r="F22" s="13">
        <f>B22-6*C22</f>
        <v/>
      </c>
      <c r="G22" s="14">
        <f>B22-12*C22</f>
        <v/>
      </c>
      <c r="H22" s="40">
        <f>B22-15*C22</f>
        <v/>
      </c>
    </row>
    <row r="23" ht="19" customHeight="1">
      <c r="A23" s="13" t="n">
        <v>0.525</v>
      </c>
      <c r="B23" s="21">
        <f>2*A23-2*POWER(A23,3)+POWER(A23,4)</f>
        <v/>
      </c>
      <c r="C23" s="21">
        <f>(A23*POWER(1-A23,3))/6</f>
        <v/>
      </c>
      <c r="D23" s="13">
        <f>B23+2*C23</f>
        <v/>
      </c>
      <c r="E23" s="13">
        <f>B23</f>
        <v/>
      </c>
      <c r="F23" s="13">
        <f>B23-6*C23</f>
        <v/>
      </c>
      <c r="G23" s="14">
        <f>B23-12*C23</f>
        <v/>
      </c>
      <c r="H23" s="40">
        <f>B23-15*C23</f>
        <v/>
      </c>
    </row>
    <row r="24" ht="19" customHeight="1">
      <c r="A24" s="13" t="n">
        <v>0.55</v>
      </c>
      <c r="B24" s="21">
        <f>2*A24-2*POWER(A24,3)+POWER(A24,4)</f>
        <v/>
      </c>
      <c r="C24" s="21">
        <f>(A24*POWER(1-A24,3))/6</f>
        <v/>
      </c>
      <c r="D24" s="13">
        <f>B24+2*C24</f>
        <v/>
      </c>
      <c r="E24" s="13">
        <f>B24</f>
        <v/>
      </c>
      <c r="F24" s="13">
        <f>B24-6*C24</f>
        <v/>
      </c>
      <c r="G24" s="14">
        <f>B24-12*C24</f>
        <v/>
      </c>
      <c r="H24" s="40">
        <f>B24-15*C24</f>
        <v/>
      </c>
    </row>
    <row r="25" ht="19" customHeight="1">
      <c r="A25" s="13" t="n">
        <v>0.5750000000000001</v>
      </c>
      <c r="B25" s="21">
        <f>2*A25-2*POWER(A25,3)+POWER(A25,4)</f>
        <v/>
      </c>
      <c r="C25" s="21">
        <f>(A25*POWER(1-A25,3))/6</f>
        <v/>
      </c>
      <c r="D25" s="13">
        <f>B25+2*C25</f>
        <v/>
      </c>
      <c r="E25" s="13">
        <f>B25</f>
        <v/>
      </c>
      <c r="F25" s="13">
        <f>B25-6*C25</f>
        <v/>
      </c>
      <c r="G25" s="14">
        <f>B25-12*C25</f>
        <v/>
      </c>
      <c r="H25" s="40">
        <f>B25-15*C25</f>
        <v/>
      </c>
    </row>
    <row r="26" ht="19" customHeight="1">
      <c r="A26" s="13" t="n">
        <v>0.6000000000000001</v>
      </c>
      <c r="B26" s="21">
        <f>2*A26-2*POWER(A26,3)+POWER(A26,4)</f>
        <v/>
      </c>
      <c r="C26" s="21">
        <f>(A26*POWER(1-A26,3))/6</f>
        <v/>
      </c>
      <c r="D26" s="13">
        <f>B26+2*C26</f>
        <v/>
      </c>
      <c r="E26" s="13">
        <f>B26</f>
        <v/>
      </c>
      <c r="F26" s="13">
        <f>B26-6*C26</f>
        <v/>
      </c>
      <c r="G26" s="14">
        <f>B26-12*C26</f>
        <v/>
      </c>
      <c r="H26" s="40">
        <f>B26-15*C26</f>
        <v/>
      </c>
    </row>
    <row r="27" ht="19" customHeight="1">
      <c r="A27" s="13" t="n">
        <v>0.625</v>
      </c>
      <c r="B27" s="21">
        <f>2*A27-2*POWER(A27,3)+POWER(A27,4)</f>
        <v/>
      </c>
      <c r="C27" s="21">
        <f>(A27*POWER(1-A27,3))/6</f>
        <v/>
      </c>
      <c r="D27" s="13">
        <f>B27+2*C27</f>
        <v/>
      </c>
      <c r="E27" s="13">
        <f>B27</f>
        <v/>
      </c>
      <c r="F27" s="13">
        <f>B27-6*C27</f>
        <v/>
      </c>
      <c r="G27" s="14">
        <f>B27-12*C27</f>
        <v/>
      </c>
      <c r="H27" s="40">
        <f>B27-15*C27</f>
        <v/>
      </c>
    </row>
    <row r="28" ht="19" customHeight="1">
      <c r="A28" s="13" t="n">
        <v>0.65</v>
      </c>
      <c r="B28" s="21">
        <f>2*A28-2*POWER(A28,3)+POWER(A28,4)</f>
        <v/>
      </c>
      <c r="C28" s="21">
        <f>(A28*POWER(1-A28,3))/6</f>
        <v/>
      </c>
      <c r="D28" s="13">
        <f>B28+2*C28</f>
        <v/>
      </c>
      <c r="E28" s="13">
        <f>B28</f>
        <v/>
      </c>
      <c r="F28" s="13">
        <f>B28-6*C28</f>
        <v/>
      </c>
      <c r="G28" s="14">
        <f>B28-12*C28</f>
        <v/>
      </c>
      <c r="H28" s="40">
        <f>B28-15*C28</f>
        <v/>
      </c>
    </row>
    <row r="29" ht="19" customHeight="1">
      <c r="A29" s="13" t="n">
        <v>0.675</v>
      </c>
      <c r="B29" s="21">
        <f>2*A29-2*POWER(A29,3)+POWER(A29,4)</f>
        <v/>
      </c>
      <c r="C29" s="21">
        <f>(A29*POWER(1-A29,3))/6</f>
        <v/>
      </c>
      <c r="D29" s="13">
        <f>B29+2*C29</f>
        <v/>
      </c>
      <c r="E29" s="13">
        <f>B29</f>
        <v/>
      </c>
      <c r="F29" s="13">
        <f>B29-6*C29</f>
        <v/>
      </c>
      <c r="G29" s="14">
        <f>B29-12*C29</f>
        <v/>
      </c>
      <c r="H29" s="40">
        <f>B29-15*C29</f>
        <v/>
      </c>
    </row>
    <row r="30" ht="19" customHeight="1">
      <c r="A30" s="13" t="n">
        <v>0.7000000000000001</v>
      </c>
      <c r="B30" s="21">
        <f>2*A30-2*POWER(A30,3)+POWER(A30,4)</f>
        <v/>
      </c>
      <c r="C30" s="21">
        <f>(A30*POWER(1-A30,3))/6</f>
        <v/>
      </c>
      <c r="D30" s="13">
        <f>B30+2*C30</f>
        <v/>
      </c>
      <c r="E30" s="13">
        <f>B30</f>
        <v/>
      </c>
      <c r="F30" s="13">
        <f>B30-6*C30</f>
        <v/>
      </c>
      <c r="G30" s="14">
        <f>B30-12*C30</f>
        <v/>
      </c>
      <c r="H30" s="40">
        <f>B30-15*C30</f>
        <v/>
      </c>
    </row>
    <row r="31" ht="19" customHeight="1">
      <c r="A31" s="13" t="n">
        <v>0.7250000000000001</v>
      </c>
      <c r="B31" s="21">
        <f>2*A31-2*POWER(A31,3)+POWER(A31,4)</f>
        <v/>
      </c>
      <c r="C31" s="21">
        <f>(A31*POWER(1-A31,3))/6</f>
        <v/>
      </c>
      <c r="D31" s="13">
        <f>B31+2*C31</f>
        <v/>
      </c>
      <c r="E31" s="13">
        <f>B31</f>
        <v/>
      </c>
      <c r="F31" s="13">
        <f>B31-6*C31</f>
        <v/>
      </c>
      <c r="G31" s="14">
        <f>B31-12*C31</f>
        <v/>
      </c>
      <c r="H31" s="40">
        <f>B31-15*C31</f>
        <v/>
      </c>
    </row>
    <row r="32" ht="19" customHeight="1">
      <c r="A32" s="13" t="n">
        <v>0.75</v>
      </c>
      <c r="B32" s="21">
        <f>2*A32-2*POWER(A32,3)+POWER(A32,4)</f>
        <v/>
      </c>
      <c r="C32" s="21">
        <f>(A32*POWER(1-A32,3))/6</f>
        <v/>
      </c>
      <c r="D32" s="13">
        <f>B32+2*C32</f>
        <v/>
      </c>
      <c r="E32" s="13">
        <f>B32</f>
        <v/>
      </c>
      <c r="F32" s="13">
        <f>B32-6*C32</f>
        <v/>
      </c>
      <c r="G32" s="14">
        <f>B32-12*C32</f>
        <v/>
      </c>
      <c r="H32" s="40">
        <f>B32-15*C32</f>
        <v/>
      </c>
    </row>
    <row r="33" ht="19" customHeight="1">
      <c r="A33" s="13" t="n">
        <v>0.775</v>
      </c>
      <c r="B33" s="21">
        <f>2*A33-2*POWER(A33,3)+POWER(A33,4)</f>
        <v/>
      </c>
      <c r="C33" s="21">
        <f>(A33*POWER(1-A33,3))/6</f>
        <v/>
      </c>
      <c r="D33" s="13">
        <f>B33+2*C33</f>
        <v/>
      </c>
      <c r="E33" s="13">
        <f>B33</f>
        <v/>
      </c>
      <c r="F33" s="13">
        <f>B33-6*C33</f>
        <v/>
      </c>
      <c r="G33" s="14">
        <f>B33-12*C33</f>
        <v/>
      </c>
      <c r="H33" s="40">
        <f>B33-15*C33</f>
        <v/>
      </c>
    </row>
    <row r="34" ht="19" customHeight="1">
      <c r="A34" s="13" t="n">
        <v>0.8</v>
      </c>
      <c r="B34" s="21">
        <f>2*A34-2*POWER(A34,3)+POWER(A34,4)</f>
        <v/>
      </c>
      <c r="C34" s="21">
        <f>(A34*POWER(1-A34,3))/6</f>
        <v/>
      </c>
      <c r="D34" s="13">
        <f>B34+2*C34</f>
        <v/>
      </c>
      <c r="E34" s="13">
        <f>B34</f>
        <v/>
      </c>
      <c r="F34" s="13">
        <f>B34-6*C34</f>
        <v/>
      </c>
      <c r="G34" s="14">
        <f>B34-12*C34</f>
        <v/>
      </c>
      <c r="H34" s="40">
        <f>B34-15*C34</f>
        <v/>
      </c>
    </row>
    <row r="35" ht="19" customHeight="1">
      <c r="A35" s="13" t="n">
        <v>0.8250000000000001</v>
      </c>
      <c r="B35" s="21">
        <f>2*A35-2*POWER(A35,3)+POWER(A35,4)</f>
        <v/>
      </c>
      <c r="C35" s="21">
        <f>(A35*POWER(1-A35,3))/6</f>
        <v/>
      </c>
      <c r="D35" s="13">
        <f>B35+2*C35</f>
        <v/>
      </c>
      <c r="E35" s="13">
        <f>B35</f>
        <v/>
      </c>
      <c r="F35" s="13">
        <f>B35-6*C35</f>
        <v/>
      </c>
      <c r="G35" s="14">
        <f>B35-12*C35</f>
        <v/>
      </c>
      <c r="H35" s="40">
        <f>B35-15*C35</f>
        <v/>
      </c>
    </row>
    <row r="36" ht="19" customHeight="1">
      <c r="A36" s="13" t="n">
        <v>0.8500000000000001</v>
      </c>
      <c r="B36" s="21">
        <f>2*A36-2*POWER(A36,3)+POWER(A36,4)</f>
        <v/>
      </c>
      <c r="C36" s="21">
        <f>(A36*POWER(1-A36,3))/6</f>
        <v/>
      </c>
      <c r="D36" s="13">
        <f>B36+2*C36</f>
        <v/>
      </c>
      <c r="E36" s="13">
        <f>B36</f>
        <v/>
      </c>
      <c r="F36" s="13">
        <f>B36-6*C36</f>
        <v/>
      </c>
      <c r="G36" s="14">
        <f>B36-12*C36</f>
        <v/>
      </c>
      <c r="H36" s="40">
        <f>B36-15*C36</f>
        <v/>
      </c>
    </row>
    <row r="37" ht="19" customHeight="1">
      <c r="A37" s="13" t="n">
        <v>0.875</v>
      </c>
      <c r="B37" s="21">
        <f>2*A37-2*POWER(A37,3)+POWER(A37,4)</f>
        <v/>
      </c>
      <c r="C37" s="21">
        <f>(A37*POWER(1-A37,3))/6</f>
        <v/>
      </c>
      <c r="D37" s="13">
        <f>B37+2*C37</f>
        <v/>
      </c>
      <c r="E37" s="13">
        <f>B37</f>
        <v/>
      </c>
      <c r="F37" s="13">
        <f>B37-6*C37</f>
        <v/>
      </c>
      <c r="G37" s="14">
        <f>B37-12*C37</f>
        <v/>
      </c>
      <c r="H37" s="40">
        <f>B37-15*C37</f>
        <v/>
      </c>
    </row>
    <row r="38" ht="19" customHeight="1">
      <c r="A38" s="13" t="n">
        <v>0.9</v>
      </c>
      <c r="B38" s="21">
        <f>2*A38-2*POWER(A38,3)+POWER(A38,4)</f>
        <v/>
      </c>
      <c r="C38" s="21">
        <f>(A38*POWER(1-A38,3))/6</f>
        <v/>
      </c>
      <c r="D38" s="13">
        <f>B38+2*C38</f>
        <v/>
      </c>
      <c r="E38" s="13">
        <f>B38</f>
        <v/>
      </c>
      <c r="F38" s="13">
        <f>B38-6*C38</f>
        <v/>
      </c>
      <c r="G38" s="14">
        <f>B38-12*C38</f>
        <v/>
      </c>
      <c r="H38" s="40">
        <f>B38-15*C38</f>
        <v/>
      </c>
    </row>
    <row r="39" ht="19" customHeight="1">
      <c r="A39" s="13" t="n">
        <v>0.925</v>
      </c>
      <c r="B39" s="21">
        <f>2*A39-2*POWER(A39,3)+POWER(A39,4)</f>
        <v/>
      </c>
      <c r="C39" s="21">
        <f>(A39*POWER(1-A39,3))/6</f>
        <v/>
      </c>
      <c r="D39" s="13">
        <f>B39+2*C39</f>
        <v/>
      </c>
      <c r="E39" s="13">
        <f>B39</f>
        <v/>
      </c>
      <c r="F39" s="13">
        <f>B39-6*C39</f>
        <v/>
      </c>
      <c r="G39" s="14">
        <f>B39-12*C39</f>
        <v/>
      </c>
      <c r="H39" s="40">
        <f>B39-15*C39</f>
        <v/>
      </c>
    </row>
    <row r="40" ht="19" customHeight="1">
      <c r="A40" s="13" t="n">
        <v>0.9500000000000001</v>
      </c>
      <c r="B40" s="21">
        <f>2*A40-2*POWER(A40,3)+POWER(A40,4)</f>
        <v/>
      </c>
      <c r="C40" s="21">
        <f>(A40*POWER(1-A40,3))/6</f>
        <v/>
      </c>
      <c r="D40" s="13">
        <f>B40+2*C40</f>
        <v/>
      </c>
      <c r="E40" s="13">
        <f>B40</f>
        <v/>
      </c>
      <c r="F40" s="13">
        <f>B40-6*C40</f>
        <v/>
      </c>
      <c r="G40" s="14">
        <f>B40-12*C40</f>
        <v/>
      </c>
      <c r="H40" s="40">
        <f>B40-15*C40</f>
        <v/>
      </c>
    </row>
    <row r="41" ht="19" customHeight="1">
      <c r="A41" s="13" t="n">
        <v>0.9750000000000001</v>
      </c>
      <c r="B41" s="21">
        <f>2*A41-2*POWER(A41,3)+POWER(A41,4)</f>
        <v/>
      </c>
      <c r="C41" s="21">
        <f>(A41*POWER(1-A41,3))/6</f>
        <v/>
      </c>
      <c r="D41" s="13">
        <f>B41+2*C41</f>
        <v/>
      </c>
      <c r="E41" s="13">
        <f>B41</f>
        <v/>
      </c>
      <c r="F41" s="13">
        <f>B41-6*C41</f>
        <v/>
      </c>
      <c r="G41" s="14">
        <f>B41-12*C41</f>
        <v/>
      </c>
      <c r="H41" s="40">
        <f>B41-15*C41</f>
        <v/>
      </c>
    </row>
    <row r="42" ht="19" customHeight="1">
      <c r="A42" s="13" t="n">
        <v>1</v>
      </c>
      <c r="B42" s="21">
        <f>2*A42-2*POWER(A42,3)+POWER(A42,4)</f>
        <v/>
      </c>
      <c r="C42" s="21">
        <f>(A42*POWER(1-A42,3))/6</f>
        <v/>
      </c>
      <c r="D42" s="13">
        <f>B42+2*C42</f>
        <v/>
      </c>
      <c r="E42" s="13">
        <f>B42</f>
        <v/>
      </c>
      <c r="F42" s="13">
        <f>B42-6*C42</f>
        <v/>
      </c>
      <c r="G42" s="14">
        <f>B42-12*C42</f>
        <v/>
      </c>
      <c r="H42" s="40">
        <f>B42-15*C42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2026-10-03T00:46:25Z</dcterms:created>
  <dcterms:modified xmlns:dcterms="http://purl.org/dc/terms/" xmlns:xsi="http://www.w3.org/2001/XMLSchema-instance" xsi:type="dcterms:W3CDTF">2026-10-03T00:46:26Z</dcterms:modified>
</cp:coreProperties>
</file>