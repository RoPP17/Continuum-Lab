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Fisicos" sheetId="1" state="visible" r:id="rId1"/>
    <sheet xmlns:r="http://schemas.openxmlformats.org/officeDocument/2006/relationships" name="Dispersion_Inestabilidad" sheetId="2" state="visible" r:id="rId2"/>
    <sheet xmlns:r="http://schemas.openxmlformats.org/officeDocument/2006/relationships" name="Evolucion_Enstrofia_RK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#,##0.0000"/>
    <numFmt numFmtId="166" formatCode="0.0000"/>
    <numFmt numFmtId="167" formatCode="0.000"/>
  </numFmts>
  <fonts count="7">
    <font>
      <name val="Calibri"/>
      <family val="2"/>
      <color theme="1"/>
      <sz val="11"/>
      <scheme val="minor"/>
    </font>
    <font>
      <name val="Segoe UI"/>
      <b val="1"/>
      <color rgb="000369A1"/>
      <sz val="12"/>
    </font>
    <font>
      <name val="Segoe UI"/>
      <b val="1"/>
      <color rgb="000F172A"/>
      <sz val="16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F172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0" fontId="3" fillId="0" borderId="1" pivotButton="0" quotePrefix="0" xfId="0"/>
    <xf numFmtId="0" fontId="5" fillId="3" borderId="1" pivotButton="0" quotePrefix="0" xfId="0"/>
    <xf numFmtId="0" fontId="6" fillId="3" borderId="1" pivotButton="0" quotePrefix="0" xfId="0"/>
    <xf numFmtId="4" fontId="6" fillId="3" borderId="1" pivotButton="0" quotePrefix="0" xfId="0"/>
    <xf numFmtId="0" fontId="3" fillId="3" borderId="1" pivotButton="0" quotePrefix="0" xfId="0"/>
    <xf numFmtId="164" fontId="6" fillId="0" borderId="1" pivotButton="0" quotePrefix="0" xfId="0"/>
    <xf numFmtId="0" fontId="4" fillId="4" borderId="1" applyAlignment="1" pivotButton="0" quotePrefix="0" xfId="0">
      <alignment horizontal="center" vertical="center"/>
    </xf>
    <xf numFmtId="165" fontId="6" fillId="5" borderId="1" pivotButton="0" quotePrefix="0" xfId="0"/>
    <xf numFmtId="166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6" fontId="6" fillId="3" borderId="1" pivotButton="0" quotePrefix="0" xfId="0"/>
    <xf numFmtId="166" fontId="5" fillId="0" borderId="1" pivotButton="0" quotePrefix="0" xfId="0"/>
    <xf numFmtId="2" fontId="5" fillId="0" borderId="1" pivotButton="0" quotePrefix="0" xfId="0"/>
    <xf numFmtId="167" fontId="5" fillId="0" borderId="1" pivotButton="0" quotePrefix="0" xfId="0"/>
    <xf numFmtId="166" fontId="6" fillId="0" borderId="1" pivotButton="0" quotePrefix="0" xfId="0"/>
    <xf numFmtId="166" fontId="5" fillId="5" borderId="1" pivotButton="0" quotePrefix="0" xfId="0"/>
    <xf numFmtId="2" fontId="5" fillId="5" borderId="1" pivotButton="0" quotePrefix="0" xfId="0"/>
    <xf numFmtId="167" fontId="5" fillId="5" borderId="1" pivotButton="0" quotePrefix="0" xfId="0"/>
    <xf numFmtId="166" fontId="6" fillId="5" borderId="1" pivotButton="0" quotePrefix="0" xfId="0"/>
    <xf numFmtId="0" fontId="3" fillId="5" borderId="1" pivotButton="0" quotePrefix="0" xfId="0"/>
    <xf numFmtId="0" fontId="5" fillId="3" borderId="1" applyAlignment="1" pivotButton="0" quotePrefix="0" xfId="0">
      <alignment horizontal="center"/>
    </xf>
    <xf numFmtId="165" fontId="6" fillId="3" borderId="1" pivotButton="0" quotePrefix="0" xfId="0"/>
    <xf numFmtId="164" fontId="5" fillId="3" borderId="1" pivotButton="0" quotePrefix="0" xfId="0"/>
    <xf numFmtId="4" fontId="5" fillId="3" borderId="1" pivotButton="0" quotePrefix="0" xfId="0"/>
    <xf numFmtId="0" fontId="5" fillId="0" borderId="1" applyAlignment="1" pivotButton="0" quotePrefix="0" xfId="0">
      <alignment horizontal="center"/>
    </xf>
    <xf numFmtId="165" fontId="6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0" fontId="6" fillId="0" borderId="2" pivotButton="0" quotePrefix="0" xfId="0"/>
    <xf numFmtId="0" fontId="0" fillId="0" borderId="2" pivotButton="0" quotePrefix="0" xfId="0"/>
    <xf numFmtId="165" fontId="6" fillId="0" borderId="2" pivotButton="0" quotePrefix="0" xfId="0"/>
    <xf numFmtId="164" fontId="6" fillId="0" borderId="2" pivotButton="0" quotePrefix="0" xfId="0"/>
    <xf numFmtId="4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15" customWidth="1" min="2" max="2"/>
    <col width="20" customWidth="1" min="3" max="3"/>
    <col width="19" customWidth="1" min="4" max="4"/>
    <col width="50" customWidth="1" min="5" max="5"/>
  </cols>
  <sheetData>
    <row r="1">
      <c r="A1" s="1" t="inlineStr">
        <is>
          <t>CONTINUUM LAB // MECÁNICA DE FLUIDOS AVANZADA</t>
        </is>
      </c>
    </row>
    <row r="2">
      <c r="A2" s="2" t="inlineStr">
        <is>
          <t>MODELO DE INESTABILIDAD DE KELVIN-HELMHOLTZ (KHI)</t>
        </is>
      </c>
    </row>
    <row r="3">
      <c r="A3" s="3" t="inlineStr">
        <is>
          <t>Parámetros del Dominio, Capa de Cizalladura y Criterio de Miles-Howard</t>
        </is>
      </c>
    </row>
    <row r="4"/>
    <row r="5" ht="24" customHeight="1">
      <c r="A5" s="4" t="inlineStr">
        <is>
          <t>Parámetro Físico</t>
        </is>
      </c>
      <c r="B5" s="4" t="inlineStr">
        <is>
          <t>Símbolo</t>
        </is>
      </c>
      <c r="C5" s="4" t="inlineStr">
        <is>
          <t>Valor Nominal</t>
        </is>
      </c>
      <c r="D5" s="4" t="inlineStr">
        <is>
          <t>Unidad</t>
        </is>
      </c>
      <c r="E5" s="4" t="inlineStr">
        <is>
          <t>Descripción / Fórmula Dinámica</t>
        </is>
      </c>
    </row>
    <row r="6">
      <c r="A6" s="5" t="inlineStr">
        <is>
          <t>Longitud del Dominio</t>
        </is>
      </c>
      <c r="B6" s="6" t="inlineStr">
        <is>
          <t>Lx</t>
        </is>
      </c>
      <c r="C6" s="7" t="n">
        <v>2</v>
      </c>
      <c r="D6" s="5" t="inlineStr">
        <is>
          <t>m</t>
        </is>
      </c>
      <c r="E6" s="8" t="inlineStr">
        <is>
          <t>Longitud periódica horizontal</t>
        </is>
      </c>
    </row>
    <row r="7">
      <c r="A7" s="9" t="inlineStr">
        <is>
          <t>Altura del Dominio</t>
        </is>
      </c>
      <c r="B7" s="10" t="inlineStr">
        <is>
          <t>Ly</t>
        </is>
      </c>
      <c r="C7" s="11" t="n">
        <v>1</v>
      </c>
      <c r="D7" s="9" t="inlineStr">
        <is>
          <t>m</t>
        </is>
      </c>
      <c r="E7" s="12" t="inlineStr">
        <is>
          <t>Altura vertical del canal</t>
        </is>
      </c>
    </row>
    <row r="8">
      <c r="A8" s="5" t="inlineStr">
        <is>
          <t>Semivelocidad de Cizalla</t>
        </is>
      </c>
      <c r="B8" s="6" t="inlineStr">
        <is>
          <t>U0</t>
        </is>
      </c>
      <c r="C8" s="7" t="n">
        <v>1</v>
      </c>
      <c r="D8" s="5" t="inlineStr">
        <is>
          <t>m/s</t>
        </is>
      </c>
      <c r="E8" s="8" t="inlineStr">
        <is>
          <t>Velocidad de cada capa respecto al centro</t>
        </is>
      </c>
    </row>
    <row r="9">
      <c r="A9" s="9" t="inlineStr">
        <is>
          <t>Espesor Inicial de Vorticidad</t>
        </is>
      </c>
      <c r="B9" s="10" t="inlineStr">
        <is>
          <t>delta0</t>
        </is>
      </c>
      <c r="C9" s="11" t="n">
        <v>0.045</v>
      </c>
      <c r="D9" s="9" t="inlineStr">
        <is>
          <t>m</t>
        </is>
      </c>
      <c r="E9" s="12" t="inlineStr">
        <is>
          <t>Espesor característico de la capa tanh</t>
        </is>
      </c>
    </row>
    <row r="10">
      <c r="A10" s="5" t="inlineStr">
        <is>
          <t>Viscosidad Cinemática</t>
        </is>
      </c>
      <c r="B10" s="6" t="inlineStr">
        <is>
          <t>nu</t>
        </is>
      </c>
      <c r="C10" s="13" t="n">
        <v>8.000000000000001e-05</v>
      </c>
      <c r="D10" s="5" t="inlineStr">
        <is>
          <t>m²/s</t>
        </is>
      </c>
      <c r="E10" s="8" t="inlineStr">
        <is>
          <t>Viscosidad del fluido</t>
        </is>
      </c>
    </row>
    <row r="11">
      <c r="A11" s="9" t="inlineStr">
        <is>
          <t>Densidad Base del Fluido</t>
        </is>
      </c>
      <c r="B11" s="10" t="inlineStr">
        <is>
          <t>rho</t>
        </is>
      </c>
      <c r="C11" s="11" t="n">
        <v>1</v>
      </c>
      <c r="D11" s="9" t="inlineStr">
        <is>
          <t>kg/m³</t>
        </is>
      </c>
      <c r="E11" s="12" t="inlineStr">
        <is>
          <t>Densidad media de referencia</t>
        </is>
      </c>
    </row>
    <row r="12">
      <c r="A12" s="5" t="inlineStr">
        <is>
          <t>Aceleración Gravitatoria</t>
        </is>
      </c>
      <c r="B12" s="6" t="inlineStr">
        <is>
          <t>g</t>
        </is>
      </c>
      <c r="C12" s="7" t="n">
        <v>9.81</v>
      </c>
      <c r="D12" s="5" t="inlineStr">
        <is>
          <t>m/s²</t>
        </is>
      </c>
      <c r="E12" s="8" t="inlineStr">
        <is>
          <t>Gravedad terrestre</t>
        </is>
      </c>
    </row>
    <row r="13">
      <c r="A13" s="9" t="inlineStr">
        <is>
          <t>Contraste de Densidad</t>
        </is>
      </c>
      <c r="B13" s="10" t="inlineStr">
        <is>
          <t>drho</t>
        </is>
      </c>
      <c r="C13" s="11" t="n">
        <v>0.005</v>
      </c>
      <c r="D13" s="9" t="inlineStr">
        <is>
          <t>kg/m³</t>
        </is>
      </c>
      <c r="E13" s="12" t="inlineStr">
        <is>
          <t>Estratificación de densidad en la interfaz</t>
        </is>
      </c>
    </row>
    <row r="14"/>
    <row r="15">
      <c r="A15" s="1" t="inlineStr">
        <is>
          <t>GRUPOS ADIMENSIONALES Y CRITERIOS DE ESTABILIDAD</t>
        </is>
      </c>
    </row>
    <row r="16" ht="22" customHeight="1">
      <c r="A16" s="14" t="inlineStr">
        <is>
          <t>Propiedad Adimensional</t>
        </is>
      </c>
      <c r="B16" s="14" t="inlineStr">
        <is>
          <t>Símbolo</t>
        </is>
      </c>
      <c r="C16" s="14" t="inlineStr">
        <is>
          <t>Fórmula Dinámica</t>
        </is>
      </c>
      <c r="D16" s="14" t="inlineStr">
        <is>
          <t>Valor Calculado</t>
        </is>
      </c>
      <c r="E16" s="14" t="inlineStr">
        <is>
          <t>Criterio Físico</t>
        </is>
      </c>
    </row>
    <row r="17">
      <c r="A17" s="5" t="inlineStr">
        <is>
          <t>Salto Total de Velocidad</t>
        </is>
      </c>
      <c r="B17" s="6" t="inlineStr">
        <is>
          <t>Delta_U</t>
        </is>
      </c>
      <c r="C17" s="8">
        <f>2*C8</f>
        <v/>
      </c>
      <c r="D17" s="15">
        <f>2*C8</f>
        <v/>
      </c>
      <c r="E17" s="5" t="inlineStr">
        <is>
          <t>Cizalla total entre capas</t>
        </is>
      </c>
    </row>
    <row r="18">
      <c r="A18" s="5" t="inlineStr">
        <is>
          <t>Número de Reynolds</t>
        </is>
      </c>
      <c r="B18" s="6" t="inlineStr">
        <is>
          <t>Re</t>
        </is>
      </c>
      <c r="C18" s="8">
        <f>(2*C8)*(2*C9)/C10</f>
        <v/>
      </c>
      <c r="D18" s="15">
        <f>(2*C8)*(2*C9)/C10</f>
        <v/>
      </c>
      <c r="E18" s="5" t="inlineStr">
        <is>
          <t>Re &gt; 1000 =&gt; Inestabilidad turbulenta</t>
        </is>
      </c>
    </row>
    <row r="19">
      <c r="A19" s="5" t="inlineStr">
        <is>
          <t>Gradiente Máximo de Velocidad</t>
        </is>
      </c>
      <c r="B19" s="6" t="inlineStr">
        <is>
          <t>du_dy_max</t>
        </is>
      </c>
      <c r="C19" s="8">
        <f>C8/C9</f>
        <v/>
      </c>
      <c r="D19" s="15">
        <f>C8/C9</f>
        <v/>
      </c>
      <c r="E19" s="5" t="inlineStr">
        <is>
          <t>En el plano medio y = 0</t>
        </is>
      </c>
    </row>
    <row r="20">
      <c r="A20" s="5" t="inlineStr">
        <is>
          <t>Gradiente de Densidad</t>
        </is>
      </c>
      <c r="B20" s="6" t="inlineStr">
        <is>
          <t>drho_dy</t>
        </is>
      </c>
      <c r="C20" s="8">
        <f>C13/(2*C9)</f>
        <v/>
      </c>
      <c r="D20" s="15">
        <f>C13/(2*C9)</f>
        <v/>
      </c>
      <c r="E20" s="5" t="inlineStr">
        <is>
          <t>Estratificación vertical</t>
        </is>
      </c>
    </row>
    <row r="21">
      <c r="A21" s="5" t="inlineStr">
        <is>
          <t>Número de Richardson Local</t>
        </is>
      </c>
      <c r="B21" s="6" t="inlineStr">
        <is>
          <t>Ri</t>
        </is>
      </c>
      <c r="C21" s="8">
        <f>(C12/C11)*D19/(D18^2)</f>
        <v/>
      </c>
      <c r="D21" s="15">
        <f>(C12/C11)*D19/(D18^2)</f>
        <v/>
      </c>
      <c r="E21" s="5" t="inlineStr">
        <is>
          <t>Ri &lt; 0.25 =&gt; Desestabilización de Miles-Howard</t>
        </is>
      </c>
    </row>
    <row r="22">
      <c r="A22" s="5" t="inlineStr">
        <is>
          <t>Número de Onda Más Inestable</t>
        </is>
      </c>
      <c r="B22" s="6" t="inlineStr">
        <is>
          <t>k_crit</t>
        </is>
      </c>
      <c r="C22" s="8">
        <f>0.4446/C9</f>
        <v/>
      </c>
      <c r="D22" s="15">
        <f>0.4446/C9</f>
        <v/>
      </c>
      <c r="E22" s="5" t="inlineStr">
        <is>
          <t>Teoría lineal de Michalke (1964)</t>
        </is>
      </c>
    </row>
    <row r="23">
      <c r="A23" s="5" t="inlineStr">
        <is>
          <t>Longitud de Onda Crítica</t>
        </is>
      </c>
      <c r="B23" s="6" t="inlineStr">
        <is>
          <t>lambda_crit</t>
        </is>
      </c>
      <c r="C23" s="8">
        <f>2*PI()/D21</f>
        <v/>
      </c>
      <c r="D23" s="15">
        <f>2*PI()/D21</f>
        <v/>
      </c>
      <c r="E23" s="5" t="inlineStr">
        <is>
          <t>Distancia entre núcleos de vórtice</t>
        </is>
      </c>
    </row>
    <row r="24">
      <c r="A24" s="5" t="inlineStr">
        <is>
          <t>Tasa Máxima de Crecimiento</t>
        </is>
      </c>
      <c r="B24" s="6" t="inlineStr">
        <is>
          <t>sigma_max</t>
        </is>
      </c>
      <c r="C24" s="8">
        <f>0.1897*(C8/C9)</f>
        <v/>
      </c>
      <c r="D24" s="15">
        <f>0.1897*(C8/C9)</f>
        <v/>
      </c>
      <c r="E24" s="5" t="inlineStr">
        <is>
          <t>Tasa temporal de amplificación exponencial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26" customWidth="1" min="3" max="3"/>
    <col width="28" customWidth="1" min="4" max="4"/>
    <col width="35" customWidth="1" min="5" max="5"/>
    <col width="27" customWidth="1" min="6" max="6"/>
  </cols>
  <sheetData>
    <row r="1">
      <c r="A1" s="2" t="inlineStr">
        <is>
          <t>RELACIÓN DE DISPERSIÓN LINEAL DE KELVIN-HELMHOLTZ</t>
        </is>
      </c>
    </row>
    <row r="2">
      <c r="A2" s="3" t="inlineStr">
        <is>
          <t>Tasa de Crecimiento Temporal σ(k) vs Número de Onda k</t>
        </is>
      </c>
    </row>
    <row r="3"/>
    <row r="4" ht="24" customHeight="1">
      <c r="A4" s="4" t="inlineStr">
        <is>
          <t>Wavenumber Adimensional (k·δ₀)</t>
        </is>
      </c>
      <c r="B4" s="4" t="inlineStr">
        <is>
          <t>Número de Onda k [rad/m]</t>
        </is>
      </c>
      <c r="C4" s="4" t="inlineStr">
        <is>
          <t>Longitud de Onda λ [m]</t>
        </is>
      </c>
      <c r="D4" s="4" t="inlineStr">
        <is>
          <t>Tasa Crecimiento σ [s⁻¹]</t>
        </is>
      </c>
      <c r="E4" s="4" t="inlineStr">
        <is>
          <t>Tiempo de Duplicación t_dup [s]</t>
        </is>
      </c>
      <c r="F4" s="4" t="inlineStr">
        <is>
          <t>Régimen Dinámico</t>
        </is>
      </c>
    </row>
    <row r="5">
      <c r="A5" s="16" t="n">
        <v>0.05</v>
      </c>
      <c r="B5" s="17">
        <f>A5/Parametros_Fisicos!$C$9</f>
        <v/>
      </c>
      <c r="C5" s="18">
        <f>2*PI()/B5</f>
        <v/>
      </c>
      <c r="D5" s="19">
        <f>(Parametros_Fisicos!$C$8/Parametros_Fisicos!$C$9)*A5*SQRT(MAX(0.0001, 1 - A5^2))*0.42</f>
        <v/>
      </c>
      <c r="E5" s="17">
        <f>LN(2)/MAX(0.0001, D5)</f>
        <v/>
      </c>
      <c r="F5" s="12" t="inlineStr">
        <is>
          <t>Inestable</t>
        </is>
      </c>
    </row>
    <row r="6">
      <c r="A6" s="20" t="n">
        <v>0.1</v>
      </c>
      <c r="B6" s="21">
        <f>A6/Parametros_Fisicos!$C$9</f>
        <v/>
      </c>
      <c r="C6" s="22">
        <f>2*PI()/B6</f>
        <v/>
      </c>
      <c r="D6" s="23">
        <f>(Parametros_Fisicos!$C$8/Parametros_Fisicos!$C$9)*A6*SQRT(MAX(0.0001, 1 - A6^2))*0.42</f>
        <v/>
      </c>
      <c r="E6" s="21">
        <f>LN(2)/MAX(0.0001, D6)</f>
        <v/>
      </c>
      <c r="F6" s="8" t="inlineStr">
        <is>
          <t>Inestable</t>
        </is>
      </c>
    </row>
    <row r="7">
      <c r="A7" s="16" t="n">
        <v>0.15</v>
      </c>
      <c r="B7" s="17">
        <f>A7/Parametros_Fisicos!$C$9</f>
        <v/>
      </c>
      <c r="C7" s="18">
        <f>2*PI()/B7</f>
        <v/>
      </c>
      <c r="D7" s="19">
        <f>(Parametros_Fisicos!$C$8/Parametros_Fisicos!$C$9)*A7*SQRT(MAX(0.0001, 1 - A7^2))*0.42</f>
        <v/>
      </c>
      <c r="E7" s="17">
        <f>LN(2)/MAX(0.0001, D7)</f>
        <v/>
      </c>
      <c r="F7" s="12" t="inlineStr">
        <is>
          <t>Inestable</t>
        </is>
      </c>
    </row>
    <row r="8">
      <c r="A8" s="20" t="n">
        <v>0.2</v>
      </c>
      <c r="B8" s="21">
        <f>A8/Parametros_Fisicos!$C$9</f>
        <v/>
      </c>
      <c r="C8" s="22">
        <f>2*PI()/B8</f>
        <v/>
      </c>
      <c r="D8" s="23">
        <f>(Parametros_Fisicos!$C$8/Parametros_Fisicos!$C$9)*A8*SQRT(MAX(0.0001, 1 - A8^2))*0.42</f>
        <v/>
      </c>
      <c r="E8" s="21">
        <f>LN(2)/MAX(0.0001, D8)</f>
        <v/>
      </c>
      <c r="F8" s="8" t="inlineStr">
        <is>
          <t>Inestable</t>
        </is>
      </c>
    </row>
    <row r="9">
      <c r="A9" s="16" t="n">
        <v>0.25</v>
      </c>
      <c r="B9" s="17">
        <f>A9/Parametros_Fisicos!$C$9</f>
        <v/>
      </c>
      <c r="C9" s="18">
        <f>2*PI()/B9</f>
        <v/>
      </c>
      <c r="D9" s="19">
        <f>(Parametros_Fisicos!$C$8/Parametros_Fisicos!$C$9)*A9*SQRT(MAX(0.0001, 1 - A9^2))*0.42</f>
        <v/>
      </c>
      <c r="E9" s="17">
        <f>LN(2)/MAX(0.0001, D9)</f>
        <v/>
      </c>
      <c r="F9" s="12" t="inlineStr">
        <is>
          <t>Inestable</t>
        </is>
      </c>
    </row>
    <row r="10">
      <c r="A10" s="20" t="n">
        <v>0.3</v>
      </c>
      <c r="B10" s="21">
        <f>A10/Parametros_Fisicos!$C$9</f>
        <v/>
      </c>
      <c r="C10" s="22">
        <f>2*PI()/B10</f>
        <v/>
      </c>
      <c r="D10" s="23">
        <f>(Parametros_Fisicos!$C$8/Parametros_Fisicos!$C$9)*A10*SQRT(MAX(0.0001, 1 - A10^2))*0.42</f>
        <v/>
      </c>
      <c r="E10" s="21">
        <f>LN(2)/MAX(0.0001, D10)</f>
        <v/>
      </c>
      <c r="F10" s="8" t="inlineStr">
        <is>
          <t>Inestable</t>
        </is>
      </c>
    </row>
    <row r="11">
      <c r="A11" s="16" t="n">
        <v>0.35</v>
      </c>
      <c r="B11" s="17">
        <f>A11/Parametros_Fisicos!$C$9</f>
        <v/>
      </c>
      <c r="C11" s="18">
        <f>2*PI()/B11</f>
        <v/>
      </c>
      <c r="D11" s="19">
        <f>(Parametros_Fisicos!$C$8/Parametros_Fisicos!$C$9)*A11*SQRT(MAX(0.0001, 1 - A11^2))*0.42</f>
        <v/>
      </c>
      <c r="E11" s="17">
        <f>LN(2)/MAX(0.0001, D11)</f>
        <v/>
      </c>
      <c r="F11" s="12" t="inlineStr">
        <is>
          <t>Inestable</t>
        </is>
      </c>
    </row>
    <row r="12">
      <c r="A12" s="20" t="n">
        <v>0.4</v>
      </c>
      <c r="B12" s="21">
        <f>A12/Parametros_Fisicos!$C$9</f>
        <v/>
      </c>
      <c r="C12" s="22">
        <f>2*PI()/B12</f>
        <v/>
      </c>
      <c r="D12" s="23">
        <f>(Parametros_Fisicos!$C$8/Parametros_Fisicos!$C$9)*A12*SQRT(MAX(0.0001, 1 - A12^2))*0.42</f>
        <v/>
      </c>
      <c r="E12" s="21">
        <f>LN(2)/MAX(0.0001, D12)</f>
        <v/>
      </c>
      <c r="F12" s="8" t="inlineStr">
        <is>
          <t>Inestable</t>
        </is>
      </c>
    </row>
    <row r="13">
      <c r="A13" s="24" t="n">
        <v>0.4446</v>
      </c>
      <c r="B13" s="25">
        <f>A13/Parametros_Fisicos!$C$9</f>
        <v/>
      </c>
      <c r="C13" s="26">
        <f>2*PI()/B13</f>
        <v/>
      </c>
      <c r="D13" s="27">
        <f>(Parametros_Fisicos!$C$8/Parametros_Fisicos!$C$9)*A13*SQRT(MAX(0.0001, 1 - A13^2))*0.42</f>
        <v/>
      </c>
      <c r="E13" s="25">
        <f>LN(2)/MAX(0.0001, D13)</f>
        <v/>
      </c>
      <c r="F13" s="28" t="inlineStr">
        <is>
          <t>Inestable (Pico Óptimo)</t>
        </is>
      </c>
    </row>
    <row r="14">
      <c r="A14" s="20" t="n">
        <v>0.5</v>
      </c>
      <c r="B14" s="21">
        <f>A14/Parametros_Fisicos!$C$9</f>
        <v/>
      </c>
      <c r="C14" s="22">
        <f>2*PI()/B14</f>
        <v/>
      </c>
      <c r="D14" s="23">
        <f>(Parametros_Fisicos!$C$8/Parametros_Fisicos!$C$9)*A14*SQRT(MAX(0.0001, 1 - A14^2))*0.42</f>
        <v/>
      </c>
      <c r="E14" s="21">
        <f>LN(2)/MAX(0.0001, D14)</f>
        <v/>
      </c>
      <c r="F14" s="8" t="inlineStr">
        <is>
          <t>Inestable</t>
        </is>
      </c>
    </row>
    <row r="15">
      <c r="A15" s="16" t="n">
        <v>0.6</v>
      </c>
      <c r="B15" s="17">
        <f>A15/Parametros_Fisicos!$C$9</f>
        <v/>
      </c>
      <c r="C15" s="18">
        <f>2*PI()/B15</f>
        <v/>
      </c>
      <c r="D15" s="19">
        <f>(Parametros_Fisicos!$C$8/Parametros_Fisicos!$C$9)*A15*SQRT(MAX(0.0001, 1 - A15^2))*0.42</f>
        <v/>
      </c>
      <c r="E15" s="17">
        <f>LN(2)/MAX(0.0001, D15)</f>
        <v/>
      </c>
      <c r="F15" s="12" t="inlineStr">
        <is>
          <t>Inestable</t>
        </is>
      </c>
    </row>
    <row r="16">
      <c r="A16" s="20" t="n">
        <v>0.7</v>
      </c>
      <c r="B16" s="21">
        <f>A16/Parametros_Fisicos!$C$9</f>
        <v/>
      </c>
      <c r="C16" s="22">
        <f>2*PI()/B16</f>
        <v/>
      </c>
      <c r="D16" s="23">
        <f>(Parametros_Fisicos!$C$8/Parametros_Fisicos!$C$9)*A16*SQRT(MAX(0.0001, 1 - A16^2))*0.42</f>
        <v/>
      </c>
      <c r="E16" s="21">
        <f>LN(2)/MAX(0.0001, D16)</f>
        <v/>
      </c>
      <c r="F16" s="8" t="inlineStr">
        <is>
          <t>Inestable</t>
        </is>
      </c>
    </row>
    <row r="17">
      <c r="A17" s="16" t="n">
        <v>0.8</v>
      </c>
      <c r="B17" s="17">
        <f>A17/Parametros_Fisicos!$C$9</f>
        <v/>
      </c>
      <c r="C17" s="18">
        <f>2*PI()/B17</f>
        <v/>
      </c>
      <c r="D17" s="19">
        <f>(Parametros_Fisicos!$C$8/Parametros_Fisicos!$C$9)*A17*SQRT(MAX(0.0001, 1 - A17^2))*0.42</f>
        <v/>
      </c>
      <c r="E17" s="17">
        <f>LN(2)/MAX(0.0001, D17)</f>
        <v/>
      </c>
      <c r="F17" s="12" t="inlineStr">
        <is>
          <t>Inestable</t>
        </is>
      </c>
    </row>
    <row r="18">
      <c r="A18" s="20" t="n">
        <v>0.9</v>
      </c>
      <c r="B18" s="21">
        <f>A18/Parametros_Fisicos!$C$9</f>
        <v/>
      </c>
      <c r="C18" s="22">
        <f>2*PI()/B18</f>
        <v/>
      </c>
      <c r="D18" s="23">
        <f>(Parametros_Fisicos!$C$8/Parametros_Fisicos!$C$9)*A18*SQRT(MAX(0.0001, 1 - A18^2))*0.42</f>
        <v/>
      </c>
      <c r="E18" s="21">
        <f>LN(2)/MAX(0.0001, D18)</f>
        <v/>
      </c>
      <c r="F18" s="8" t="inlineStr">
        <is>
          <t>Inestable</t>
        </is>
      </c>
    </row>
    <row r="19">
      <c r="A19" s="16" t="n">
        <v>1</v>
      </c>
      <c r="B19" s="17">
        <f>A19/Parametros_Fisicos!$C$9</f>
        <v/>
      </c>
      <c r="C19" s="18">
        <f>2*PI()/B19</f>
        <v/>
      </c>
      <c r="D19" s="19">
        <f>(Parametros_Fisicos!$C$8/Parametros_Fisicos!$C$9)*A19*SQRT(MAX(0.0001, 1 - A19^2))*0.42</f>
        <v/>
      </c>
      <c r="E19" s="17">
        <f>LN(2)/MAX(0.0001, D19)</f>
        <v/>
      </c>
      <c r="F19" s="12" t="inlineStr">
        <is>
          <t>Estable / Corte Neutro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1" workbookViewId="0">
      <selection activeCell="A1" sqref="A1"/>
    </sheetView>
  </sheetViews>
  <sheetFormatPr baseColWidth="8" defaultRowHeight="15"/>
  <cols>
    <col width="76" customWidth="1" min="1" max="1"/>
    <col width="16" customWidth="1" min="2" max="2"/>
    <col width="23" customWidth="1" min="3" max="3"/>
    <col width="31" customWidth="1" min="4" max="4"/>
    <col width="17" customWidth="1" min="5" max="5"/>
    <col width="27" customWidth="1" min="6" max="6"/>
    <col width="15" customWidth="1" min="7" max="7"/>
    <col width="30" customWidth="1" min="8" max="8"/>
  </cols>
  <sheetData>
    <row r="1">
      <c r="A1" s="2" t="inlineStr">
        <is>
          <t>CONTINUUM LAB // TELEMETRÍA DEL INTEGRADOR RUNGE-KUTTA 4</t>
        </is>
      </c>
    </row>
    <row r="2">
      <c r="A2" s="3" t="inlineStr">
        <is>
          <t>Evolución de Enstrofia Ω(t), Energía Cinética E_k(t) y Vorticidad Máxima</t>
        </is>
      </c>
    </row>
    <row r="3"/>
    <row r="4" ht="24" customHeight="1">
      <c r="A4" s="4" t="inlineStr">
        <is>
          <t>Paso</t>
        </is>
      </c>
      <c r="B4" s="4" t="inlineStr">
        <is>
          <t>Tiempo t [s]</t>
        </is>
      </c>
      <c r="C4" s="4" t="inlineStr">
        <is>
          <t>Enstrofia Ω [m²/s²]</t>
        </is>
      </c>
      <c r="D4" s="4" t="inlineStr">
        <is>
          <t>Energía Cinética E_k [J/kg]</t>
        </is>
      </c>
      <c r="E4" s="4" t="inlineStr">
        <is>
          <t>|ω_max| [s⁻¹]</t>
        </is>
      </c>
      <c r="F4" s="4" t="inlineStr">
        <is>
          <t>Espesor Momentum θ [mm]</t>
        </is>
      </c>
      <c r="G4" s="4" t="inlineStr">
        <is>
          <t>Criterio Ri</t>
        </is>
      </c>
      <c r="H4" s="4" t="inlineStr">
        <is>
          <t>Fase Dinámica</t>
        </is>
      </c>
    </row>
    <row r="5">
      <c r="A5" s="29" t="n">
        <v>0</v>
      </c>
      <c r="B5" s="18" t="n">
        <v>0</v>
      </c>
      <c r="C5" s="30" t="n">
        <v>29.5741</v>
      </c>
      <c r="D5" s="31" t="n">
        <v>0.25</v>
      </c>
      <c r="E5" s="32" t="n">
        <v>22.22</v>
      </c>
      <c r="F5" s="32" t="n">
        <v>11.23</v>
      </c>
      <c r="G5" s="16" t="n">
        <v>0.135</v>
      </c>
      <c r="H5" s="12" t="inlineStr">
        <is>
          <t>1: Cizalla Laminar</t>
        </is>
      </c>
    </row>
    <row r="6">
      <c r="A6" s="33" t="n">
        <v>24</v>
      </c>
      <c r="B6" s="22" t="n">
        <v>0.412</v>
      </c>
      <c r="C6" s="34" t="n">
        <v>29.5096</v>
      </c>
      <c r="D6" s="35" t="n">
        <v>0.24965</v>
      </c>
      <c r="E6" s="36" t="n">
        <v>22.24</v>
      </c>
      <c r="F6" s="36" t="n">
        <v>11.25</v>
      </c>
      <c r="G6" s="20" t="n">
        <v>0.1383</v>
      </c>
      <c r="H6" s="8" t="inlineStr">
        <is>
          <t>1: Cizalla Laminar</t>
        </is>
      </c>
    </row>
    <row r="7">
      <c r="A7" s="29" t="n">
        <v>48</v>
      </c>
      <c r="B7" s="18" t="n">
        <v>0.824</v>
      </c>
      <c r="C7" s="30" t="n">
        <v>29.4846</v>
      </c>
      <c r="D7" s="31" t="n">
        <v>0.24929</v>
      </c>
      <c r="E7" s="32" t="n">
        <v>22.28</v>
      </c>
      <c r="F7" s="32" t="n">
        <v>11.28</v>
      </c>
      <c r="G7" s="16" t="n">
        <v>0.1415</v>
      </c>
      <c r="H7" s="12" t="inlineStr">
        <is>
          <t>1: Cizalla Laminar</t>
        </is>
      </c>
    </row>
    <row r="8">
      <c r="A8" s="33" t="n">
        <v>72</v>
      </c>
      <c r="B8" s="22" t="n">
        <v>1.235</v>
      </c>
      <c r="C8" s="34" t="n">
        <v>29.5191</v>
      </c>
      <c r="D8" s="35" t="n">
        <v>0.24894</v>
      </c>
      <c r="E8" s="36" t="n">
        <v>22.36</v>
      </c>
      <c r="F8" s="36" t="n">
        <v>11.32</v>
      </c>
      <c r="G8" s="20" t="n">
        <v>0.1445</v>
      </c>
      <c r="H8" s="8" t="inlineStr">
        <is>
          <t>1: Cizalla Laminar</t>
        </is>
      </c>
    </row>
    <row r="9">
      <c r="A9" s="29" t="n">
        <v>96</v>
      </c>
      <c r="B9" s="18" t="n">
        <v>1.647</v>
      </c>
      <c r="C9" s="30" t="n">
        <v>29.6403</v>
      </c>
      <c r="D9" s="31" t="n">
        <v>0.24859</v>
      </c>
      <c r="E9" s="32" t="n">
        <v>22.48</v>
      </c>
      <c r="F9" s="32" t="n">
        <v>11.38</v>
      </c>
      <c r="G9" s="16" t="n">
        <v>0.1472</v>
      </c>
      <c r="H9" s="12" t="inlineStr">
        <is>
          <t>1: Cizalla Laminar</t>
        </is>
      </c>
    </row>
    <row r="10">
      <c r="A10" s="33" t="n">
        <v>120</v>
      </c>
      <c r="B10" s="22" t="n">
        <v>2.059</v>
      </c>
      <c r="C10" s="34" t="n">
        <v>29.8815</v>
      </c>
      <c r="D10" s="35" t="n">
        <v>0.24824</v>
      </c>
      <c r="E10" s="36" t="n">
        <v>22.7</v>
      </c>
      <c r="F10" s="36" t="n">
        <v>11.46</v>
      </c>
      <c r="G10" s="20" t="n">
        <v>0.1497</v>
      </c>
      <c r="H10" s="8" t="inlineStr">
        <is>
          <t>1: Cizalla Laminar</t>
        </is>
      </c>
    </row>
    <row r="11">
      <c r="A11" s="29" t="n">
        <v>144</v>
      </c>
      <c r="B11" s="18" t="n">
        <v>2.471</v>
      </c>
      <c r="C11" s="30" t="n">
        <v>30.281</v>
      </c>
      <c r="D11" s="31" t="n">
        <v>0.24788</v>
      </c>
      <c r="E11" s="32" t="n">
        <v>23.04</v>
      </c>
      <c r="F11" s="32" t="n">
        <v>11.59</v>
      </c>
      <c r="G11" s="16" t="n">
        <v>0.1517</v>
      </c>
      <c r="H11" s="12" t="inlineStr">
        <is>
          <t>1: Cizalla Laminar</t>
        </is>
      </c>
    </row>
    <row r="12">
      <c r="A12" s="33" t="n">
        <v>168</v>
      </c>
      <c r="B12" s="22" t="n">
        <v>2.882</v>
      </c>
      <c r="C12" s="34" t="n">
        <v>30.8789</v>
      </c>
      <c r="D12" s="35" t="n">
        <v>0.24753</v>
      </c>
      <c r="E12" s="36" t="n">
        <v>23.54</v>
      </c>
      <c r="F12" s="36" t="n">
        <v>11.78</v>
      </c>
      <c r="G12" s="20" t="n">
        <v>0.1533</v>
      </c>
      <c r="H12" s="8" t="inlineStr">
        <is>
          <t>1: Cizalla Laminar</t>
        </is>
      </c>
    </row>
    <row r="13">
      <c r="A13" s="29" t="n">
        <v>192</v>
      </c>
      <c r="B13" s="18" t="n">
        <v>3.294</v>
      </c>
      <c r="C13" s="30" t="n">
        <v>31.7109</v>
      </c>
      <c r="D13" s="31" t="n">
        <v>0.24718</v>
      </c>
      <c r="E13" s="32" t="n">
        <v>24.27</v>
      </c>
      <c r="F13" s="32" t="n">
        <v>12.04</v>
      </c>
      <c r="G13" s="16" t="n">
        <v>0.1544</v>
      </c>
      <c r="H13" s="12" t="inlineStr">
        <is>
          <t>2: Crecimiento Ondulatorio</t>
        </is>
      </c>
    </row>
    <row r="14">
      <c r="A14" s="33" t="n">
        <v>216</v>
      </c>
      <c r="B14" s="22" t="n">
        <v>3.706</v>
      </c>
      <c r="C14" s="34" t="n">
        <v>32.8013</v>
      </c>
      <c r="D14" s="35" t="n">
        <v>0.24682</v>
      </c>
      <c r="E14" s="36" t="n">
        <v>25.26</v>
      </c>
      <c r="F14" s="36" t="n">
        <v>12.41</v>
      </c>
      <c r="G14" s="20" t="n">
        <v>0.1549</v>
      </c>
      <c r="H14" s="8" t="inlineStr">
        <is>
          <t>2: Crecimiento Ondulatorio</t>
        </is>
      </c>
    </row>
    <row r="15">
      <c r="A15" s="29" t="n">
        <v>240</v>
      </c>
      <c r="B15" s="18" t="n">
        <v>4.118</v>
      </c>
      <c r="C15" s="30" t="n">
        <v>34.1541</v>
      </c>
      <c r="D15" s="31" t="n">
        <v>0.24647</v>
      </c>
      <c r="E15" s="32" t="n">
        <v>26.52</v>
      </c>
      <c r="F15" s="32" t="n">
        <v>12.91</v>
      </c>
      <c r="G15" s="16" t="n">
        <v>0.1549</v>
      </c>
      <c r="H15" s="12" t="inlineStr">
        <is>
          <t>2: Crecimiento Ondulatorio</t>
        </is>
      </c>
    </row>
    <row r="16">
      <c r="A16" s="33" t="n">
        <v>264</v>
      </c>
      <c r="B16" s="22" t="n">
        <v>4.529</v>
      </c>
      <c r="C16" s="34" t="n">
        <v>35.7447</v>
      </c>
      <c r="D16" s="35" t="n">
        <v>0.24612</v>
      </c>
      <c r="E16" s="36" t="n">
        <v>28.04</v>
      </c>
      <c r="F16" s="36" t="n">
        <v>13.54</v>
      </c>
      <c r="G16" s="20" t="n">
        <v>0.1544</v>
      </c>
      <c r="H16" s="8" t="inlineStr">
        <is>
          <t>2: Crecimiento Ondulatorio</t>
        </is>
      </c>
    </row>
    <row r="17">
      <c r="A17" s="29" t="n">
        <v>288</v>
      </c>
      <c r="B17" s="18" t="n">
        <v>4.941</v>
      </c>
      <c r="C17" s="30" t="n">
        <v>37.5145</v>
      </c>
      <c r="D17" s="31" t="n">
        <v>0.24576</v>
      </c>
      <c r="E17" s="32" t="n">
        <v>29.76</v>
      </c>
      <c r="F17" s="32" t="n">
        <v>14.29</v>
      </c>
      <c r="G17" s="16" t="n">
        <v>0.1534</v>
      </c>
      <c r="H17" s="12" t="inlineStr">
        <is>
          <t>2: Crecimiento Ondulatorio</t>
        </is>
      </c>
    </row>
    <row r="18">
      <c r="A18" s="33" t="n">
        <v>312</v>
      </c>
      <c r="B18" s="22" t="n">
        <v>5.353</v>
      </c>
      <c r="C18" s="34" t="n">
        <v>39.3693</v>
      </c>
      <c r="D18" s="35" t="n">
        <v>0.24541</v>
      </c>
      <c r="E18" s="36" t="n">
        <v>31.58</v>
      </c>
      <c r="F18" s="36" t="n">
        <v>15.14</v>
      </c>
      <c r="G18" s="20" t="n">
        <v>0.1518</v>
      </c>
      <c r="H18" s="8" t="inlineStr">
        <is>
          <t>2: Crecimiento Ondulatorio</t>
        </is>
      </c>
    </row>
    <row r="19">
      <c r="A19" s="29" t="n">
        <v>336</v>
      </c>
      <c r="B19" s="18" t="n">
        <v>5.765</v>
      </c>
      <c r="C19" s="30" t="n">
        <v>41.1847</v>
      </c>
      <c r="D19" s="31" t="n">
        <v>0.24506</v>
      </c>
      <c r="E19" s="32" t="n">
        <v>33.35</v>
      </c>
      <c r="F19" s="32" t="n">
        <v>16.01</v>
      </c>
      <c r="G19" s="16" t="n">
        <v>0.1498</v>
      </c>
      <c r="H19" s="12" t="inlineStr">
        <is>
          <t>2: Crecimiento Ondulatorio</t>
        </is>
      </c>
    </row>
    <row r="20">
      <c r="A20" s="33" t="n">
        <v>360</v>
      </c>
      <c r="B20" s="22" t="n">
        <v>6.176</v>
      </c>
      <c r="C20" s="34" t="n">
        <v>42.8168</v>
      </c>
      <c r="D20" s="35" t="n">
        <v>0.24471</v>
      </c>
      <c r="E20" s="36" t="n">
        <v>34.89</v>
      </c>
      <c r="F20" s="36" t="n">
        <v>16.84</v>
      </c>
      <c r="G20" s="20" t="n">
        <v>0.1474</v>
      </c>
      <c r="H20" s="8" t="inlineStr">
        <is>
          <t>2: Crecimiento Ondulatorio</t>
        </is>
      </c>
    </row>
    <row r="21">
      <c r="A21" s="29" t="n">
        <v>384</v>
      </c>
      <c r="B21" s="18" t="n">
        <v>6.588</v>
      </c>
      <c r="C21" s="30" t="n">
        <v>44.12</v>
      </c>
      <c r="D21" s="31" t="n">
        <v>0.24435</v>
      </c>
      <c r="E21" s="32" t="n">
        <v>36.02</v>
      </c>
      <c r="F21" s="32" t="n">
        <v>17.56</v>
      </c>
      <c r="G21" s="16" t="n">
        <v>0.1447</v>
      </c>
      <c r="H21" s="12" t="inlineStr">
        <is>
          <t>2: Crecimiento Ondulatorio</t>
        </is>
      </c>
    </row>
    <row r="22">
      <c r="A22" s="33" t="n">
        <v>408</v>
      </c>
      <c r="B22" s="22" t="n">
        <v>7</v>
      </c>
      <c r="C22" s="34" t="n">
        <v>44.9659</v>
      </c>
      <c r="D22" s="35" t="n">
        <v>0.244</v>
      </c>
      <c r="E22" s="36" t="n">
        <v>36.63</v>
      </c>
      <c r="F22" s="36" t="n">
        <v>18.15</v>
      </c>
      <c r="G22" s="20" t="n">
        <v>0.1417</v>
      </c>
      <c r="H22" s="8" t="inlineStr">
        <is>
          <t>3: Roll-up Cat's-Eye</t>
        </is>
      </c>
    </row>
    <row r="23">
      <c r="A23" s="29" t="n">
        <v>432</v>
      </c>
      <c r="B23" s="18" t="n">
        <v>7.412</v>
      </c>
      <c r="C23" s="30" t="n">
        <v>45.2628</v>
      </c>
      <c r="D23" s="31" t="n">
        <v>0.24365</v>
      </c>
      <c r="E23" s="32" t="n">
        <v>36.62</v>
      </c>
      <c r="F23" s="32" t="n">
        <v>18.61</v>
      </c>
      <c r="G23" s="16" t="n">
        <v>0.1385</v>
      </c>
      <c r="H23" s="12" t="inlineStr">
        <is>
          <t>3: Roll-up Cat's-Eye</t>
        </is>
      </c>
    </row>
    <row r="24">
      <c r="A24" s="33" t="n">
        <v>456</v>
      </c>
      <c r="B24" s="22" t="n">
        <v>7.824</v>
      </c>
      <c r="C24" s="34" t="n">
        <v>44.9699</v>
      </c>
      <c r="D24" s="35" t="n">
        <v>0.24329</v>
      </c>
      <c r="E24" s="36" t="n">
        <v>36</v>
      </c>
      <c r="F24" s="36" t="n">
        <v>18.94</v>
      </c>
      <c r="G24" s="20" t="n">
        <v>0.1352</v>
      </c>
      <c r="H24" s="8" t="inlineStr">
        <is>
          <t>3: Roll-up Cat's-Eye</t>
        </is>
      </c>
    </row>
    <row r="25">
      <c r="A25" s="29" t="n">
        <v>480</v>
      </c>
      <c r="B25" s="18" t="n">
        <v>8.234999999999999</v>
      </c>
      <c r="C25" s="30" t="n">
        <v>44.1037</v>
      </c>
      <c r="D25" s="31" t="n">
        <v>0.24294</v>
      </c>
      <c r="E25" s="32" t="n">
        <v>34.85</v>
      </c>
      <c r="F25" s="32" t="n">
        <v>19.18</v>
      </c>
      <c r="G25" s="16" t="n">
        <v>0.132</v>
      </c>
      <c r="H25" s="12" t="inlineStr">
        <is>
          <t>3: Roll-up Cat's-Eye</t>
        </is>
      </c>
    </row>
    <row r="26">
      <c r="A26" s="33" t="n">
        <v>504</v>
      </c>
      <c r="B26" s="22" t="n">
        <v>8.647</v>
      </c>
      <c r="C26" s="34" t="n">
        <v>42.7355</v>
      </c>
      <c r="D26" s="35" t="n">
        <v>0.24259</v>
      </c>
      <c r="E26" s="36" t="n">
        <v>33.3</v>
      </c>
      <c r="F26" s="36" t="n">
        <v>19.35</v>
      </c>
      <c r="G26" s="20" t="n">
        <v>0.1288</v>
      </c>
      <c r="H26" s="8" t="inlineStr">
        <is>
          <t>3: Roll-up Cat's-Eye</t>
        </is>
      </c>
    </row>
    <row r="27">
      <c r="A27" s="29" t="n">
        <v>528</v>
      </c>
      <c r="B27" s="18" t="n">
        <v>9.058999999999999</v>
      </c>
      <c r="C27" s="30" t="n">
        <v>40.98</v>
      </c>
      <c r="D27" s="31" t="n">
        <v>0.24224</v>
      </c>
      <c r="E27" s="32" t="n">
        <v>31.53</v>
      </c>
      <c r="F27" s="32" t="n">
        <v>19.46</v>
      </c>
      <c r="G27" s="16" t="n">
        <v>0.1257</v>
      </c>
      <c r="H27" s="12" t="inlineStr">
        <is>
          <t>3: Roll-up Cat's-Eye</t>
        </is>
      </c>
    </row>
    <row r="28">
      <c r="A28" s="33" t="n">
        <v>552</v>
      </c>
      <c r="B28" s="22" t="n">
        <v>9.471</v>
      </c>
      <c r="C28" s="34" t="n">
        <v>38.9779</v>
      </c>
      <c r="D28" s="35" t="n">
        <v>0.24188</v>
      </c>
      <c r="E28" s="36" t="n">
        <v>29.71</v>
      </c>
      <c r="F28" s="36" t="n">
        <v>19.54</v>
      </c>
      <c r="G28" s="20" t="n">
        <v>0.1229</v>
      </c>
      <c r="H28" s="8" t="inlineStr">
        <is>
          <t>3: Roll-up Cat's-Eye</t>
        </is>
      </c>
    </row>
    <row r="29">
      <c r="A29" s="29" t="n">
        <v>576</v>
      </c>
      <c r="B29" s="18" t="n">
        <v>9.882</v>
      </c>
      <c r="C29" s="30" t="n">
        <v>36.8763</v>
      </c>
      <c r="D29" s="31" t="n">
        <v>0.24153</v>
      </c>
      <c r="E29" s="32" t="n">
        <v>27.99</v>
      </c>
      <c r="F29" s="32" t="n">
        <v>19.6</v>
      </c>
      <c r="G29" s="16" t="n">
        <v>0.1205</v>
      </c>
      <c r="H29" s="12" t="inlineStr">
        <is>
          <t>3: Roll-up Cat's-Eye</t>
        </is>
      </c>
    </row>
    <row r="30">
      <c r="A30" s="33" t="n">
        <v>600</v>
      </c>
      <c r="B30" s="22" t="n">
        <v>10.294</v>
      </c>
      <c r="C30" s="34" t="n">
        <v>34.8095</v>
      </c>
      <c r="D30" s="35" t="n">
        <v>0.24118</v>
      </c>
      <c r="E30" s="36" t="n">
        <v>26.48</v>
      </c>
      <c r="F30" s="36" t="n">
        <v>19.63</v>
      </c>
      <c r="G30" s="20" t="n">
        <v>0.1184</v>
      </c>
      <c r="H30" s="8" t="inlineStr">
        <is>
          <t>3: Roll-up Cat's-Eye</t>
        </is>
      </c>
    </row>
    <row r="31">
      <c r="A31" s="29" t="n">
        <v>624</v>
      </c>
      <c r="B31" s="18" t="n">
        <v>10.706</v>
      </c>
      <c r="C31" s="30" t="n">
        <v>32.8857</v>
      </c>
      <c r="D31" s="31" t="n">
        <v>0.24082</v>
      </c>
      <c r="E31" s="32" t="n">
        <v>25.22</v>
      </c>
      <c r="F31" s="32" t="n">
        <v>19.65</v>
      </c>
      <c r="G31" s="16" t="n">
        <v>0.1168</v>
      </c>
      <c r="H31" s="12" t="inlineStr">
        <is>
          <t>3: Roll-up Cat's-Eye</t>
        </is>
      </c>
    </row>
    <row r="32">
      <c r="A32" s="33" t="n">
        <v>648</v>
      </c>
      <c r="B32" s="22" t="n">
        <v>11.118</v>
      </c>
      <c r="C32" s="34" t="n">
        <v>31.1791</v>
      </c>
      <c r="D32" s="35" t="n">
        <v>0.24047</v>
      </c>
      <c r="E32" s="36" t="n">
        <v>24.25</v>
      </c>
      <c r="F32" s="36" t="n">
        <v>19.67</v>
      </c>
      <c r="G32" s="20" t="n">
        <v>0.1157</v>
      </c>
      <c r="H32" s="8" t="inlineStr">
        <is>
          <t>4: Pairing de Vórtices</t>
        </is>
      </c>
    </row>
    <row r="33">
      <c r="A33" s="29" t="n">
        <v>672</v>
      </c>
      <c r="B33" s="18" t="n">
        <v>11.529</v>
      </c>
      <c r="C33" s="30" t="n">
        <v>29.7282</v>
      </c>
      <c r="D33" s="31" t="n">
        <v>0.24012</v>
      </c>
      <c r="E33" s="32" t="n">
        <v>23.53</v>
      </c>
      <c r="F33" s="32" t="n">
        <v>19.68</v>
      </c>
      <c r="G33" s="16" t="n">
        <v>0.1151</v>
      </c>
      <c r="H33" s="12" t="inlineStr">
        <is>
          <t>4: Pairing de Vórtices</t>
        </is>
      </c>
    </row>
    <row r="34">
      <c r="A34" s="33" t="n">
        <v>696</v>
      </c>
      <c r="B34" s="22" t="n">
        <v>11.941</v>
      </c>
      <c r="C34" s="34" t="n">
        <v>28.5403</v>
      </c>
      <c r="D34" s="35" t="n">
        <v>0.23976</v>
      </c>
      <c r="E34" s="36" t="n">
        <v>23.02</v>
      </c>
      <c r="F34" s="36" t="n">
        <v>19.69</v>
      </c>
      <c r="G34" s="20" t="n">
        <v>0.115</v>
      </c>
      <c r="H34" s="8" t="inlineStr">
        <is>
          <t>4: Pairing de Vórtices</t>
        </is>
      </c>
    </row>
    <row r="35">
      <c r="A35" s="29" t="n">
        <v>720</v>
      </c>
      <c r="B35" s="18" t="n">
        <v>12.353</v>
      </c>
      <c r="C35" s="30" t="n">
        <v>27.5989</v>
      </c>
      <c r="D35" s="31" t="n">
        <v>0.23941</v>
      </c>
      <c r="E35" s="32" t="n">
        <v>22.69</v>
      </c>
      <c r="F35" s="32" t="n">
        <v>19.69</v>
      </c>
      <c r="G35" s="16" t="n">
        <v>0.1155</v>
      </c>
      <c r="H35" s="12" t="inlineStr">
        <is>
          <t>4: Pairing de Vórtices</t>
        </is>
      </c>
    </row>
    <row r="36">
      <c r="A36" s="33" t="n">
        <v>744</v>
      </c>
      <c r="B36" s="22" t="n">
        <v>12.765</v>
      </c>
      <c r="C36" s="34" t="n">
        <v>26.8721</v>
      </c>
      <c r="D36" s="35" t="n">
        <v>0.23906</v>
      </c>
      <c r="E36" s="36" t="n">
        <v>22.48</v>
      </c>
      <c r="F36" s="36" t="n">
        <v>19.69</v>
      </c>
      <c r="G36" s="20" t="n">
        <v>0.1165</v>
      </c>
      <c r="H36" s="8" t="inlineStr">
        <is>
          <t>4: Pairing de Vórtices</t>
        </is>
      </c>
    </row>
    <row r="37">
      <c r="A37" s="29" t="n">
        <v>768</v>
      </c>
      <c r="B37" s="18" t="n">
        <v>13.176</v>
      </c>
      <c r="C37" s="30" t="n">
        <v>26.3209</v>
      </c>
      <c r="D37" s="31" t="n">
        <v>0.23871</v>
      </c>
      <c r="E37" s="32" t="n">
        <v>22.35</v>
      </c>
      <c r="F37" s="32" t="n">
        <v>19.7</v>
      </c>
      <c r="G37" s="16" t="n">
        <v>0.118</v>
      </c>
      <c r="H37" s="12" t="inlineStr">
        <is>
          <t>4: Pairing de Vórtices</t>
        </is>
      </c>
    </row>
    <row r="38">
      <c r="A38" s="33" t="n">
        <v>792</v>
      </c>
      <c r="B38" s="22" t="n">
        <v>13.588</v>
      </c>
      <c r="C38" s="34" t="n">
        <v>25.9057</v>
      </c>
      <c r="D38" s="35" t="n">
        <v>0.23835</v>
      </c>
      <c r="E38" s="36" t="n">
        <v>22.28</v>
      </c>
      <c r="F38" s="36" t="n">
        <v>19.7</v>
      </c>
      <c r="G38" s="20" t="n">
        <v>0.12</v>
      </c>
      <c r="H38" s="8" t="inlineStr">
        <is>
          <t>4: Pairing de Vórtices</t>
        </is>
      </c>
    </row>
    <row r="39">
      <c r="A39" s="29" t="n">
        <v>816</v>
      </c>
      <c r="B39" s="18" t="n">
        <v>14</v>
      </c>
      <c r="C39" s="30" t="n">
        <v>25.5907</v>
      </c>
      <c r="D39" s="31" t="n">
        <v>0.238</v>
      </c>
      <c r="E39" s="32" t="n">
        <v>22.24</v>
      </c>
      <c r="F39" s="32" t="n">
        <v>19.7</v>
      </c>
      <c r="G39" s="16" t="n">
        <v>0.1224</v>
      </c>
      <c r="H39" s="12" t="inlineStr">
        <is>
          <t>4: Pairing de Vórtices</t>
        </is>
      </c>
    </row>
    <row r="40">
      <c r="A40" s="37" t="inlineStr">
        <is>
          <t>PROMEDIO</t>
        </is>
      </c>
      <c r="B40" s="38" t="n"/>
      <c r="C40" s="39">
        <f>AVERAGE(C5:C39)</f>
        <v/>
      </c>
      <c r="D40" s="40">
        <f>AVERAGE(D5:D39)</f>
        <v/>
      </c>
      <c r="E40" s="41">
        <f>MAX(E5:E39)</f>
        <v/>
      </c>
      <c r="F40" s="38" t="n"/>
      <c r="G40" s="38" t="n"/>
      <c r="H40" s="3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2026-10-18T03:53:15Z</dcterms:created>
  <dcterms:modified xmlns:dcterms="http://purl.org/dc/terms/" xmlns:xsi="http://www.w3.org/2001/XMLSchema-instance" xsi:type="dcterms:W3CDTF">2026-10-18T03:53:15Z</dcterms:modified>
</cp:coreProperties>
</file>